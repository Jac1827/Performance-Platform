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se At Glen Kernan Park" sheetId="1" r:id="rId4"/>
    <sheet name="Rise At Nocatee" sheetId="2" r:id="rId5"/>
    <sheet name="Rise Bartram Park" sheetId="3" r:id="rId6"/>
    <sheet name="Rise Baymeadows" sheetId="4" r:id="rId7"/>
    <sheet name="Rise Citrus Ridge Townhomes" sheetId="5" r:id="rId8"/>
    <sheet name="Rise Doro" sheetId="6" r:id="rId9"/>
    <sheet name="Rise Florence Villa Townhomes" sheetId="7" r:id="rId10"/>
    <sheet name="Rise Sereno" sheetId="8" r:id="rId11"/>
    <sheet name="Rise St. Augustine" sheetId="9" r:id="rId12"/>
    <sheet name="Rise Viera" sheetId="10" r:id="rId13"/>
    <sheet name="Report Parameters" sheetId="11" r:id="rId14"/>
  </sheets>
  <definedNames>
    <definedName name="_xlnm.Print_Area" localSheetId="10">'Report Parameters'!$A$1:$B$14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<sst xmlns="http://schemas.openxmlformats.org/spreadsheetml/2006/main" uniqueCount="175">
  <si>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02 - RISE - Box Score</t>
  </si>
  <si>
    <t>RISE at Glen Kernan Park</t>
  </si>
  <si>
    <t>04/01/2026 - 04/30/2026</t>
  </si>
  <si>
    <t>Availability (As of 04/30/2026)</t>
  </si>
  <si>
    <t>Unit Type</t>
  </si>
  <si>
    <t>Avg. SQFT</t>
  </si>
  <si>
    <t>Avg. Market Rent (Budgeted)</t>
  </si>
  <si>
    <t>Availability (As of 04/30/2026): Avg. Market Rent</t>
  </si>
  <si>
    <t>Avg. Scheduled Rent</t>
  </si>
  <si>
    <t>Avg. Net Effective Rent</t>
  </si>
  <si>
    <t>Units</t>
  </si>
  <si>
    <t>Excluded</t>
  </si>
  <si>
    <t>Rentable Units</t>
  </si>
  <si>
    <t>Occupied</t>
  </si>
  <si>
    <t>Vacant</t>
  </si>
  <si>
    <t>Available</t>
  </si>
  <si>
    <t>Occupied No Notice</t>
  </si>
  <si>
    <t>Notice Rented</t>
  </si>
  <si>
    <t>Notice Unrented</t>
  </si>
  <si>
    <t>Vacant Rented</t>
  </si>
  <si>
    <t>Vacant Unrented</t>
  </si>
  <si>
    <t>Leased</t>
  </si>
  <si>
    <t>Trend</t>
  </si>
  <si>
    <t>Exposure</t>
  </si>
  <si>
    <t>Availability (As of 04/30/2026): Total Square Feet</t>
  </si>
  <si>
    <t>Availability (As of 04/30/2026): Total Market Rent</t>
  </si>
  <si>
    <t>Availability (As of 04/30/2026): Total Scheduled Charges</t>
  </si>
  <si>
    <t>Availability (As of 04/30/2026): Total Budgeted Rent</t>
  </si>
  <si>
    <t>Availability (As of 04/30/2026): Total Scheduled Rent</t>
  </si>
  <si>
    <t>Availability (As of 04/30/2026): Total Scheduled Other</t>
  </si>
  <si>
    <t>Availability (As of 04/30/2026): Total Effective Rent</t>
  </si>
  <si>
    <t>Availability (As of 04/30/2026): Total Actual Rent</t>
  </si>
  <si>
    <t>Availability (As of 04/30/2026): Vacant Rented Ready Units</t>
  </si>
  <si>
    <t>Availability (As of 04/30/2026): Vacant Rented Not Ready Units</t>
  </si>
  <si>
    <t>Availability (As of 04/30/2026): Vacant Unrented Ready Units</t>
  </si>
  <si>
    <t>Availability (As of 04/30/2026): Vacant Unrented Not Ready Units</t>
  </si>
  <si>
    <t>Availability (As of 04/30/2026): Leased Units</t>
  </si>
  <si>
    <t>Availability (As of 04/30/2026): Exposure Units</t>
  </si>
  <si>
    <t>Availability (As of 04/30/2026): Not Exposed Leased Units</t>
  </si>
  <si>
    <t>A1C</t>
  </si>
  <si>
    <t>A2E</t>
  </si>
  <si>
    <t>A2G</t>
  </si>
  <si>
    <t>A2H</t>
  </si>
  <si>
    <t>A3F</t>
  </si>
  <si>
    <t>A4C</t>
  </si>
  <si>
    <t>B1A</t>
  </si>
  <si>
    <t>B1K</t>
  </si>
  <si>
    <t>B3A</t>
  </si>
  <si>
    <t>H2D</t>
  </si>
  <si>
    <t>H2F</t>
  </si>
  <si>
    <t>Total:</t>
  </si>
  <si>
    <t>Property Pulse (04/01/2026 - 04/30/2026)</t>
  </si>
  <si>
    <t>Move-Ins</t>
  </si>
  <si>
    <t>MTM</t>
  </si>
  <si>
    <t>MTM Conversions</t>
  </si>
  <si>
    <t>Renewal Leases Approved</t>
  </si>
  <si>
    <t>Transfers</t>
  </si>
  <si>
    <t>Notices</t>
  </si>
  <si>
    <t>Move-Outs</t>
  </si>
  <si>
    <t>Property Pulse (04/01/2026 - 04/30/2026): Renewals</t>
  </si>
  <si>
    <t>Renewal Transfers</t>
  </si>
  <si>
    <t>Skips</t>
  </si>
  <si>
    <t>Evictions</t>
  </si>
  <si>
    <t>Lead Activity (04/01/2026 - 04/30/2026)</t>
  </si>
  <si>
    <t>Original Contact Method</t>
  </si>
  <si>
    <t>Activity</t>
  </si>
  <si>
    <t>Tours</t>
  </si>
  <si>
    <t>New Leads</t>
  </si>
  <si>
    <t>Email</t>
  </si>
  <si>
    <t>Call</t>
  </si>
  <si>
    <t>Online</t>
  </si>
  <si>
    <t>Walk In</t>
  </si>
  <si>
    <t>Off Site Event</t>
  </si>
  <si>
    <t>Chat</t>
  </si>
  <si>
    <t>Text</t>
  </si>
  <si>
    <t>Other</t>
  </si>
  <si>
    <t>Emails</t>
  </si>
  <si>
    <t>Calls</t>
  </si>
  <si>
    <t>Chats</t>
  </si>
  <si>
    <t>Texts</t>
  </si>
  <si>
    <t>First Visits/Tours</t>
  </si>
  <si>
    <t>Unknown</t>
  </si>
  <si>
    <t>Lead Conversions (04/01/2026 - 04/30/2026)</t>
  </si>
  <si>
    <t>Application</t>
  </si>
  <si>
    <t>Lease</t>
  </si>
  <si>
    <t>Completed</t>
  </si>
  <si>
    <t>Partially Completed</t>
  </si>
  <si>
    <t>Completed (Cancelled)</t>
  </si>
  <si>
    <t>Denied</t>
  </si>
  <si>
    <t>Approved</t>
  </si>
  <si>
    <t>Approved (Cancelled)</t>
  </si>
  <si>
    <t>Make Ready Status (As of 04/30/2026)</t>
  </si>
  <si>
    <t>Status</t>
  </si>
  <si>
    <t>Total Vacant</t>
  </si>
  <si>
    <t>Make Ready Status (As of 04/30/2026): Summary Total</t>
  </si>
  <si>
    <t>%</t>
  </si>
  <si>
    <t>Ready</t>
  </si>
  <si>
    <t>Not Ready</t>
  </si>
  <si>
    <t>RISE at Nocatee</t>
  </si>
  <si>
    <t>A1-A</t>
  </si>
  <si>
    <t>A2-B</t>
  </si>
  <si>
    <t>A3-B</t>
  </si>
  <si>
    <t>A4-A</t>
  </si>
  <si>
    <t>B1-C</t>
  </si>
  <si>
    <t>B2-A</t>
  </si>
  <si>
    <t>B3-F</t>
  </si>
  <si>
    <t>B3-G</t>
  </si>
  <si>
    <t>B3-J</t>
  </si>
  <si>
    <t>C1-A</t>
  </si>
  <si>
    <t>RISE Bartram Park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</si>
  <si>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</si>
  <si>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</si>
  <si>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</si>
  <si>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</si>
  <si>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</si>
  <si>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</si>
  <si>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</si>
  <si>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</si>
  <si>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</si>
  <si>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</si>
  <si>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</si>
  <si>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</si>
  <si>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</si>
  <si>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</si>
  <si>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S1</t>
  </si>
  <si>
    <t>S2</t>
  </si>
  <si>
    <t>RISE Baymeadows</t>
  </si>
  <si>
    <t>B1.1</t>
  </si>
  <si>
    <t>B2.1</t>
  </si>
  <si>
    <t>B2.2</t>
  </si>
  <si>
    <t>C2</t>
  </si>
  <si>
    <t>C2.1</t>
  </si>
  <si>
    <t>RISE Citrus Ridge Townhomes</t>
  </si>
  <si>
    <t>RISE Doro</t>
  </si>
  <si>
    <t>A1-L</t>
  </si>
  <si>
    <t>A2-L</t>
  </si>
  <si>
    <t>A3-L</t>
  </si>
  <si>
    <t>A4-L</t>
  </si>
  <si>
    <t>B2-L</t>
  </si>
  <si>
    <t>B4-L</t>
  </si>
  <si>
    <t>L1</t>
  </si>
  <si>
    <t>L2</t>
  </si>
  <si>
    <t>S3</t>
  </si>
  <si>
    <t>S4</t>
  </si>
  <si>
    <t>S5</t>
  </si>
  <si>
    <t>RISE Florence Villa Townhomes</t>
  </si>
  <si>
    <t>RISE Sereno</t>
  </si>
  <si>
    <t>TA1</t>
  </si>
  <si>
    <t>TB1</t>
  </si>
  <si>
    <t>TB2</t>
  </si>
  <si>
    <t>TC1</t>
  </si>
  <si>
    <t>RISE St. Augustine</t>
  </si>
  <si>
    <t>RISE Viera</t>
  </si>
  <si>
    <t>A4-B</t>
  </si>
  <si>
    <t>H1C</t>
  </si>
  <si>
    <t>H2A</t>
  </si>
  <si>
    <t>H3B</t>
  </si>
  <si>
    <t>Box Score</t>
  </si>
  <si>
    <t>Report Parameters</t>
  </si>
  <si>
    <t>Report Name</t>
  </si>
  <si>
    <t>Version</t>
  </si>
  <si>
    <t>Property Groups</t>
  </si>
  <si>
    <t>RISE Bartram Park, RISE Doro, RISE Citrus Ridge Townhomes, RISE Sereno, RISE Viera, RISE Baymeadows, RISE Florence Villa Townhomes, RISE at Nocatee, RISE St. Augustine, RISE at Glen Kernan Park</t>
  </si>
  <si>
    <t>Period</t>
  </si>
  <si>
    <t>Current Calendar Month</t>
  </si>
  <si>
    <t>Summarize By</t>
  </si>
  <si>
    <t>Consolidate By</t>
  </si>
  <si>
    <t>Do Not Consolidate</t>
  </si>
  <si>
    <t>Rows With No Data</t>
  </si>
  <si>
    <t>Hide</t>
  </si>
  <si>
    <t>Enable Drill-ins</t>
  </si>
  <si>
    <t>Yes</t>
  </si>
  <si>
    <t>Box Score 4.0 generated</t>
  </si>
  <si>
    <t>04/30/2026 11:35 AM EDT</t>
  </si>
  <si>
    <t xml:space="preserve"> data as of</t>
  </si>
</sst>
</file>

<file path=xl/styles.xml><?xml version="1.0" encoding="utf-8"?>
<styleSheet xmlns="http://schemas.openxmlformats.org/spreadsheetml/2006/main" xml:space="preserve">
  <numFmts count="2">
    <numFmt numFmtId="164" formatCode="#,##0.00;[Red]#,##0.00"/>
    <numFmt numFmtId="165" formatCode="#,##0.00;(#,##0.00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sans-serif"/>
    </font>
    <font>
      <b val="1"/>
      <i val="0"/>
      <strike val="0"/>
      <u val="none"/>
      <sz val="10"/>
      <color rgb="FF000000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2" borderId="0" applyFont="1" applyNumberFormat="1" applyFill="1" applyBorder="0" applyAlignment="1">
      <alignment horizontal="left" vertical="center" textRotation="0" wrapText="true" shrinkToFit="false"/>
    </xf>
    <xf xfId="0" fontId="3" numFmtId="164" fillId="2" borderId="0" applyFont="1" applyNumberFormat="1" applyFill="1" applyBorder="0" applyAlignment="1">
      <alignment horizontal="right" vertical="center" textRotation="0" wrapText="true" shrinkToFit="false"/>
    </xf>
    <xf xfId="0" fontId="3" numFmtId="165" fillId="2" borderId="0" applyFont="1" applyNumberFormat="1" applyFill="1" applyBorder="0" applyAlignment="1">
      <alignment horizontal="right" vertical="center" textRotation="0" wrapText="true" shrinkToFit="false"/>
    </xf>
    <xf xfId="0" fontId="3" numFmtId="165" fillId="2" borderId="0" applyFont="1" applyNumberFormat="1" applyFill="1" applyBorder="0" applyAlignment="1">
      <alignment horizontal="right" vertical="center" textRotation="0" wrapText="false" shrinkToFit="false"/>
    </xf>
    <xf xfId="0" fontId="3" numFmtId="10" fillId="2" borderId="0" applyFont="1" applyNumberFormat="1" applyFill="1" applyBorder="0" applyAlignment="1">
      <alignment horizontal="right" vertical="center" textRotation="0" wrapText="true" shrinkToFit="false"/>
    </xf>
    <xf xfId="0" fontId="3" numFmtId="164" fillId="2" borderId="0" applyFont="1" applyNumberFormat="1" applyFill="1" applyBorder="0" applyAlignment="1">
      <alignment horizontal="right" vertical="center" textRotation="0" wrapText="false" shrinkToFit="false"/>
    </xf>
    <xf xfId="0" fontId="3" numFmtId="49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0" borderId="1" applyFont="1" applyNumberFormat="1" applyFill="0" applyBorder="1" applyAlignment="1">
      <alignment horizontal="right" vertical="center" textRotation="0" wrapText="false" shrinkToFit="false"/>
    </xf>
    <xf xfId="0" fontId="3" numFmtId="165" fillId="0" borderId="1" applyFont="1" applyNumberFormat="1" applyFill="0" applyBorder="1" applyAlignment="1">
      <alignment horizontal="right" vertical="center" textRotation="0" wrapText="false" shrinkToFit="false"/>
    </xf>
    <xf xfId="0" fontId="3" numFmtId="10" fillId="0" borderId="1" applyFont="1" applyNumberFormat="1" applyFill="0" applyBorder="1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right" vertical="center" textRotation="0" wrapText="false" shrinkToFit="false"/>
    </xf>
    <xf xfId="0" fontId="2" numFmtId="165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K65"/>
  <sheetViews>
    <sheetView tabSelected="1" workbookViewId="0" showGridLines="true" showRowColHeaders="1">
      <selection activeCell="E63" sqref="E63:E64"/>
    </sheetView>
  </sheetViews>
  <sheetFormatPr defaultRowHeight="14.4" outlineLevelRow="0" outlineLevelCol="0"/>
  <cols>
    <col min="1" max="1" width="22.142857142857" customWidth="true" style="0"/>
    <col min="2" max="2" width="22.142857142857" customWidth="true" style="0"/>
    <col min="3" max="3" width="22.142857142857" customWidth="true" style="0"/>
    <col min="4" max="4" width="22.142857142857" customWidth="true" style="0"/>
    <col min="5" max="5" width="22.142857142857" customWidth="true" style="0"/>
    <col min="6" max="6" width="20.714285714286" customWidth="true" style="0"/>
    <col min="7" max="7" width="20.714285714286" customWidth="true" style="0"/>
    <col min="8" max="8" width="21" customWidth="true" style="0"/>
    <col min="9" max="9" width="21.428571428571" customWidth="true" style="0"/>
    <col min="10" max="10" width="20.714285714286" customWidth="true" style="0"/>
    <col min="11" max="11" width="18.571428571429" customWidth="true" style="0"/>
    <col min="12" max="12" width="18.571428571429" customWidth="true" style="0"/>
    <col min="13" max="13" width="18.571428571429" customWidth="true" style="0"/>
    <col min="14" max="14" width="18.571428571429" customWidth="true" style="0"/>
    <col min="15" max="15" width="18.142857142857" customWidth="true" style="0"/>
    <col min="16" max="16" width="22.857142857143" customWidth="true" style="0"/>
    <col min="17" max="17" width="23.571428571429" customWidth="true" style="0"/>
    <col min="18" max="18" width="23.571428571429" customWidth="true" style="0"/>
    <col min="19" max="19" width="23.571428571429" customWidth="true" style="0"/>
    <col min="20" max="20" width="23.571428571429" customWidth="true" style="0"/>
    <col min="22" max="22" width="14.428571428571" hidden="true" customWidth="true" style="0"/>
    <col min="23" max="23" width="17.428571428571" hidden="true" customWidth="true" style="0"/>
    <col min="24" max="24" width="17.428571428571" hidden="true" customWidth="true" style="0"/>
    <col min="25" max="25" width="17.428571428571" hidden="true" customWidth="true" style="0"/>
    <col min="26" max="26" width="17.428571428571" hidden="true" customWidth="true" style="0"/>
    <col min="27" max="27" width="17.428571428571" hidden="true" customWidth="true" style="0"/>
    <col min="28" max="28" width="17.428571428571" hidden="true" customWidth="true" style="0"/>
    <col min="29" max="29" width="17.428571428571" hidden="true" customWidth="true" style="0"/>
    <col min="30" max="30" width="17.428571428571" hidden="true" customWidth="true" style="0"/>
    <col min="31" max="31" width="17.428571428571" hidden="true" customWidth="true" style="0"/>
    <col min="32" max="32" width="17.428571428571" hidden="true" customWidth="true" style="0"/>
    <col min="33" max="33" width="17.428571428571" hidden="true" customWidth="true" style="0"/>
    <col min="34" max="34" width="17.428571428571" hidden="true" customWidth="true" style="0"/>
    <col min="35" max="35" width="17.428571428571" hidden="true" customWidth="true" style="0"/>
    <col min="36" max="36" width="17.428571428571" hidden="true" customWidth="true" style="0"/>
    <col min="37" max="37" width="17.428571428571" hidden="true" customWidth="true" style="0"/>
  </cols>
  <sheetData>
    <row r="2" spans="1:37">
      <c r="A2" s="1" t="s">
        <v>0</v>
      </c>
    </row>
    <row r="3" spans="1:37">
      <c r="A3" s="2" t="s">
        <v>1</v>
      </c>
    </row>
    <row r="4" spans="1:37">
      <c r="A4" s="2" t="s">
        <v>2</v>
      </c>
    </row>
    <row r="6" spans="1:37">
      <c r="A6" s="1" t="s">
        <v>3</v>
      </c>
    </row>
    <row r="7" spans="1:37">
      <c r="A7" s="3" t="s">
        <v>4</v>
      </c>
      <c r="B7" s="4" t="s">
        <v>5</v>
      </c>
      <c r="C7" s="5" t="s">
        <v>6</v>
      </c>
      <c r="D7" s="5" t="s">
        <v>8</v>
      </c>
      <c r="E7" s="5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7" t="s">
        <v>13</v>
      </c>
      <c r="R7" s="7" t="s">
        <v>21</v>
      </c>
      <c r="S7" s="7" t="s">
        <v>22</v>
      </c>
      <c r="T7" s="7" t="s">
        <v>23</v>
      </c>
      <c r="V7" s="6" t="s">
        <v>7</v>
      </c>
      <c r="W7" s="8" t="s">
        <v>24</v>
      </c>
      <c r="X7" s="8" t="s">
        <v>25</v>
      </c>
      <c r="Y7" s="8" t="s">
        <v>26</v>
      </c>
      <c r="Z7" s="8" t="s">
        <v>27</v>
      </c>
      <c r="AA7" s="8" t="s">
        <v>28</v>
      </c>
      <c r="AB7" s="8" t="s">
        <v>29</v>
      </c>
      <c r="AC7" s="8" t="s">
        <v>30</v>
      </c>
      <c r="AD7" s="8" t="s">
        <v>31</v>
      </c>
      <c r="AE7" s="8" t="s">
        <v>32</v>
      </c>
      <c r="AF7" s="8" t="s">
        <v>33</v>
      </c>
      <c r="AG7" s="8" t="s">
        <v>34</v>
      </c>
      <c r="AH7" s="8" t="s">
        <v>35</v>
      </c>
      <c r="AI7" s="8" t="s">
        <v>36</v>
      </c>
      <c r="AJ7" s="8" t="s">
        <v>37</v>
      </c>
      <c r="AK7" s="8" t="s">
        <v>38</v>
      </c>
    </row>
    <row r="8" spans="1:37">
      <c r="A8" s="2" t="s">
        <v>39</v>
      </c>
      <c r="B8" s="13">
        <f>IF(H8 = 0, "--", W8 / H8)</f>
        <v>677</v>
      </c>
      <c r="C8" s="14">
        <f>IF(H8 = 0, 0, Z8 / H8)</f>
        <v>1975</v>
      </c>
      <c r="D8" s="14">
        <f>IF(I8 = 0, 0, AA8 / I8)</f>
        <v>1860</v>
      </c>
      <c r="E8" s="14">
        <f>IF(I8 = 0, 0, AD8 / I8)</f>
        <v>1690.6666666667</v>
      </c>
      <c r="F8" s="13">
        <f>H8 + G8</f>
        <v>30</v>
      </c>
      <c r="G8" s="13">
        <v>0.0</v>
      </c>
      <c r="H8" s="13">
        <v>30.0</v>
      </c>
      <c r="I8" s="13">
        <f>L8 + N8 + M8</f>
        <v>2</v>
      </c>
      <c r="J8" s="13">
        <f>O8 + P8</f>
        <v>28</v>
      </c>
      <c r="K8" s="13">
        <v>24.0</v>
      </c>
      <c r="L8" s="13">
        <v>2.0</v>
      </c>
      <c r="M8" s="13">
        <v>0.0</v>
      </c>
      <c r="N8" s="13">
        <v>0.0</v>
      </c>
      <c r="O8" s="13">
        <f>AE8 + AF8</f>
        <v>4</v>
      </c>
      <c r="P8" s="13">
        <f>AG8 + AH8</f>
        <v>24</v>
      </c>
      <c r="Q8" s="15">
        <f>IF(H8 = 0, "--", I8 / H8)</f>
        <v>0.066666666666667</v>
      </c>
      <c r="R8" s="15">
        <f>IF(H8 = 0, "--", AI8 / H8)</f>
        <v>0.2</v>
      </c>
      <c r="S8" s="15">
        <f>IF(H8 = 0, "--", AK8 / H8)</f>
        <v>0.2</v>
      </c>
      <c r="T8" s="15">
        <f>IF(H8 = 0, "--", AJ8 / H8)</f>
        <v>0.8</v>
      </c>
      <c r="V8" s="14">
        <f>IF(H8 = 0, 0, X8 / H8)</f>
        <v>1867.6666666667</v>
      </c>
      <c r="W8" s="13">
        <v>20310.0</v>
      </c>
      <c r="X8" s="13">
        <v>56030.0</v>
      </c>
      <c r="Y8" s="13">
        <v>3966.0</v>
      </c>
      <c r="Z8" s="13">
        <v>59250.0</v>
      </c>
      <c r="AA8" s="13">
        <v>3720.0</v>
      </c>
      <c r="AB8" s="13">
        <v>246.0</v>
      </c>
      <c r="AC8" s="13">
        <v>3386.2666666667</v>
      </c>
      <c r="AD8" s="13">
        <v>3381.3333333333</v>
      </c>
      <c r="AE8" s="13">
        <v>0.0</v>
      </c>
      <c r="AF8" s="13">
        <v>4.0</v>
      </c>
      <c r="AG8" s="13">
        <v>1.0</v>
      </c>
      <c r="AH8" s="13">
        <v>23.0</v>
      </c>
      <c r="AI8" s="13">
        <f>L8 + M8 + O8 + N8</f>
        <v>6</v>
      </c>
      <c r="AJ8" s="13">
        <f>P8 + N8</f>
        <v>24</v>
      </c>
      <c r="AK8" s="13">
        <f>L8 + M8 + O8</f>
        <v>6</v>
      </c>
    </row>
    <row r="9" spans="1:37">
      <c r="A9" s="2" t="s">
        <v>40</v>
      </c>
      <c r="B9" s="13">
        <f>IF(H9 = 0, "--", W9 / H9)</f>
        <v>789</v>
      </c>
      <c r="C9" s="14">
        <f>IF(H9 = 0, 0, Z9 / H9)</f>
        <v>2250</v>
      </c>
      <c r="D9" s="14">
        <f>IF(I9 = 0, 0, AA9 / I9)</f>
        <v>0</v>
      </c>
      <c r="E9" s="14">
        <f>IF(I9 = 0, 0, AD9 / I9)</f>
        <v>0</v>
      </c>
      <c r="F9" s="13">
        <f>H9 + G9</f>
        <v>3</v>
      </c>
      <c r="G9" s="13">
        <v>0.0</v>
      </c>
      <c r="H9" s="13">
        <v>3.0</v>
      </c>
      <c r="I9" s="13">
        <f>L9 + N9 + M9</f>
        <v>0</v>
      </c>
      <c r="J9" s="13">
        <f>O9 + P9</f>
        <v>3</v>
      </c>
      <c r="K9" s="13">
        <v>3.0</v>
      </c>
      <c r="L9" s="13">
        <v>0.0</v>
      </c>
      <c r="M9" s="13">
        <v>0.0</v>
      </c>
      <c r="N9" s="13">
        <v>0.0</v>
      </c>
      <c r="O9" s="13">
        <f>AE9 + AF9</f>
        <v>0</v>
      </c>
      <c r="P9" s="13">
        <f>AG9 + AH9</f>
        <v>3</v>
      </c>
      <c r="Q9" s="15">
        <f>IF(H9 = 0, "--", I9 / H9)</f>
        <v>0</v>
      </c>
      <c r="R9" s="15">
        <f>IF(H9 = 0, "--", AI9 / H9)</f>
        <v>0</v>
      </c>
      <c r="S9" s="15">
        <f>IF(H9 = 0, "--", AK9 / H9)</f>
        <v>0</v>
      </c>
      <c r="T9" s="15">
        <f>IF(H9 = 0, "--", AJ9 / H9)</f>
        <v>1</v>
      </c>
      <c r="V9" s="14">
        <f>IF(H9 = 0, 0, X9 / H9)</f>
        <v>2300</v>
      </c>
      <c r="W9" s="13">
        <v>2367.0</v>
      </c>
      <c r="X9" s="13">
        <v>6900.0</v>
      </c>
      <c r="Y9" s="13">
        <v>0.0</v>
      </c>
      <c r="Z9" s="13">
        <v>6750.0</v>
      </c>
      <c r="AA9" s="13">
        <v>0.0</v>
      </c>
      <c r="AB9" s="13">
        <v>0.0</v>
      </c>
      <c r="AC9" s="13">
        <v>0.0</v>
      </c>
      <c r="AD9" s="13">
        <v>0.0</v>
      </c>
      <c r="AE9" s="13">
        <v>0.0</v>
      </c>
      <c r="AF9" s="13">
        <v>0.0</v>
      </c>
      <c r="AG9" s="13">
        <v>0.0</v>
      </c>
      <c r="AH9" s="13">
        <v>3.0</v>
      </c>
      <c r="AI9" s="13">
        <f>L9 + M9 + O9 + N9</f>
        <v>0</v>
      </c>
      <c r="AJ9" s="13">
        <f>P9 + N9</f>
        <v>3</v>
      </c>
      <c r="AK9" s="13">
        <f>L9 + M9 + O9</f>
        <v>0</v>
      </c>
    </row>
    <row r="10" spans="1:37">
      <c r="A10" s="2" t="s">
        <v>41</v>
      </c>
      <c r="B10" s="13">
        <f>IF(H10 = 0, "--", W10 / H10)</f>
        <v>750</v>
      </c>
      <c r="C10" s="14">
        <f>IF(H10 = 0, 0, Z10 / H10)</f>
        <v>2195</v>
      </c>
      <c r="D10" s="14">
        <f>IF(I10 = 0, 0, AA10 / I10)</f>
        <v>2111.2857142857</v>
      </c>
      <c r="E10" s="14">
        <f>IF(I10 = 0, 0, AD10 / I10)</f>
        <v>1984.9542349783</v>
      </c>
      <c r="F10" s="13">
        <f>H10 + G10</f>
        <v>38</v>
      </c>
      <c r="G10" s="13">
        <v>0.0</v>
      </c>
      <c r="H10" s="13">
        <v>38.0</v>
      </c>
      <c r="I10" s="13">
        <f>L10 + N10 + M10</f>
        <v>7</v>
      </c>
      <c r="J10" s="13">
        <f>O10 + P10</f>
        <v>31</v>
      </c>
      <c r="K10" s="13">
        <v>29.0</v>
      </c>
      <c r="L10" s="13">
        <v>7.0</v>
      </c>
      <c r="M10" s="13">
        <v>0.0</v>
      </c>
      <c r="N10" s="13">
        <v>0.0</v>
      </c>
      <c r="O10" s="13">
        <f>AE10 + AF10</f>
        <v>2</v>
      </c>
      <c r="P10" s="13">
        <f>AG10 + AH10</f>
        <v>29</v>
      </c>
      <c r="Q10" s="15">
        <f>IF(H10 = 0, "--", I10 / H10)</f>
        <v>0.18421052631579</v>
      </c>
      <c r="R10" s="15">
        <f>IF(H10 = 0, "--", AI10 / H10)</f>
        <v>0.23684210526316</v>
      </c>
      <c r="S10" s="15">
        <f>IF(H10 = 0, "--", AK10 / H10)</f>
        <v>0.23684210526316</v>
      </c>
      <c r="T10" s="15">
        <f>IF(H10 = 0, "--", AJ10 / H10)</f>
        <v>0.76315789473684</v>
      </c>
      <c r="V10" s="14">
        <f>IF(H10 = 0, 0, X10 / H10)</f>
        <v>1994.3157894737</v>
      </c>
      <c r="W10" s="13">
        <v>28500.0</v>
      </c>
      <c r="X10" s="13">
        <v>75784.0</v>
      </c>
      <c r="Y10" s="13">
        <v>15670.0</v>
      </c>
      <c r="Z10" s="13">
        <v>83410.0</v>
      </c>
      <c r="AA10" s="13">
        <v>14779.0</v>
      </c>
      <c r="AB10" s="13">
        <v>891.0</v>
      </c>
      <c r="AC10" s="13">
        <v>13972.107692308</v>
      </c>
      <c r="AD10" s="13">
        <v>13894.679644848</v>
      </c>
      <c r="AE10" s="13">
        <v>1.0</v>
      </c>
      <c r="AF10" s="13">
        <v>1.0</v>
      </c>
      <c r="AG10" s="13">
        <v>6.0</v>
      </c>
      <c r="AH10" s="13">
        <v>23.0</v>
      </c>
      <c r="AI10" s="13">
        <f>L10 + M10 + O10 + N10</f>
        <v>9</v>
      </c>
      <c r="AJ10" s="13">
        <f>P10 + N10</f>
        <v>29</v>
      </c>
      <c r="AK10" s="13">
        <f>L10 + M10 + O10</f>
        <v>9</v>
      </c>
    </row>
    <row r="11" spans="1:37">
      <c r="A11" s="2" t="s">
        <v>42</v>
      </c>
      <c r="B11" s="13">
        <f>IF(H11 = 0, "--", W11 / H11)</f>
        <v>759</v>
      </c>
      <c r="C11" s="14">
        <f>IF(H11 = 0, 0, Z11 / H11)</f>
        <v>2250</v>
      </c>
      <c r="D11" s="14">
        <f>IF(I11 = 0, 0, AA11 / I11)</f>
        <v>0</v>
      </c>
      <c r="E11" s="14">
        <f>IF(I11 = 0, 0, AD11 / I11)</f>
        <v>0</v>
      </c>
      <c r="F11" s="13">
        <f>H11 + G11</f>
        <v>20</v>
      </c>
      <c r="G11" s="13">
        <v>0.0</v>
      </c>
      <c r="H11" s="13">
        <v>20.0</v>
      </c>
      <c r="I11" s="13">
        <f>L11 + N11 + M11</f>
        <v>0</v>
      </c>
      <c r="J11" s="13">
        <f>O11 + P11</f>
        <v>20</v>
      </c>
      <c r="K11" s="13">
        <v>20.0</v>
      </c>
      <c r="L11" s="13">
        <v>0.0</v>
      </c>
      <c r="M11" s="13">
        <v>0.0</v>
      </c>
      <c r="N11" s="13">
        <v>0.0</v>
      </c>
      <c r="O11" s="13">
        <f>AE11 + AF11</f>
        <v>0</v>
      </c>
      <c r="P11" s="13">
        <f>AG11 + AH11</f>
        <v>20</v>
      </c>
      <c r="Q11" s="15">
        <f>IF(H11 = 0, "--", I11 / H11)</f>
        <v>0</v>
      </c>
      <c r="R11" s="15">
        <f>IF(H11 = 0, "--", AI11 / H11)</f>
        <v>0</v>
      </c>
      <c r="S11" s="15">
        <f>IF(H11 = 0, "--", AK11 / H11)</f>
        <v>0</v>
      </c>
      <c r="T11" s="15">
        <f>IF(H11 = 0, "--", AJ11 / H11)</f>
        <v>1</v>
      </c>
      <c r="V11" s="14">
        <f>IF(H11 = 0, 0, X11 / H11)</f>
        <v>2195</v>
      </c>
      <c r="W11" s="13">
        <v>15180.0</v>
      </c>
      <c r="X11" s="13">
        <v>43900.0</v>
      </c>
      <c r="Y11" s="13">
        <v>0.0</v>
      </c>
      <c r="Z11" s="13">
        <v>45000.0</v>
      </c>
      <c r="AA11" s="13">
        <v>0.0</v>
      </c>
      <c r="AB11" s="13">
        <v>0.0</v>
      </c>
      <c r="AC11" s="13">
        <v>0.0</v>
      </c>
      <c r="AD11" s="13">
        <v>0.0</v>
      </c>
      <c r="AE11" s="13">
        <v>0.0</v>
      </c>
      <c r="AF11" s="13">
        <v>0.0</v>
      </c>
      <c r="AG11" s="13">
        <v>2.0</v>
      </c>
      <c r="AH11" s="13">
        <v>18.0</v>
      </c>
      <c r="AI11" s="13">
        <f>L11 + M11 + O11 + N11</f>
        <v>0</v>
      </c>
      <c r="AJ11" s="13">
        <f>P11 + N11</f>
        <v>20</v>
      </c>
      <c r="AK11" s="13">
        <f>L11 + M11 + O11</f>
        <v>0</v>
      </c>
    </row>
    <row r="12" spans="1:37">
      <c r="A12" s="2" t="s">
        <v>43</v>
      </c>
      <c r="B12" s="13">
        <f>IF(H12 = 0, "--", W12 / H12)</f>
        <v>813</v>
      </c>
      <c r="C12" s="14">
        <f>IF(H12 = 0, 0, Z12 / H12)</f>
        <v>2400</v>
      </c>
      <c r="D12" s="14">
        <f>IF(I12 = 0, 0, AA12 / I12)</f>
        <v>0</v>
      </c>
      <c r="E12" s="14">
        <f>IF(I12 = 0, 0, AD12 / I12)</f>
        <v>0</v>
      </c>
      <c r="F12" s="13">
        <f>H12 + G12</f>
        <v>10</v>
      </c>
      <c r="G12" s="13">
        <v>0.0</v>
      </c>
      <c r="H12" s="13">
        <v>10.0</v>
      </c>
      <c r="I12" s="13">
        <f>L12 + N12 + M12</f>
        <v>0</v>
      </c>
      <c r="J12" s="13">
        <f>O12 + P12</f>
        <v>10</v>
      </c>
      <c r="K12" s="13">
        <v>8.0</v>
      </c>
      <c r="L12" s="13">
        <v>0.0</v>
      </c>
      <c r="M12" s="13">
        <v>0.0</v>
      </c>
      <c r="N12" s="13">
        <v>0.0</v>
      </c>
      <c r="O12" s="13">
        <f>AE12 + AF12</f>
        <v>2</v>
      </c>
      <c r="P12" s="13">
        <f>AG12 + AH12</f>
        <v>8</v>
      </c>
      <c r="Q12" s="15">
        <f>IF(H12 = 0, "--", I12 / H12)</f>
        <v>0</v>
      </c>
      <c r="R12" s="15">
        <f>IF(H12 = 0, "--", AI12 / H12)</f>
        <v>0.2</v>
      </c>
      <c r="S12" s="15">
        <f>IF(H12 = 0, "--", AK12 / H12)</f>
        <v>0.2</v>
      </c>
      <c r="T12" s="15">
        <f>IF(H12 = 0, "--", AJ12 / H12)</f>
        <v>0.8</v>
      </c>
      <c r="V12" s="14">
        <f>IF(H12 = 0, 0, X12 / H12)</f>
        <v>2395</v>
      </c>
      <c r="W12" s="13">
        <v>8130.0</v>
      </c>
      <c r="X12" s="13">
        <v>23950.0</v>
      </c>
      <c r="Y12" s="13">
        <v>0.0</v>
      </c>
      <c r="Z12" s="13">
        <v>24000.0</v>
      </c>
      <c r="AA12" s="13">
        <v>0.0</v>
      </c>
      <c r="AB12" s="13">
        <v>0.0</v>
      </c>
      <c r="AC12" s="13">
        <v>0.0</v>
      </c>
      <c r="AD12" s="13">
        <v>0.0</v>
      </c>
      <c r="AE12" s="13">
        <v>0.0</v>
      </c>
      <c r="AF12" s="13">
        <v>2.0</v>
      </c>
      <c r="AG12" s="13">
        <v>2.0</v>
      </c>
      <c r="AH12" s="13">
        <v>6.0</v>
      </c>
      <c r="AI12" s="13">
        <f>L12 + M12 + O12 + N12</f>
        <v>2</v>
      </c>
      <c r="AJ12" s="13">
        <f>P12 + N12</f>
        <v>8</v>
      </c>
      <c r="AK12" s="13">
        <f>L12 + M12 + O12</f>
        <v>2</v>
      </c>
    </row>
    <row r="13" spans="1:37">
      <c r="A13" s="2" t="s">
        <v>44</v>
      </c>
      <c r="B13" s="13">
        <f>IF(H13 = 0, "--", W13 / H13)</f>
        <v>892</v>
      </c>
      <c r="C13" s="14">
        <f>IF(H13 = 0, 0, Z13 / H13)</f>
        <v>2600</v>
      </c>
      <c r="D13" s="14">
        <f>IF(I13 = 0, 0, AA13 / I13)</f>
        <v>2455.6666666667</v>
      </c>
      <c r="E13" s="14">
        <f>IF(I13 = 0, 0, AD13 / I13)</f>
        <v>2111.3512991453</v>
      </c>
      <c r="F13" s="13">
        <f>H13 + G13</f>
        <v>8</v>
      </c>
      <c r="G13" s="13">
        <v>0.0</v>
      </c>
      <c r="H13" s="13">
        <v>8.0</v>
      </c>
      <c r="I13" s="13">
        <f>L13 + N13 + M13</f>
        <v>3</v>
      </c>
      <c r="J13" s="13">
        <f>O13 + P13</f>
        <v>5</v>
      </c>
      <c r="K13" s="13">
        <v>4.0</v>
      </c>
      <c r="L13" s="13">
        <v>3.0</v>
      </c>
      <c r="M13" s="13">
        <v>0.0</v>
      </c>
      <c r="N13" s="13">
        <v>0.0</v>
      </c>
      <c r="O13" s="13">
        <f>AE13 + AF13</f>
        <v>1</v>
      </c>
      <c r="P13" s="13">
        <f>AG13 + AH13</f>
        <v>4</v>
      </c>
      <c r="Q13" s="15">
        <f>IF(H13 = 0, "--", I13 / H13)</f>
        <v>0.375</v>
      </c>
      <c r="R13" s="15">
        <f>IF(H13 = 0, "--", AI13 / H13)</f>
        <v>0.5</v>
      </c>
      <c r="S13" s="15">
        <f>IF(H13 = 0, "--", AK13 / H13)</f>
        <v>0.5</v>
      </c>
      <c r="T13" s="15">
        <f>IF(H13 = 0, "--", AJ13 / H13)</f>
        <v>0.5</v>
      </c>
      <c r="V13" s="14">
        <f>IF(H13 = 0, 0, X13 / H13)</f>
        <v>2495.875</v>
      </c>
      <c r="W13" s="13">
        <v>7136.0</v>
      </c>
      <c r="X13" s="13">
        <v>19967.0</v>
      </c>
      <c r="Y13" s="13">
        <v>7889.0</v>
      </c>
      <c r="Z13" s="13">
        <v>20800.0</v>
      </c>
      <c r="AA13" s="13">
        <v>7367.0</v>
      </c>
      <c r="AB13" s="13">
        <v>522.0</v>
      </c>
      <c r="AC13" s="13">
        <v>6531.1025641026</v>
      </c>
      <c r="AD13" s="13">
        <v>6334.0538974359</v>
      </c>
      <c r="AE13" s="13">
        <v>1.0</v>
      </c>
      <c r="AF13" s="13">
        <v>0.0</v>
      </c>
      <c r="AG13" s="13">
        <v>4.0</v>
      </c>
      <c r="AH13" s="13">
        <v>0.0</v>
      </c>
      <c r="AI13" s="13">
        <f>L13 + M13 + O13 + N13</f>
        <v>4</v>
      </c>
      <c r="AJ13" s="13">
        <f>P13 + N13</f>
        <v>4</v>
      </c>
      <c r="AK13" s="13">
        <f>L13 + M13 + O13</f>
        <v>4</v>
      </c>
    </row>
    <row r="14" spans="1:37">
      <c r="A14" s="2" t="s">
        <v>45</v>
      </c>
      <c r="B14" s="13">
        <f>IF(H14 = 0, "--", W14 / H14)</f>
        <v>1048</v>
      </c>
      <c r="C14" s="14">
        <f>IF(H14 = 0, 0, Z14 / H14)</f>
        <v>3050</v>
      </c>
      <c r="D14" s="14">
        <f>IF(I14 = 0, 0, AA14 / I14)</f>
        <v>2445</v>
      </c>
      <c r="E14" s="14">
        <f>IF(I14 = 0, 0, AD14 / I14)</f>
        <v>2410.9280936455</v>
      </c>
      <c r="F14" s="13">
        <f>H14 + G14</f>
        <v>61</v>
      </c>
      <c r="G14" s="13">
        <v>0.0</v>
      </c>
      <c r="H14" s="13">
        <v>61.0</v>
      </c>
      <c r="I14" s="13">
        <f>L14 + N14 + M14</f>
        <v>1</v>
      </c>
      <c r="J14" s="13">
        <f>O14 + P14</f>
        <v>60</v>
      </c>
      <c r="K14" s="13">
        <v>59.0</v>
      </c>
      <c r="L14" s="13">
        <v>1.0</v>
      </c>
      <c r="M14" s="13">
        <v>0.0</v>
      </c>
      <c r="N14" s="13">
        <v>0.0</v>
      </c>
      <c r="O14" s="13">
        <f>AE14 + AF14</f>
        <v>1</v>
      </c>
      <c r="P14" s="13">
        <f>AG14 + AH14</f>
        <v>59</v>
      </c>
      <c r="Q14" s="15">
        <f>IF(H14 = 0, "--", I14 / H14)</f>
        <v>0.016393442622951</v>
      </c>
      <c r="R14" s="15">
        <f>IF(H14 = 0, "--", AI14 / H14)</f>
        <v>0.032786885245902</v>
      </c>
      <c r="S14" s="15">
        <f>IF(H14 = 0, "--", AK14 / H14)</f>
        <v>0.032786885245902</v>
      </c>
      <c r="T14" s="15">
        <f>IF(H14 = 0, "--", AJ14 / H14)</f>
        <v>0.9672131147541</v>
      </c>
      <c r="V14" s="14">
        <f>IF(H14 = 0, 0, X14 / H14)</f>
        <v>2446.5901639344</v>
      </c>
      <c r="W14" s="13">
        <v>63928.0</v>
      </c>
      <c r="X14" s="13">
        <v>149242.0</v>
      </c>
      <c r="Y14" s="13">
        <v>2445.0</v>
      </c>
      <c r="Z14" s="13">
        <v>186050.0</v>
      </c>
      <c r="AA14" s="13">
        <v>2445.0</v>
      </c>
      <c r="AB14" s="13">
        <v>0.0</v>
      </c>
      <c r="AC14" s="13">
        <v>2445.0</v>
      </c>
      <c r="AD14" s="13">
        <v>2410.9280936455</v>
      </c>
      <c r="AE14" s="13">
        <v>1.0</v>
      </c>
      <c r="AF14" s="13">
        <v>0.0</v>
      </c>
      <c r="AG14" s="13">
        <v>8.0</v>
      </c>
      <c r="AH14" s="13">
        <v>51.0</v>
      </c>
      <c r="AI14" s="13">
        <f>L14 + M14 + O14 + N14</f>
        <v>2</v>
      </c>
      <c r="AJ14" s="13">
        <f>P14 + N14</f>
        <v>59</v>
      </c>
      <c r="AK14" s="13">
        <f>L14 + M14 + O14</f>
        <v>2</v>
      </c>
    </row>
    <row r="15" spans="1:37">
      <c r="A15" s="2" t="s">
        <v>46</v>
      </c>
      <c r="B15" s="13">
        <f>IF(H15 = 0, "--", W15 / H15)</f>
        <v>1095</v>
      </c>
      <c r="C15" s="14">
        <f>IF(H15 = 0, 0, Z15 / H15)</f>
        <v>3200</v>
      </c>
      <c r="D15" s="14">
        <f>IF(I15 = 0, 0, AA15 / I15)</f>
        <v>0</v>
      </c>
      <c r="E15" s="14">
        <f>IF(I15 = 0, 0, AD15 / I15)</f>
        <v>0</v>
      </c>
      <c r="F15" s="13">
        <f>H15 + G15</f>
        <v>10</v>
      </c>
      <c r="G15" s="13">
        <v>0.0</v>
      </c>
      <c r="H15" s="13">
        <v>10.0</v>
      </c>
      <c r="I15" s="13">
        <f>L15 + N15 + M15</f>
        <v>0</v>
      </c>
      <c r="J15" s="13">
        <f>O15 + P15</f>
        <v>10</v>
      </c>
      <c r="K15" s="13">
        <v>10.0</v>
      </c>
      <c r="L15" s="13">
        <v>0.0</v>
      </c>
      <c r="M15" s="13">
        <v>0.0</v>
      </c>
      <c r="N15" s="13">
        <v>0.0</v>
      </c>
      <c r="O15" s="13">
        <f>AE15 + AF15</f>
        <v>0</v>
      </c>
      <c r="P15" s="13">
        <f>AG15 + AH15</f>
        <v>10</v>
      </c>
      <c r="Q15" s="15">
        <f>IF(H15 = 0, "--", I15 / H15)</f>
        <v>0</v>
      </c>
      <c r="R15" s="15">
        <f>IF(H15 = 0, "--", AI15 / H15)</f>
        <v>0</v>
      </c>
      <c r="S15" s="15">
        <f>IF(H15 = 0, "--", AK15 / H15)</f>
        <v>0</v>
      </c>
      <c r="T15" s="15">
        <f>IF(H15 = 0, "--", AJ15 / H15)</f>
        <v>1</v>
      </c>
      <c r="V15" s="14">
        <f>IF(H15 = 0, 0, X15 / H15)</f>
        <v>3150</v>
      </c>
      <c r="W15" s="13">
        <v>10950.0</v>
      </c>
      <c r="X15" s="13">
        <v>31500.0</v>
      </c>
      <c r="Y15" s="13">
        <v>0.0</v>
      </c>
      <c r="Z15" s="13">
        <v>32000.0</v>
      </c>
      <c r="AA15" s="13">
        <v>0.0</v>
      </c>
      <c r="AB15" s="13">
        <v>0.0</v>
      </c>
      <c r="AC15" s="13">
        <v>0.0</v>
      </c>
      <c r="AD15" s="13">
        <v>0.0</v>
      </c>
      <c r="AE15" s="13">
        <v>0.0</v>
      </c>
      <c r="AF15" s="13">
        <v>0.0</v>
      </c>
      <c r="AG15" s="13">
        <v>1.0</v>
      </c>
      <c r="AH15" s="13">
        <v>9.0</v>
      </c>
      <c r="AI15" s="13">
        <f>L15 + M15 + O15 + N15</f>
        <v>0</v>
      </c>
      <c r="AJ15" s="13">
        <f>P15 + N15</f>
        <v>10</v>
      </c>
      <c r="AK15" s="13">
        <f>L15 + M15 + O15</f>
        <v>0</v>
      </c>
    </row>
    <row r="16" spans="1:37">
      <c r="A16" s="2" t="s">
        <v>47</v>
      </c>
      <c r="B16" s="13">
        <f>IF(H16 = 0, "--", W16 / H16)</f>
        <v>1237</v>
      </c>
      <c r="C16" s="14">
        <f>IF(H16 = 0, 0, Z16 / H16)</f>
        <v>3450</v>
      </c>
      <c r="D16" s="14">
        <f>IF(I16 = 0, 0, AA16 / I16)</f>
        <v>3254.1666666667</v>
      </c>
      <c r="E16" s="14">
        <f>IF(I16 = 0, 0, AD16 / I16)</f>
        <v>2914.7998323247</v>
      </c>
      <c r="F16" s="13">
        <f>H16 + G16</f>
        <v>56</v>
      </c>
      <c r="G16" s="13">
        <v>0.0</v>
      </c>
      <c r="H16" s="13">
        <v>56.0</v>
      </c>
      <c r="I16" s="13">
        <f>L16 + N16 + M16</f>
        <v>6</v>
      </c>
      <c r="J16" s="13">
        <f>O16 + P16</f>
        <v>50</v>
      </c>
      <c r="K16" s="13">
        <v>48.0</v>
      </c>
      <c r="L16" s="13">
        <v>6.0</v>
      </c>
      <c r="M16" s="13">
        <v>0.0</v>
      </c>
      <c r="N16" s="13">
        <v>0.0</v>
      </c>
      <c r="O16" s="13">
        <f>AE16 + AF16</f>
        <v>2</v>
      </c>
      <c r="P16" s="13">
        <f>AG16 + AH16</f>
        <v>48</v>
      </c>
      <c r="Q16" s="15">
        <f>IF(H16 = 0, "--", I16 / H16)</f>
        <v>0.10714285714286</v>
      </c>
      <c r="R16" s="15">
        <f>IF(H16 = 0, "--", AI16 / H16)</f>
        <v>0.14285714285714</v>
      </c>
      <c r="S16" s="15">
        <f>IF(H16 = 0, "--", AK16 / H16)</f>
        <v>0.14285714285714</v>
      </c>
      <c r="T16" s="15">
        <f>IF(H16 = 0, "--", AJ16 / H16)</f>
        <v>0.85714285714286</v>
      </c>
      <c r="V16" s="14">
        <f>IF(H16 = 0, 0, X16 / H16)</f>
        <v>3161.1607142857</v>
      </c>
      <c r="W16" s="13">
        <v>69272.0</v>
      </c>
      <c r="X16" s="13">
        <v>177025.0</v>
      </c>
      <c r="Y16" s="13">
        <v>20280.0</v>
      </c>
      <c r="Z16" s="13">
        <v>193200.0</v>
      </c>
      <c r="AA16" s="13">
        <v>19525.0</v>
      </c>
      <c r="AB16" s="13">
        <v>755.0</v>
      </c>
      <c r="AC16" s="13">
        <v>17927.01025641</v>
      </c>
      <c r="AD16" s="13">
        <v>17488.798993948</v>
      </c>
      <c r="AE16" s="13">
        <v>0.0</v>
      </c>
      <c r="AF16" s="13">
        <v>2.0</v>
      </c>
      <c r="AG16" s="13">
        <v>8.0</v>
      </c>
      <c r="AH16" s="13">
        <v>40.0</v>
      </c>
      <c r="AI16" s="13">
        <f>L16 + M16 + O16 + N16</f>
        <v>8</v>
      </c>
      <c r="AJ16" s="13">
        <f>P16 + N16</f>
        <v>48</v>
      </c>
      <c r="AK16" s="13">
        <f>L16 + M16 + O16</f>
        <v>8</v>
      </c>
    </row>
    <row r="17" spans="1:37">
      <c r="A17" s="2" t="s">
        <v>48</v>
      </c>
      <c r="B17" s="13">
        <f>IF(H17 = 0, "--", W17 / H17)</f>
        <v>1474</v>
      </c>
      <c r="C17" s="14">
        <f>IF(H17 = 0, 0, Z17 / H17)</f>
        <v>3640</v>
      </c>
      <c r="D17" s="14">
        <f>IF(I17 = 0, 0, AA17 / I17)</f>
        <v>3640</v>
      </c>
      <c r="E17" s="14">
        <f>IF(I17 = 0, 0, AD17 / I17)</f>
        <v>3626.6285833333</v>
      </c>
      <c r="F17" s="13">
        <f>H17 + G17</f>
        <v>52</v>
      </c>
      <c r="G17" s="13">
        <v>0.0</v>
      </c>
      <c r="H17" s="13">
        <v>52.0</v>
      </c>
      <c r="I17" s="13">
        <f>L17 + N17 + M17</f>
        <v>8</v>
      </c>
      <c r="J17" s="13">
        <f>O17 + P17</f>
        <v>44</v>
      </c>
      <c r="K17" s="13">
        <v>44.0</v>
      </c>
      <c r="L17" s="13">
        <v>8.0</v>
      </c>
      <c r="M17" s="13">
        <v>0.0</v>
      </c>
      <c r="N17" s="13">
        <v>0.0</v>
      </c>
      <c r="O17" s="13">
        <f>AE17 + AF17</f>
        <v>0</v>
      </c>
      <c r="P17" s="13">
        <f>AG17 + AH17</f>
        <v>44</v>
      </c>
      <c r="Q17" s="15">
        <f>IF(H17 = 0, "--", I17 / H17)</f>
        <v>0.15384615384615</v>
      </c>
      <c r="R17" s="15">
        <f>IF(H17 = 0, "--", AI17 / H17)</f>
        <v>0.15384615384615</v>
      </c>
      <c r="S17" s="15">
        <f>IF(H17 = 0, "--", AK17 / H17)</f>
        <v>0.15384615384615</v>
      </c>
      <c r="T17" s="15">
        <f>IF(H17 = 0, "--", AJ17 / H17)</f>
        <v>0.84615384615385</v>
      </c>
      <c r="V17" s="14">
        <f>IF(H17 = 0, 0, X17 / H17)</f>
        <v>3828.4615384615</v>
      </c>
      <c r="W17" s="13">
        <v>76648.0</v>
      </c>
      <c r="X17" s="13">
        <v>199080.0</v>
      </c>
      <c r="Y17" s="13">
        <v>26469.8</v>
      </c>
      <c r="Z17" s="13">
        <v>189280.0</v>
      </c>
      <c r="AA17" s="13">
        <v>29120.0</v>
      </c>
      <c r="AB17" s="13">
        <v>-2650.2</v>
      </c>
      <c r="AC17" s="13">
        <v>29021.132666667</v>
      </c>
      <c r="AD17" s="13">
        <v>29013.028666667</v>
      </c>
      <c r="AE17" s="13">
        <v>0.0</v>
      </c>
      <c r="AF17" s="13">
        <v>0.0</v>
      </c>
      <c r="AG17" s="13">
        <v>42.0</v>
      </c>
      <c r="AH17" s="13">
        <v>2.0</v>
      </c>
      <c r="AI17" s="13">
        <f>L17 + M17 + O17 + N17</f>
        <v>8</v>
      </c>
      <c r="AJ17" s="13">
        <f>P17 + N17</f>
        <v>44</v>
      </c>
      <c r="AK17" s="13">
        <f>L17 + M17 + O17</f>
        <v>8</v>
      </c>
    </row>
    <row r="18" spans="1:37">
      <c r="A18" s="2" t="s">
        <v>49</v>
      </c>
      <c r="B18" s="13">
        <f>IF(H18 = 0, "--", W18 / H18)</f>
        <v>1694</v>
      </c>
      <c r="C18" s="14">
        <f>IF(H18 = 0, 0, Z18 / H18)</f>
        <v>4190</v>
      </c>
      <c r="D18" s="14">
        <f>IF(I18 = 0, 0, AA18 / I18)</f>
        <v>3840.8333333333</v>
      </c>
      <c r="E18" s="14">
        <f>IF(I18 = 0, 0, AD18 / I18)</f>
        <v>3854.5994081197</v>
      </c>
      <c r="F18" s="13">
        <f>H18 + G18</f>
        <v>20</v>
      </c>
      <c r="G18" s="13">
        <v>0.0</v>
      </c>
      <c r="H18" s="13">
        <v>20.0</v>
      </c>
      <c r="I18" s="13">
        <f>L18 + N18 + M18</f>
        <v>12</v>
      </c>
      <c r="J18" s="13">
        <f>O18 + P18</f>
        <v>8</v>
      </c>
      <c r="K18" s="13">
        <v>6.0</v>
      </c>
      <c r="L18" s="13">
        <v>10.0</v>
      </c>
      <c r="M18" s="13">
        <v>0.0</v>
      </c>
      <c r="N18" s="13">
        <v>2.0</v>
      </c>
      <c r="O18" s="13">
        <f>AE18 + AF18</f>
        <v>4</v>
      </c>
      <c r="P18" s="13">
        <f>AG18 + AH18</f>
        <v>4</v>
      </c>
      <c r="Q18" s="15">
        <f>IF(H18 = 0, "--", I18 / H18)</f>
        <v>0.6</v>
      </c>
      <c r="R18" s="15">
        <f>IF(H18 = 0, "--", AI18 / H18)</f>
        <v>0.8</v>
      </c>
      <c r="S18" s="15">
        <f>IF(H18 = 0, "--", AK18 / H18)</f>
        <v>0.7</v>
      </c>
      <c r="T18" s="15">
        <f>IF(H18 = 0, "--", AJ18 / H18)</f>
        <v>0.3</v>
      </c>
      <c r="V18" s="14">
        <f>IF(H18 = 0, 0, X18 / H18)</f>
        <v>4190</v>
      </c>
      <c r="W18" s="13">
        <v>33880.0</v>
      </c>
      <c r="X18" s="13">
        <v>83800.0</v>
      </c>
      <c r="Y18" s="13">
        <v>47913.0</v>
      </c>
      <c r="Z18" s="13">
        <v>83800.0</v>
      </c>
      <c r="AA18" s="13">
        <v>46090.0</v>
      </c>
      <c r="AB18" s="13">
        <v>1823.0</v>
      </c>
      <c r="AC18" s="13">
        <v>46090.0</v>
      </c>
      <c r="AD18" s="13">
        <v>46255.192897436</v>
      </c>
      <c r="AE18" s="13">
        <v>3.0</v>
      </c>
      <c r="AF18" s="13">
        <v>1.0</v>
      </c>
      <c r="AG18" s="13">
        <v>4.0</v>
      </c>
      <c r="AH18" s="13">
        <v>0.0</v>
      </c>
      <c r="AI18" s="13">
        <f>L18 + M18 + O18 + N18</f>
        <v>16</v>
      </c>
      <c r="AJ18" s="13">
        <f>P18 + N18</f>
        <v>6</v>
      </c>
      <c r="AK18" s="13">
        <f>L18 + M18 + O18</f>
        <v>14</v>
      </c>
    </row>
    <row r="19" spans="1:37">
      <c r="A19" s="9" t="s">
        <v>50</v>
      </c>
      <c r="B19" s="10">
        <f>IF(H19 = 0, "--", W19 / H19)</f>
        <v>1091.8863636364</v>
      </c>
      <c r="C19" s="11">
        <f>IF(H19 = 0, 0, Z19 / H19)</f>
        <v>2998.5064935065</v>
      </c>
      <c r="D19" s="11">
        <f>IF(I19 = 0, 0, AA19 / I19)</f>
        <v>3155.0256410256</v>
      </c>
      <c r="E19" s="11">
        <f>IF(I19 = 0, 0, AD19 / I19)</f>
        <v>3045.590141726</v>
      </c>
      <c r="F19" s="10">
        <f>H19 + G19</f>
        <v>308</v>
      </c>
      <c r="G19" s="10">
        <f>SUM(G8:G18)</f>
        <v>0</v>
      </c>
      <c r="H19" s="10">
        <f>SUM(H8:H18)</f>
        <v>308</v>
      </c>
      <c r="I19" s="10">
        <f>L19 + N19 + M19</f>
        <v>39</v>
      </c>
      <c r="J19" s="10">
        <f>O19 + P19</f>
        <v>269</v>
      </c>
      <c r="K19" s="10">
        <f>SUM(K8:K18)</f>
        <v>255</v>
      </c>
      <c r="L19" s="10">
        <f>SUM(L8:L18)</f>
        <v>37</v>
      </c>
      <c r="M19" s="10">
        <f>SUM(M8:M18)</f>
        <v>0</v>
      </c>
      <c r="N19" s="10">
        <f>SUM(N8:N18)</f>
        <v>2</v>
      </c>
      <c r="O19" s="10">
        <f>AE19 + AF19</f>
        <v>16</v>
      </c>
      <c r="P19" s="10">
        <f>AG19 + AH19</f>
        <v>253</v>
      </c>
      <c r="Q19" s="12">
        <f>IF(H19 = 0, "--", I19 / H19)</f>
        <v>0.12662337662338</v>
      </c>
      <c r="R19" s="12">
        <f>IF(H19 = 0, "--", AI19 / H19)</f>
        <v>0.17857142857143</v>
      </c>
      <c r="S19" s="12">
        <f>IF(H19 = 0, "--", AK19 / H19)</f>
        <v>0.17207792207792</v>
      </c>
      <c r="T19" s="12">
        <f>IF(H19 = 0, "--", AJ19 / H19)</f>
        <v>0.82792207792208</v>
      </c>
      <c r="V19" s="11">
        <f>IF(H19 = 0, 0, X19 / H19)</f>
        <v>2815.512987013</v>
      </c>
      <c r="W19" s="10">
        <f>SUM(W8:W18)</f>
        <v>336301</v>
      </c>
      <c r="X19" s="10">
        <f>SUM(X8:X18)</f>
        <v>867178</v>
      </c>
      <c r="Y19" s="10">
        <f>SUM(Y8:Y18)</f>
        <v>124632.8</v>
      </c>
      <c r="Z19" s="10">
        <f>SUM(Z8:Z18)</f>
        <v>923540</v>
      </c>
      <c r="AA19" s="10">
        <f>SUM(AA8:AA18)</f>
        <v>123046</v>
      </c>
      <c r="AB19" s="10">
        <f>SUM(AB8:AB18)</f>
        <v>1586.8</v>
      </c>
      <c r="AC19" s="10">
        <f>SUM(AC8:AC18)</f>
        <v>119372.61984615</v>
      </c>
      <c r="AD19" s="10">
        <f>SUM(AD8:AD18)</f>
        <v>118778.01552731</v>
      </c>
      <c r="AE19" s="10">
        <f>SUM(AE8:AE18)</f>
        <v>6</v>
      </c>
      <c r="AF19" s="10">
        <f>SUM(AF8:AF18)</f>
        <v>10</v>
      </c>
      <c r="AG19" s="10">
        <f>SUM(AG8:AG18)</f>
        <v>78</v>
      </c>
      <c r="AH19" s="10">
        <f>SUM(AH8:AH18)</f>
        <v>175</v>
      </c>
      <c r="AI19" s="10">
        <f>L19 + M19 + O19 + N19</f>
        <v>55</v>
      </c>
      <c r="AJ19" s="10">
        <f>P19 + N19</f>
        <v>255</v>
      </c>
      <c r="AK19" s="10">
        <f>L19 + M19 + O19</f>
        <v>53</v>
      </c>
    </row>
    <row r="21" spans="1:37">
      <c r="A21" s="1" t="s">
        <v>51</v>
      </c>
    </row>
    <row r="22" spans="1:37">
      <c r="A22" s="3" t="s">
        <v>4</v>
      </c>
      <c r="B22" s="4" t="s">
        <v>10</v>
      </c>
      <c r="C22" s="4" t="s">
        <v>52</v>
      </c>
      <c r="D22" s="4" t="s">
        <v>53</v>
      </c>
      <c r="E22" s="4" t="s">
        <v>54</v>
      </c>
      <c r="F22" s="4" t="s">
        <v>55</v>
      </c>
      <c r="G22" s="4" t="s">
        <v>56</v>
      </c>
      <c r="H22" s="4" t="s">
        <v>57</v>
      </c>
      <c r="I22" s="4" t="s">
        <v>58</v>
      </c>
      <c r="J22" s="4" t="s">
        <v>60</v>
      </c>
      <c r="K22" s="4" t="s">
        <v>61</v>
      </c>
      <c r="L22" s="4" t="s">
        <v>62</v>
      </c>
      <c r="M22" s="4" t="s">
        <v>21</v>
      </c>
      <c r="V22" s="8" t="s">
        <v>59</v>
      </c>
    </row>
    <row r="23" spans="1:37">
      <c r="A23" s="2" t="s">
        <v>39</v>
      </c>
      <c r="B23" s="13">
        <v>30.0</v>
      </c>
      <c r="C23" s="13">
        <v>2.0</v>
      </c>
      <c r="D23" s="13">
        <v>0.0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3.0</v>
      </c>
      <c r="V23" s="13">
        <v>0.0</v>
      </c>
    </row>
    <row r="24" spans="1:37">
      <c r="A24" s="2" t="s">
        <v>40</v>
      </c>
      <c r="B24" s="13">
        <v>3.0</v>
      </c>
      <c r="C24" s="13">
        <v>0.0</v>
      </c>
      <c r="D24" s="13">
        <v>0.0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V24" s="13">
        <v>0.0</v>
      </c>
    </row>
    <row r="25" spans="1:37">
      <c r="A25" s="2" t="s">
        <v>41</v>
      </c>
      <c r="B25" s="13">
        <v>38.0</v>
      </c>
      <c r="C25" s="13">
        <v>2.0</v>
      </c>
      <c r="D25" s="13">
        <v>0.0</v>
      </c>
      <c r="E25" s="13">
        <v>0.0</v>
      </c>
      <c r="F25" s="13">
        <v>0.0</v>
      </c>
      <c r="G25" s="13">
        <v>2.0</v>
      </c>
      <c r="H25" s="13">
        <v>1.0</v>
      </c>
      <c r="I25" s="13">
        <v>1.0</v>
      </c>
      <c r="J25" s="13">
        <v>0.0</v>
      </c>
      <c r="K25" s="13">
        <v>0.0</v>
      </c>
      <c r="L25" s="13">
        <v>0.0</v>
      </c>
      <c r="M25" s="13">
        <v>3.0</v>
      </c>
      <c r="V25" s="13">
        <v>0.0</v>
      </c>
    </row>
    <row r="26" spans="1:37">
      <c r="A26" s="2" t="s">
        <v>42</v>
      </c>
      <c r="B26" s="13">
        <v>20.0</v>
      </c>
      <c r="C26" s="13">
        <v>0.0</v>
      </c>
      <c r="D26" s="13">
        <v>0.0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3">
        <v>0.0</v>
      </c>
      <c r="V26" s="13">
        <v>0.0</v>
      </c>
    </row>
    <row r="27" spans="1:37">
      <c r="A27" s="2" t="s">
        <v>43</v>
      </c>
      <c r="B27" s="13">
        <v>10.0</v>
      </c>
      <c r="C27" s="13">
        <v>0.0</v>
      </c>
      <c r="D27" s="13">
        <v>0.0</v>
      </c>
      <c r="E27" s="13">
        <v>0.0</v>
      </c>
      <c r="F27" s="13">
        <v>0.0</v>
      </c>
      <c r="G27" s="13">
        <v>0.0</v>
      </c>
      <c r="H27" s="13">
        <v>0.0</v>
      </c>
      <c r="I27" s="13">
        <v>0.0</v>
      </c>
      <c r="J27" s="13">
        <v>0.0</v>
      </c>
      <c r="K27" s="13">
        <v>0.0</v>
      </c>
      <c r="L27" s="13">
        <v>0.0</v>
      </c>
      <c r="M27" s="13">
        <v>2.0</v>
      </c>
      <c r="V27" s="13">
        <v>0.0</v>
      </c>
    </row>
    <row r="28" spans="1:37">
      <c r="A28" s="2" t="s">
        <v>44</v>
      </c>
      <c r="B28" s="13">
        <v>8.0</v>
      </c>
      <c r="C28" s="13">
        <v>0.0</v>
      </c>
      <c r="D28" s="13">
        <v>0.0</v>
      </c>
      <c r="E28" s="13">
        <v>0.0</v>
      </c>
      <c r="F28" s="13">
        <v>0.0</v>
      </c>
      <c r="G28" s="13">
        <v>0.0</v>
      </c>
      <c r="H28" s="13">
        <v>0.0</v>
      </c>
      <c r="I28" s="13">
        <v>0.0</v>
      </c>
      <c r="J28" s="13">
        <v>0.0</v>
      </c>
      <c r="K28" s="13">
        <v>0.0</v>
      </c>
      <c r="L28" s="13">
        <v>0.0</v>
      </c>
      <c r="M28" s="13">
        <v>0.0</v>
      </c>
      <c r="V28" s="13">
        <v>0.0</v>
      </c>
    </row>
    <row r="29" spans="1:37">
      <c r="A29" s="2" t="s">
        <v>45</v>
      </c>
      <c r="B29" s="13">
        <v>61.0</v>
      </c>
      <c r="C29" s="13">
        <v>1.0</v>
      </c>
      <c r="D29" s="13">
        <v>0.0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2.0</v>
      </c>
      <c r="V29" s="13">
        <v>0.0</v>
      </c>
    </row>
    <row r="30" spans="1:37">
      <c r="A30" s="2" t="s">
        <v>46</v>
      </c>
      <c r="B30" s="13">
        <v>10.0</v>
      </c>
      <c r="C30" s="13">
        <v>0.0</v>
      </c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3">
        <v>0.0</v>
      </c>
      <c r="V30" s="13">
        <v>0.0</v>
      </c>
    </row>
    <row r="31" spans="1:37">
      <c r="A31" s="2" t="s">
        <v>47</v>
      </c>
      <c r="B31" s="13">
        <v>56.0</v>
      </c>
      <c r="C31" s="13">
        <v>3.0</v>
      </c>
      <c r="D31" s="13">
        <v>0.0</v>
      </c>
      <c r="E31" s="13">
        <v>0.0</v>
      </c>
      <c r="F31" s="13">
        <v>0.0</v>
      </c>
      <c r="G31" s="13">
        <v>1.0</v>
      </c>
      <c r="H31" s="13">
        <v>1.0</v>
      </c>
      <c r="I31" s="13">
        <v>1.0</v>
      </c>
      <c r="J31" s="13">
        <v>0.0</v>
      </c>
      <c r="K31" s="13">
        <v>0.0</v>
      </c>
      <c r="L31" s="13">
        <v>0.0</v>
      </c>
      <c r="M31" s="13">
        <v>3.0</v>
      </c>
      <c r="V31" s="13">
        <v>0.0</v>
      </c>
    </row>
    <row r="32" spans="1:37">
      <c r="A32" s="2" t="s">
        <v>48</v>
      </c>
      <c r="B32" s="13">
        <v>52.0</v>
      </c>
      <c r="C32" s="13">
        <v>2.0</v>
      </c>
      <c r="D32" s="13">
        <v>0.0</v>
      </c>
      <c r="E32" s="13">
        <v>0.0</v>
      </c>
      <c r="F32" s="13">
        <v>0.0</v>
      </c>
      <c r="G32" s="13">
        <v>0.0</v>
      </c>
      <c r="H32" s="13">
        <v>2.0</v>
      </c>
      <c r="I32" s="13">
        <v>2.0</v>
      </c>
      <c r="J32" s="13">
        <v>0.0</v>
      </c>
      <c r="K32" s="13">
        <v>0.0</v>
      </c>
      <c r="L32" s="13">
        <v>0.0</v>
      </c>
      <c r="M32" s="13">
        <v>0.0</v>
      </c>
      <c r="V32" s="13">
        <v>0.0</v>
      </c>
    </row>
    <row r="33" spans="1:37">
      <c r="A33" s="2" t="s">
        <v>49</v>
      </c>
      <c r="B33" s="13">
        <v>20.0</v>
      </c>
      <c r="C33" s="13">
        <v>3.0</v>
      </c>
      <c r="D33" s="13">
        <v>1.0</v>
      </c>
      <c r="E33" s="13">
        <v>0.0</v>
      </c>
      <c r="F33" s="13">
        <v>0.0</v>
      </c>
      <c r="G33" s="13">
        <v>1.0</v>
      </c>
      <c r="H33" s="13">
        <v>1.0</v>
      </c>
      <c r="I33" s="13">
        <v>1.0</v>
      </c>
      <c r="J33" s="13">
        <v>0.0</v>
      </c>
      <c r="K33" s="13">
        <v>0.0</v>
      </c>
      <c r="L33" s="13">
        <v>0.0</v>
      </c>
      <c r="M33" s="13">
        <v>1.0</v>
      </c>
      <c r="V33" s="13">
        <v>0.0</v>
      </c>
    </row>
    <row r="34" spans="1:37">
      <c r="A34" s="9" t="s">
        <v>50</v>
      </c>
      <c r="B34" s="10">
        <f>SUM(B23:B33)</f>
        <v>308</v>
      </c>
      <c r="C34" s="10">
        <f>SUM(C23:C33)</f>
        <v>13</v>
      </c>
      <c r="D34" s="10">
        <f>SUM(D23:D33)</f>
        <v>1</v>
      </c>
      <c r="E34" s="10">
        <f>SUM(E23:E33)</f>
        <v>0</v>
      </c>
      <c r="F34" s="10">
        <f>SUM(F23:F33)</f>
        <v>0</v>
      </c>
      <c r="G34" s="10">
        <f>SUM(G23:G33)</f>
        <v>4</v>
      </c>
      <c r="H34" s="10">
        <f>SUM(H23:H33)</f>
        <v>5</v>
      </c>
      <c r="I34" s="10">
        <f>SUM(I23:I33)</f>
        <v>5</v>
      </c>
      <c r="J34" s="10">
        <f>SUM(J23:J33)</f>
        <v>0</v>
      </c>
      <c r="K34" s="10">
        <f>SUM(K23:K33)</f>
        <v>0</v>
      </c>
      <c r="L34" s="10">
        <f>SUM(L23:L33)</f>
        <v>0</v>
      </c>
      <c r="M34" s="10">
        <f>SUM(M23:M33)</f>
        <v>14</v>
      </c>
    </row>
    <row r="36" spans="1:37">
      <c r="A36" s="1" t="s">
        <v>63</v>
      </c>
    </row>
    <row r="37" spans="1:37">
      <c r="C37" s="16" t="s">
        <v>64</v>
      </c>
      <c r="K37" s="16" t="s">
        <v>65</v>
      </c>
      <c r="O37" s="16" t="s">
        <v>66</v>
      </c>
    </row>
    <row r="38" spans="1:37">
      <c r="A38" s="3" t="s">
        <v>4</v>
      </c>
      <c r="B38" s="4" t="s">
        <v>67</v>
      </c>
      <c r="C38" s="4" t="s">
        <v>68</v>
      </c>
      <c r="D38" s="4" t="s">
        <v>69</v>
      </c>
      <c r="E38" s="4" t="s">
        <v>70</v>
      </c>
      <c r="F38" s="4" t="s">
        <v>71</v>
      </c>
      <c r="G38" s="4" t="s">
        <v>72</v>
      </c>
      <c r="H38" s="4" t="s">
        <v>73</v>
      </c>
      <c r="I38" s="4" t="s">
        <v>74</v>
      </c>
      <c r="J38" s="4" t="s">
        <v>75</v>
      </c>
      <c r="K38" s="4" t="s">
        <v>76</v>
      </c>
      <c r="L38" s="4" t="s">
        <v>77</v>
      </c>
      <c r="M38" s="4" t="s">
        <v>78</v>
      </c>
      <c r="N38" s="4" t="s">
        <v>79</v>
      </c>
      <c r="O38" s="4" t="s">
        <v>80</v>
      </c>
    </row>
    <row r="39" spans="1:37">
      <c r="A39" s="2" t="s">
        <v>39</v>
      </c>
      <c r="B39" s="13">
        <v>4.0</v>
      </c>
      <c r="C39" s="13">
        <v>0.0</v>
      </c>
      <c r="D39" s="13">
        <v>2.0</v>
      </c>
      <c r="E39" s="13">
        <v>1.0</v>
      </c>
      <c r="F39" s="13">
        <v>0.0</v>
      </c>
      <c r="G39" s="13">
        <v>0.0</v>
      </c>
      <c r="H39" s="13">
        <v>0.0</v>
      </c>
      <c r="I39" s="13">
        <v>1.0</v>
      </c>
      <c r="J39" s="13">
        <v>0.0</v>
      </c>
      <c r="K39" s="13">
        <v>21.0</v>
      </c>
      <c r="L39" s="13">
        <v>38.0</v>
      </c>
      <c r="M39" s="13">
        <v>0.0</v>
      </c>
      <c r="N39" s="13">
        <v>2.0</v>
      </c>
      <c r="O39" s="13">
        <v>2.0</v>
      </c>
    </row>
    <row r="40" spans="1:37">
      <c r="A40" s="2" t="s">
        <v>41</v>
      </c>
      <c r="B40" s="13">
        <v>2.0</v>
      </c>
      <c r="C40" s="13">
        <v>0.0</v>
      </c>
      <c r="D40" s="13">
        <v>0.0</v>
      </c>
      <c r="E40" s="13">
        <v>2.0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18.0</v>
      </c>
      <c r="L40" s="13">
        <v>21.0</v>
      </c>
      <c r="M40" s="13">
        <v>0.0</v>
      </c>
      <c r="N40" s="13">
        <v>1.0</v>
      </c>
      <c r="O40" s="13">
        <v>0.0</v>
      </c>
    </row>
    <row r="41" spans="1:37">
      <c r="A41" s="2" t="s">
        <v>42</v>
      </c>
      <c r="B41" s="13">
        <v>0.0</v>
      </c>
      <c r="C41" s="13">
        <v>0.0</v>
      </c>
      <c r="D41" s="13">
        <v>0.0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3">
        <v>0.0</v>
      </c>
      <c r="K41" s="13">
        <v>1.0</v>
      </c>
      <c r="L41" s="13">
        <v>12.0</v>
      </c>
      <c r="M41" s="13">
        <v>0.0</v>
      </c>
      <c r="N41" s="13">
        <v>0.0</v>
      </c>
      <c r="O41" s="13">
        <v>1.0</v>
      </c>
    </row>
    <row r="42" spans="1:37">
      <c r="A42" s="2" t="s">
        <v>43</v>
      </c>
      <c r="B42" s="13">
        <v>1.0</v>
      </c>
      <c r="C42" s="13">
        <v>0.0</v>
      </c>
      <c r="D42" s="13">
        <v>0.0</v>
      </c>
      <c r="E42" s="13">
        <v>1.0</v>
      </c>
      <c r="F42" s="13">
        <v>0.0</v>
      </c>
      <c r="G42" s="13">
        <v>0.0</v>
      </c>
      <c r="H42" s="13">
        <v>0.0</v>
      </c>
      <c r="I42" s="13">
        <v>0.0</v>
      </c>
      <c r="J42" s="13">
        <v>0.0</v>
      </c>
      <c r="K42" s="13">
        <v>8.0</v>
      </c>
      <c r="L42" s="13">
        <v>4.0</v>
      </c>
      <c r="M42" s="13">
        <v>0.0</v>
      </c>
      <c r="N42" s="13">
        <v>0.0</v>
      </c>
      <c r="O42" s="13">
        <v>0.0</v>
      </c>
    </row>
    <row r="43" spans="1:37">
      <c r="A43" s="2" t="s">
        <v>44</v>
      </c>
      <c r="B43" s="13">
        <v>0.0</v>
      </c>
      <c r="C43" s="13">
        <v>0.0</v>
      </c>
      <c r="D43" s="13">
        <v>0.0</v>
      </c>
      <c r="E43" s="13">
        <v>0.0</v>
      </c>
      <c r="F43" s="13">
        <v>0.0</v>
      </c>
      <c r="G43" s="13">
        <v>0.0</v>
      </c>
      <c r="H43" s="13">
        <v>0.0</v>
      </c>
      <c r="I43" s="13">
        <v>0.0</v>
      </c>
      <c r="J43" s="13">
        <v>0.0</v>
      </c>
      <c r="K43" s="13">
        <v>2.0</v>
      </c>
      <c r="L43" s="13">
        <v>0.0</v>
      </c>
      <c r="M43" s="13">
        <v>0.0</v>
      </c>
      <c r="N43" s="13">
        <v>0.0</v>
      </c>
      <c r="O43" s="13">
        <v>0.0</v>
      </c>
    </row>
    <row r="44" spans="1:37">
      <c r="A44" s="2" t="s">
        <v>45</v>
      </c>
      <c r="B44" s="13">
        <v>2.0</v>
      </c>
      <c r="C44" s="13">
        <v>0.0</v>
      </c>
      <c r="D44" s="13">
        <v>0.0</v>
      </c>
      <c r="E44" s="13">
        <v>0.0</v>
      </c>
      <c r="F44" s="13">
        <v>1.0</v>
      </c>
      <c r="G44" s="13">
        <v>0.0</v>
      </c>
      <c r="H44" s="13">
        <v>0.0</v>
      </c>
      <c r="I44" s="13">
        <v>0.0</v>
      </c>
      <c r="J44" s="13">
        <v>1.0</v>
      </c>
      <c r="K44" s="13">
        <v>2.0</v>
      </c>
      <c r="L44" s="13">
        <v>2.0</v>
      </c>
      <c r="M44" s="13">
        <v>0.0</v>
      </c>
      <c r="N44" s="13">
        <v>0.0</v>
      </c>
      <c r="O44" s="13">
        <v>1.0</v>
      </c>
    </row>
    <row r="45" spans="1:37">
      <c r="A45" s="2" t="s">
        <v>47</v>
      </c>
      <c r="B45" s="13">
        <v>2.0</v>
      </c>
      <c r="C45" s="13">
        <v>0.0</v>
      </c>
      <c r="D45" s="13">
        <v>0.0</v>
      </c>
      <c r="E45" s="13">
        <v>1.0</v>
      </c>
      <c r="F45" s="13">
        <v>1.0</v>
      </c>
      <c r="G45" s="13">
        <v>0.0</v>
      </c>
      <c r="H45" s="13">
        <v>0.0</v>
      </c>
      <c r="I45" s="13">
        <v>0.0</v>
      </c>
      <c r="J45" s="13">
        <v>0.0</v>
      </c>
      <c r="K45" s="13">
        <v>9.0</v>
      </c>
      <c r="L45" s="13">
        <v>10.0</v>
      </c>
      <c r="M45" s="13">
        <v>0.0</v>
      </c>
      <c r="N45" s="13">
        <v>1.0</v>
      </c>
      <c r="O45" s="13">
        <v>2.0</v>
      </c>
    </row>
    <row r="46" spans="1:37">
      <c r="A46" s="2" t="s">
        <v>49</v>
      </c>
      <c r="B46" s="13">
        <v>1.0</v>
      </c>
      <c r="C46" s="13">
        <v>0.0</v>
      </c>
      <c r="D46" s="13">
        <v>1.0</v>
      </c>
      <c r="E46" s="13">
        <v>0.0</v>
      </c>
      <c r="F46" s="13">
        <v>0.0</v>
      </c>
      <c r="G46" s="13">
        <v>0.0</v>
      </c>
      <c r="H46" s="13">
        <v>0.0</v>
      </c>
      <c r="I46" s="13">
        <v>0.0</v>
      </c>
      <c r="J46" s="13">
        <v>0.0</v>
      </c>
      <c r="K46" s="13">
        <v>14.0</v>
      </c>
      <c r="L46" s="13">
        <v>16.0</v>
      </c>
      <c r="M46" s="13">
        <v>0.0</v>
      </c>
      <c r="N46" s="13">
        <v>6.0</v>
      </c>
      <c r="O46" s="13">
        <v>1.0</v>
      </c>
    </row>
    <row r="47" spans="1:37">
      <c r="A47" s="2" t="s">
        <v>81</v>
      </c>
      <c r="B47" s="13">
        <v>44.0</v>
      </c>
      <c r="C47" s="13">
        <v>0.0</v>
      </c>
      <c r="D47" s="13">
        <v>10.0</v>
      </c>
      <c r="E47" s="13">
        <v>4.0</v>
      </c>
      <c r="F47" s="13">
        <v>21.0</v>
      </c>
      <c r="G47" s="13">
        <v>0.0</v>
      </c>
      <c r="H47" s="13">
        <v>0.0</v>
      </c>
      <c r="I47" s="13">
        <v>0.0</v>
      </c>
      <c r="J47" s="13">
        <v>9.0</v>
      </c>
      <c r="K47" s="13">
        <v>267.0</v>
      </c>
      <c r="L47" s="13">
        <v>151.0</v>
      </c>
      <c r="M47" s="13">
        <v>0.0</v>
      </c>
      <c r="N47" s="13">
        <v>11.0</v>
      </c>
      <c r="O47" s="13">
        <v>30.0</v>
      </c>
    </row>
    <row r="48" spans="1:37">
      <c r="A48" s="9" t="s">
        <v>50</v>
      </c>
      <c r="B48" s="10">
        <f>SUM(B39:B47)</f>
        <v>56</v>
      </c>
      <c r="C48" s="10">
        <f>SUM(C39:C47)</f>
        <v>0</v>
      </c>
      <c r="D48" s="10">
        <f>SUM(D39:D47)</f>
        <v>13</v>
      </c>
      <c r="E48" s="10">
        <f>SUM(E39:E47)</f>
        <v>9</v>
      </c>
      <c r="F48" s="10">
        <f>SUM(F39:F47)</f>
        <v>23</v>
      </c>
      <c r="G48" s="10">
        <f>SUM(G39:G47)</f>
        <v>0</v>
      </c>
      <c r="H48" s="10">
        <f>SUM(H39:H47)</f>
        <v>0</v>
      </c>
      <c r="I48" s="10">
        <f>SUM(I39:I47)</f>
        <v>1</v>
      </c>
      <c r="J48" s="10">
        <f>SUM(J39:J47)</f>
        <v>10</v>
      </c>
      <c r="K48" s="10">
        <f>SUM(K39:K47)</f>
        <v>342</v>
      </c>
      <c r="L48" s="10">
        <f>SUM(L39:L47)</f>
        <v>254</v>
      </c>
      <c r="M48" s="10">
        <f>SUM(M39:M47)</f>
        <v>0</v>
      </c>
      <c r="N48" s="10">
        <f>SUM(N39:N47)</f>
        <v>21</v>
      </c>
      <c r="O48" s="10">
        <f>SUM(O39:O47)</f>
        <v>37</v>
      </c>
    </row>
    <row r="50" spans="1:37">
      <c r="A50" s="1" t="s">
        <v>82</v>
      </c>
    </row>
    <row r="51" spans="1:37">
      <c r="B51" s="16" t="s">
        <v>83</v>
      </c>
      <c r="H51" s="16" t="s">
        <v>84</v>
      </c>
    </row>
    <row r="52" spans="1:37">
      <c r="A52" s="3" t="s">
        <v>4</v>
      </c>
      <c r="B52" s="4" t="s">
        <v>85</v>
      </c>
      <c r="C52" s="4" t="s">
        <v>86</v>
      </c>
      <c r="D52" s="4" t="s">
        <v>87</v>
      </c>
      <c r="E52" s="4" t="s">
        <v>88</v>
      </c>
      <c r="F52" s="4" t="s">
        <v>89</v>
      </c>
      <c r="G52" s="4" t="s">
        <v>90</v>
      </c>
      <c r="H52" s="4" t="s">
        <v>85</v>
      </c>
      <c r="I52" s="4" t="s">
        <v>87</v>
      </c>
      <c r="J52" s="4" t="s">
        <v>89</v>
      </c>
    </row>
    <row r="53" spans="1:37">
      <c r="A53" s="2" t="s">
        <v>39</v>
      </c>
      <c r="B53" s="13">
        <v>3.0</v>
      </c>
      <c r="C53" s="13">
        <v>0.0</v>
      </c>
      <c r="D53" s="13">
        <v>0.0</v>
      </c>
      <c r="E53" s="13">
        <v>0.0</v>
      </c>
      <c r="F53" s="13">
        <v>3.0</v>
      </c>
      <c r="G53" s="13">
        <v>0.0</v>
      </c>
      <c r="H53" s="13">
        <v>2.0</v>
      </c>
      <c r="I53" s="13">
        <v>0.0</v>
      </c>
      <c r="J53" s="13">
        <v>3.0</v>
      </c>
    </row>
    <row r="54" spans="1:37">
      <c r="A54" s="2" t="s">
        <v>41</v>
      </c>
      <c r="B54" s="13">
        <v>3.0</v>
      </c>
      <c r="C54" s="13">
        <v>0.0</v>
      </c>
      <c r="D54" s="13">
        <v>0.0</v>
      </c>
      <c r="E54" s="13">
        <v>0.0</v>
      </c>
      <c r="F54" s="13">
        <v>2.0</v>
      </c>
      <c r="G54" s="13">
        <v>1.0</v>
      </c>
      <c r="H54" s="13">
        <v>1.0</v>
      </c>
      <c r="I54" s="13">
        <v>0.0</v>
      </c>
      <c r="J54" s="13">
        <v>1.0</v>
      </c>
    </row>
    <row r="55" spans="1:37">
      <c r="A55" s="2" t="s">
        <v>43</v>
      </c>
      <c r="B55" s="13">
        <v>2.0</v>
      </c>
      <c r="C55" s="13">
        <v>0.0</v>
      </c>
      <c r="D55" s="13">
        <v>0.0</v>
      </c>
      <c r="E55" s="13">
        <v>0.0</v>
      </c>
      <c r="F55" s="13">
        <v>2.0</v>
      </c>
      <c r="G55" s="13">
        <v>0.0</v>
      </c>
      <c r="H55" s="13">
        <v>2.0</v>
      </c>
      <c r="I55" s="13">
        <v>0.0</v>
      </c>
      <c r="J55" s="13">
        <v>2.0</v>
      </c>
    </row>
    <row r="56" spans="1:37">
      <c r="A56" s="2" t="s">
        <v>45</v>
      </c>
      <c r="B56" s="13">
        <v>1.0</v>
      </c>
      <c r="C56" s="13">
        <v>0.0</v>
      </c>
      <c r="D56" s="13">
        <v>0.0</v>
      </c>
      <c r="E56" s="13">
        <v>1.0</v>
      </c>
      <c r="F56" s="13">
        <v>0.0</v>
      </c>
      <c r="G56" s="13">
        <v>1.0</v>
      </c>
      <c r="H56" s="13">
        <v>1.0</v>
      </c>
      <c r="I56" s="13">
        <v>0.0</v>
      </c>
      <c r="J56" s="13">
        <v>1.0</v>
      </c>
    </row>
    <row r="57" spans="1:37">
      <c r="A57" s="2" t="s">
        <v>47</v>
      </c>
      <c r="B57" s="13">
        <v>2.0</v>
      </c>
      <c r="C57" s="13">
        <v>0.0</v>
      </c>
      <c r="D57" s="13">
        <v>0.0</v>
      </c>
      <c r="E57" s="13">
        <v>0.0</v>
      </c>
      <c r="F57" s="13">
        <v>1.0</v>
      </c>
      <c r="G57" s="13">
        <v>0.0</v>
      </c>
      <c r="H57" s="13">
        <v>1.0</v>
      </c>
      <c r="I57" s="13">
        <v>0.0</v>
      </c>
      <c r="J57" s="13">
        <v>2.0</v>
      </c>
    </row>
    <row r="58" spans="1:37">
      <c r="A58" s="2" t="s">
        <v>49</v>
      </c>
      <c r="B58" s="13">
        <v>1.0</v>
      </c>
      <c r="C58" s="13">
        <v>0.0</v>
      </c>
      <c r="D58" s="13">
        <v>0.0</v>
      </c>
      <c r="E58" s="13">
        <v>0.0</v>
      </c>
      <c r="F58" s="13">
        <v>1.0</v>
      </c>
      <c r="G58" s="13">
        <v>1.0</v>
      </c>
      <c r="H58" s="13">
        <v>1.0</v>
      </c>
      <c r="I58" s="13">
        <v>0.0</v>
      </c>
      <c r="J58" s="13">
        <v>0.0</v>
      </c>
    </row>
    <row r="59" spans="1:37">
      <c r="A59" s="9" t="s">
        <v>50</v>
      </c>
      <c r="B59" s="10">
        <f>SUM(B53:B58)</f>
        <v>12</v>
      </c>
      <c r="C59" s="10">
        <f>SUM(C53:C58)</f>
        <v>0</v>
      </c>
      <c r="D59" s="10">
        <f>SUM(D53:D58)</f>
        <v>0</v>
      </c>
      <c r="E59" s="10">
        <f>SUM(E53:E58)</f>
        <v>1</v>
      </c>
      <c r="F59" s="10">
        <f>SUM(F53:F58)</f>
        <v>9</v>
      </c>
      <c r="G59" s="10">
        <f>SUM(G53:G58)</f>
        <v>3</v>
      </c>
      <c r="H59" s="10">
        <f>SUM(H53:H58)</f>
        <v>8</v>
      </c>
      <c r="I59" s="10">
        <f>SUM(I53:I58)</f>
        <v>0</v>
      </c>
      <c r="J59" s="10">
        <f>SUM(J53:J58)</f>
        <v>9</v>
      </c>
    </row>
    <row r="61" spans="1:37">
      <c r="A61" s="1" t="s">
        <v>91</v>
      </c>
    </row>
    <row r="62" spans="1:37">
      <c r="A62" s="3" t="s">
        <v>92</v>
      </c>
      <c r="B62" s="4" t="s">
        <v>19</v>
      </c>
      <c r="C62" s="4" t="s">
        <v>20</v>
      </c>
      <c r="D62" s="4" t="s">
        <v>93</v>
      </c>
      <c r="E62" s="7" t="s">
        <v>95</v>
      </c>
      <c r="V62" s="8" t="s">
        <v>94</v>
      </c>
    </row>
    <row r="63" spans="1:37">
      <c r="A63" s="2" t="s">
        <v>96</v>
      </c>
      <c r="B63" s="13">
        <v>6.0</v>
      </c>
      <c r="C63" s="13">
        <v>78.0</v>
      </c>
      <c r="D63" s="13">
        <f>B63 + C63</f>
        <v>84</v>
      </c>
      <c r="E63" s="15">
        <f>IF(0 = V63, 0, D63 / V63)</f>
        <v>0.31226765799257</v>
      </c>
      <c r="V63" s="13">
        <v>269.0</v>
      </c>
    </row>
    <row r="64" spans="1:37">
      <c r="A64" s="2" t="s">
        <v>97</v>
      </c>
      <c r="B64" s="13">
        <v>10.0</v>
      </c>
      <c r="C64" s="13">
        <v>175.0</v>
      </c>
      <c r="D64" s="13">
        <f>B64 + C64</f>
        <v>185</v>
      </c>
      <c r="E64" s="15">
        <f>IF(0 = V64, 0, D64 / V64)</f>
        <v>0.68773234200743</v>
      </c>
      <c r="V64" s="13">
        <v>269.0</v>
      </c>
    </row>
    <row r="65" spans="1:37">
      <c r="A65" s="9" t="s">
        <v>50</v>
      </c>
      <c r="B65" s="10">
        <f>SUM(B63:B64)</f>
        <v>16</v>
      </c>
      <c r="C65" s="10">
        <f>SUM(C63:C64)</f>
        <v>253</v>
      </c>
      <c r="D65" s="10">
        <f>SUM(D63:D64)</f>
        <v>269</v>
      </c>
    </row>
  </sheetData>
  <mergeCells>
    <mergeCell ref="A37:B37"/>
    <mergeCell ref="C37:J37"/>
    <mergeCell ref="K37:N37"/>
    <mergeCell ref="O37:O37"/>
    <mergeCell ref="A51:A51"/>
    <mergeCell ref="B51:G51"/>
    <mergeCell ref="H51:J51"/>
  </mergeCells>
  <printOptions gridLines="false" gridLinesSet="true" horizontalCentered="true"/>
  <pageMargins left="0.5" right="0.5" top="0.5" bottom="0.5" header="0.25" footer="0.25"/>
  <pageSetup paperSize="1" orientation="landscape" scale="100" fitToHeight="0" fitToWidth="1" pageOrder="downThenOver"/>
  <headerFooter differentOddEven="false" differentFirst="false" scaleWithDoc="true" alignWithMargins="true">
    <oddHeader>&amp;L 02 - RISE - Box Score</oddHeader>
    <oddFooter>&amp;L Page &amp;P of &amp;N &amp;R &amp;I Box Score 4.0 generated04/30/2026 at 11:35am EDT&amp;I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K65"/>
  <sheetViews>
    <sheetView tabSelected="0" workbookViewId="0" showGridLines="true" showRowColHeaders="1">
      <selection activeCell="E63" sqref="E63:E64"/>
    </sheetView>
  </sheetViews>
  <sheetFormatPr defaultRowHeight="14.4" outlineLevelRow="0" outlineLevelCol="0"/>
  <cols>
    <col min="1" max="1" width="22.142857142857" customWidth="true" style="0"/>
    <col min="2" max="2" width="22.142857142857" customWidth="true" style="0"/>
    <col min="3" max="3" width="22.142857142857" customWidth="true" style="0"/>
    <col min="4" max="4" width="22.142857142857" customWidth="true" style="0"/>
    <col min="5" max="5" width="22.142857142857" customWidth="true" style="0"/>
    <col min="6" max="6" width="20.714285714286" customWidth="true" style="0"/>
    <col min="7" max="7" width="20.714285714286" customWidth="true" style="0"/>
    <col min="8" max="8" width="21" customWidth="true" style="0"/>
    <col min="9" max="9" width="21.428571428571" customWidth="true" style="0"/>
    <col min="10" max="10" width="20.714285714286" customWidth="true" style="0"/>
    <col min="11" max="11" width="18.571428571429" customWidth="true" style="0"/>
    <col min="12" max="12" width="18.571428571429" customWidth="true" style="0"/>
    <col min="13" max="13" width="18.571428571429" customWidth="true" style="0"/>
    <col min="14" max="14" width="18.571428571429" customWidth="true" style="0"/>
    <col min="15" max="15" width="18.142857142857" customWidth="true" style="0"/>
    <col min="16" max="16" width="22.857142857143" customWidth="true" style="0"/>
    <col min="17" max="17" width="23.571428571429" customWidth="true" style="0"/>
    <col min="18" max="18" width="23.571428571429" customWidth="true" style="0"/>
    <col min="19" max="19" width="23.571428571429" customWidth="true" style="0"/>
    <col min="20" max="20" width="23.571428571429" customWidth="true" style="0"/>
    <col min="22" max="22" width="14.428571428571" hidden="true" customWidth="true" style="0"/>
    <col min="23" max="23" width="17.428571428571" hidden="true" customWidth="true" style="0"/>
    <col min="24" max="24" width="17.428571428571" hidden="true" customWidth="true" style="0"/>
    <col min="25" max="25" width="17.428571428571" hidden="true" customWidth="true" style="0"/>
    <col min="26" max="26" width="17.428571428571" hidden="true" customWidth="true" style="0"/>
    <col min="27" max="27" width="17.428571428571" hidden="true" customWidth="true" style="0"/>
    <col min="28" max="28" width="17.428571428571" hidden="true" customWidth="true" style="0"/>
    <col min="29" max="29" width="17.428571428571" hidden="true" customWidth="true" style="0"/>
    <col min="30" max="30" width="17.428571428571" hidden="true" customWidth="true" style="0"/>
    <col min="31" max="31" width="17.428571428571" hidden="true" customWidth="true" style="0"/>
    <col min="32" max="32" width="17.428571428571" hidden="true" customWidth="true" style="0"/>
    <col min="33" max="33" width="17.428571428571" hidden="true" customWidth="true" style="0"/>
    <col min="34" max="34" width="17.428571428571" hidden="true" customWidth="true" style="0"/>
    <col min="35" max="35" width="17.428571428571" hidden="true" customWidth="true" style="0"/>
    <col min="36" max="36" width="17.428571428571" hidden="true" customWidth="true" style="0"/>
    <col min="37" max="37" width="17.428571428571" hidden="true" customWidth="true" style="0"/>
  </cols>
  <sheetData>
    <row r="2" spans="1:37">
      <c r="A2" s="1" t="s">
        <v>0</v>
      </c>
    </row>
    <row r="3" spans="1:37">
      <c r="A3" s="2" t="s">
        <v>98</v>
      </c>
    </row>
    <row r="4" spans="1:37">
      <c r="A4" s="2" t="s">
        <v>2</v>
      </c>
    </row>
    <row r="6" spans="1:37">
      <c r="A6" s="1" t="s">
        <v>3</v>
      </c>
    </row>
    <row r="7" spans="1:37">
      <c r="A7" s="3" t="s">
        <v>4</v>
      </c>
      <c r="B7" s="4" t="s">
        <v>5</v>
      </c>
      <c r="C7" s="5" t="s">
        <v>6</v>
      </c>
      <c r="D7" s="5" t="s">
        <v>8</v>
      </c>
      <c r="E7" s="5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7" t="s">
        <v>13</v>
      </c>
      <c r="R7" s="7" t="s">
        <v>21</v>
      </c>
      <c r="S7" s="7" t="s">
        <v>22</v>
      </c>
      <c r="T7" s="7" t="s">
        <v>23</v>
      </c>
      <c r="V7" s="6" t="s">
        <v>7</v>
      </c>
      <c r="W7" s="8" t="s">
        <v>24</v>
      </c>
      <c r="X7" s="8" t="s">
        <v>25</v>
      </c>
      <c r="Y7" s="8" t="s">
        <v>26</v>
      </c>
      <c r="Z7" s="8" t="s">
        <v>27</v>
      </c>
      <c r="AA7" s="8" t="s">
        <v>28</v>
      </c>
      <c r="AB7" s="8" t="s">
        <v>29</v>
      </c>
      <c r="AC7" s="8" t="s">
        <v>30</v>
      </c>
      <c r="AD7" s="8" t="s">
        <v>31</v>
      </c>
      <c r="AE7" s="8" t="s">
        <v>32</v>
      </c>
      <c r="AF7" s="8" t="s">
        <v>33</v>
      </c>
      <c r="AG7" s="8" t="s">
        <v>34</v>
      </c>
      <c r="AH7" s="8" t="s">
        <v>35</v>
      </c>
      <c r="AI7" s="8" t="s">
        <v>36</v>
      </c>
      <c r="AJ7" s="8" t="s">
        <v>37</v>
      </c>
      <c r="AK7" s="8" t="s">
        <v>38</v>
      </c>
    </row>
    <row r="8" spans="1:37">
      <c r="A8" s="2" t="s">
        <v>99</v>
      </c>
      <c r="B8" s="13">
        <f>IF(H8 = 0, "--", W8 / H8)</f>
        <v>683</v>
      </c>
      <c r="C8" s="14">
        <f>IF(H8 = 0, 0, Z8 / H8)</f>
        <v>1712.1111111111</v>
      </c>
      <c r="D8" s="14">
        <f>IF(I8 = 0, 0, AA8 / I8)</f>
        <v>1721.1428571429</v>
      </c>
      <c r="E8" s="14">
        <f>IF(I8 = 0, 0, AD8 / I8)</f>
        <v>1596.1105714286</v>
      </c>
      <c r="F8" s="13">
        <f>H8 + G8</f>
        <v>9</v>
      </c>
      <c r="G8" s="13">
        <v>0.0</v>
      </c>
      <c r="H8" s="13">
        <v>9.0</v>
      </c>
      <c r="I8" s="13">
        <f>L8 + N8 + M8</f>
        <v>7</v>
      </c>
      <c r="J8" s="13">
        <f>O8 + P8</f>
        <v>2</v>
      </c>
      <c r="K8" s="13">
        <v>1.0</v>
      </c>
      <c r="L8" s="13">
        <v>7.0</v>
      </c>
      <c r="M8" s="13">
        <v>0.0</v>
      </c>
      <c r="N8" s="13">
        <v>0.0</v>
      </c>
      <c r="O8" s="13">
        <f>AE8 + AF8</f>
        <v>1</v>
      </c>
      <c r="P8" s="13">
        <f>AG8 + AH8</f>
        <v>1</v>
      </c>
      <c r="Q8" s="15">
        <f>IF(H8 = 0, "--", I8 / H8)</f>
        <v>0.77777777777778</v>
      </c>
      <c r="R8" s="15">
        <f>IF(H8 = 0, "--", AI8 / H8)</f>
        <v>0.88888888888889</v>
      </c>
      <c r="S8" s="15">
        <f>IF(H8 = 0, "--", AK8 / H8)</f>
        <v>0.88888888888889</v>
      </c>
      <c r="T8" s="15">
        <f>IF(H8 = 0, "--", AJ8 / H8)</f>
        <v>0.11111111111111</v>
      </c>
      <c r="V8" s="14">
        <f>IF(H8 = 0, 0, X8 / H8)</f>
        <v>1717</v>
      </c>
      <c r="W8" s="13">
        <v>6147.0</v>
      </c>
      <c r="X8" s="13">
        <v>15453.0</v>
      </c>
      <c r="Y8" s="13">
        <v>12858.0</v>
      </c>
      <c r="Z8" s="13">
        <v>15409.0</v>
      </c>
      <c r="AA8" s="13">
        <v>12048.0</v>
      </c>
      <c r="AB8" s="13">
        <v>810.0</v>
      </c>
      <c r="AC8" s="13">
        <v>11165.15</v>
      </c>
      <c r="AD8" s="13">
        <v>11172.774</v>
      </c>
      <c r="AE8" s="13">
        <v>1.0</v>
      </c>
      <c r="AF8" s="13">
        <v>0.0</v>
      </c>
      <c r="AG8" s="13">
        <v>1.0</v>
      </c>
      <c r="AH8" s="13">
        <v>0.0</v>
      </c>
      <c r="AI8" s="13">
        <f>L8 + M8 + O8 + N8</f>
        <v>8</v>
      </c>
      <c r="AJ8" s="13">
        <f>P8 + N8</f>
        <v>1</v>
      </c>
      <c r="AK8" s="13">
        <f>L8 + M8 + O8</f>
        <v>8</v>
      </c>
    </row>
    <row r="9" spans="1:37">
      <c r="A9" s="2" t="s">
        <v>100</v>
      </c>
      <c r="B9" s="13">
        <f>IF(H9 = 0, "--", W9 / H9)</f>
        <v>752</v>
      </c>
      <c r="C9" s="14">
        <f>IF(H9 = 0, 0, Z9 / H9)</f>
        <v>1786.6829268293</v>
      </c>
      <c r="D9" s="14">
        <f>IF(I9 = 0, 0, AA9 / I9)</f>
        <v>1797.375</v>
      </c>
      <c r="E9" s="14">
        <f>IF(I9 = 0, 0, AD9 / I9)</f>
        <v>1650.0517361111</v>
      </c>
      <c r="F9" s="13">
        <f>H9 + G9</f>
        <v>41</v>
      </c>
      <c r="G9" s="13">
        <v>0.0</v>
      </c>
      <c r="H9" s="13">
        <v>41.0</v>
      </c>
      <c r="I9" s="13">
        <f>L9 + N9 + M9</f>
        <v>32</v>
      </c>
      <c r="J9" s="13">
        <f>O9 + P9</f>
        <v>9</v>
      </c>
      <c r="K9" s="13">
        <v>8.0</v>
      </c>
      <c r="L9" s="13">
        <v>31.0</v>
      </c>
      <c r="M9" s="13">
        <v>0.0</v>
      </c>
      <c r="N9" s="13">
        <v>1.0</v>
      </c>
      <c r="O9" s="13">
        <f>AE9 + AF9</f>
        <v>2</v>
      </c>
      <c r="P9" s="13">
        <f>AG9 + AH9</f>
        <v>7</v>
      </c>
      <c r="Q9" s="15">
        <f>IF(H9 = 0, "--", I9 / H9)</f>
        <v>0.78048780487805</v>
      </c>
      <c r="R9" s="15">
        <f>IF(H9 = 0, "--", AI9 / H9)</f>
        <v>0.82926829268293</v>
      </c>
      <c r="S9" s="15">
        <f>IF(H9 = 0, "--", AK9 / H9)</f>
        <v>0.80487804878049</v>
      </c>
      <c r="T9" s="15">
        <f>IF(H9 = 0, "--", AJ9 / H9)</f>
        <v>0.19512195121951</v>
      </c>
      <c r="V9" s="14">
        <f>IF(H9 = 0, 0, X9 / H9)</f>
        <v>1799.1219512195</v>
      </c>
      <c r="W9" s="13">
        <v>30832.0</v>
      </c>
      <c r="X9" s="13">
        <v>73764.0</v>
      </c>
      <c r="Y9" s="13">
        <v>61950.43</v>
      </c>
      <c r="Z9" s="13">
        <v>73254.0</v>
      </c>
      <c r="AA9" s="13">
        <v>57516.0</v>
      </c>
      <c r="AB9" s="13">
        <v>4434.43</v>
      </c>
      <c r="AC9" s="13">
        <v>53202.855</v>
      </c>
      <c r="AD9" s="13">
        <v>52801.655555556</v>
      </c>
      <c r="AE9" s="13">
        <v>1.0</v>
      </c>
      <c r="AF9" s="13">
        <v>1.0</v>
      </c>
      <c r="AG9" s="13">
        <v>6.0</v>
      </c>
      <c r="AH9" s="13">
        <v>1.0</v>
      </c>
      <c r="AI9" s="13">
        <f>L9 + M9 + O9 + N9</f>
        <v>34</v>
      </c>
      <c r="AJ9" s="13">
        <f>P9 + N9</f>
        <v>8</v>
      </c>
      <c r="AK9" s="13">
        <f>L9 + M9 + O9</f>
        <v>33</v>
      </c>
    </row>
    <row r="10" spans="1:37">
      <c r="A10" s="2" t="s">
        <v>101</v>
      </c>
      <c r="B10" s="13">
        <f>IF(H10 = 0, "--", W10 / H10)</f>
        <v>821</v>
      </c>
      <c r="C10" s="14">
        <f>IF(H10 = 0, 0, Z10 / H10)</f>
        <v>1947.6666666667</v>
      </c>
      <c r="D10" s="14">
        <f>IF(I10 = 0, 0, AA10 / I10)</f>
        <v>1952.7142857143</v>
      </c>
      <c r="E10" s="14">
        <f>IF(I10 = 0, 0, AD10 / I10)</f>
        <v>1785.7585449735</v>
      </c>
      <c r="F10" s="13">
        <f>H10 + G10</f>
        <v>30</v>
      </c>
      <c r="G10" s="13">
        <v>0.0</v>
      </c>
      <c r="H10" s="13">
        <v>30.0</v>
      </c>
      <c r="I10" s="13">
        <f>L10 + N10 + M10</f>
        <v>21</v>
      </c>
      <c r="J10" s="13">
        <f>O10 + P10</f>
        <v>9</v>
      </c>
      <c r="K10" s="13">
        <v>8.0</v>
      </c>
      <c r="L10" s="13">
        <v>21.0</v>
      </c>
      <c r="M10" s="13">
        <v>0.0</v>
      </c>
      <c r="N10" s="13">
        <v>0.0</v>
      </c>
      <c r="O10" s="13">
        <f>AE10 + AF10</f>
        <v>1</v>
      </c>
      <c r="P10" s="13">
        <f>AG10 + AH10</f>
        <v>8</v>
      </c>
      <c r="Q10" s="15">
        <f>IF(H10 = 0, "--", I10 / H10)</f>
        <v>0.7</v>
      </c>
      <c r="R10" s="15">
        <f>IF(H10 = 0, "--", AI10 / H10)</f>
        <v>0.73333333333333</v>
      </c>
      <c r="S10" s="15">
        <f>IF(H10 = 0, "--", AK10 / H10)</f>
        <v>0.73333333333333</v>
      </c>
      <c r="T10" s="15">
        <f>IF(H10 = 0, "--", AJ10 / H10)</f>
        <v>0.26666666666667</v>
      </c>
      <c r="V10" s="14">
        <f>IF(H10 = 0, 0, X10 / H10)</f>
        <v>1976.2</v>
      </c>
      <c r="W10" s="13">
        <v>24630.0</v>
      </c>
      <c r="X10" s="13">
        <v>59286.0</v>
      </c>
      <c r="Y10" s="13">
        <v>44529.63</v>
      </c>
      <c r="Z10" s="13">
        <v>58430.0</v>
      </c>
      <c r="AA10" s="13">
        <v>41007.0</v>
      </c>
      <c r="AB10" s="13">
        <v>3522.63</v>
      </c>
      <c r="AC10" s="13">
        <v>37697.180222222</v>
      </c>
      <c r="AD10" s="13">
        <v>37500.929444444</v>
      </c>
      <c r="AE10" s="13">
        <v>1.0</v>
      </c>
      <c r="AF10" s="13">
        <v>0.0</v>
      </c>
      <c r="AG10" s="13">
        <v>8.0</v>
      </c>
      <c r="AH10" s="13">
        <v>0.0</v>
      </c>
      <c r="AI10" s="13">
        <f>L10 + M10 + O10 + N10</f>
        <v>22</v>
      </c>
      <c r="AJ10" s="13">
        <f>P10 + N10</f>
        <v>8</v>
      </c>
      <c r="AK10" s="13">
        <f>L10 + M10 + O10</f>
        <v>22</v>
      </c>
    </row>
    <row r="11" spans="1:37">
      <c r="A11" s="2" t="s">
        <v>102</v>
      </c>
      <c r="B11" s="13">
        <f>IF(H11 = 0, "--", W11 / H11)</f>
        <v>903</v>
      </c>
      <c r="C11" s="14">
        <f>IF(H11 = 0, 0, Z11 / H11)</f>
        <v>2101.7777777778</v>
      </c>
      <c r="D11" s="14">
        <f>IF(I11 = 0, 0, AA11 / I11)</f>
        <v>2126.4285714286</v>
      </c>
      <c r="E11" s="14">
        <f>IF(I11 = 0, 0, AD11 / I11)</f>
        <v>2058.4243015873</v>
      </c>
      <c r="F11" s="13">
        <f>H11 + G11</f>
        <v>9</v>
      </c>
      <c r="G11" s="13">
        <v>0.0</v>
      </c>
      <c r="H11" s="13">
        <v>9.0</v>
      </c>
      <c r="I11" s="13">
        <f>L11 + N11 + M11</f>
        <v>7</v>
      </c>
      <c r="J11" s="13">
        <f>O11 + P11</f>
        <v>2</v>
      </c>
      <c r="K11" s="13">
        <v>2.0</v>
      </c>
      <c r="L11" s="13">
        <v>7.0</v>
      </c>
      <c r="M11" s="13">
        <v>0.0</v>
      </c>
      <c r="N11" s="13">
        <v>0.0</v>
      </c>
      <c r="O11" s="13">
        <f>AE11 + AF11</f>
        <v>0</v>
      </c>
      <c r="P11" s="13">
        <f>AG11 + AH11</f>
        <v>2</v>
      </c>
      <c r="Q11" s="15">
        <f>IF(H11 = 0, "--", I11 / H11)</f>
        <v>0.77777777777778</v>
      </c>
      <c r="R11" s="15">
        <f>IF(H11 = 0, "--", AI11 / H11)</f>
        <v>0.77777777777778</v>
      </c>
      <c r="S11" s="15">
        <f>IF(H11 = 0, "--", AK11 / H11)</f>
        <v>0.77777777777778</v>
      </c>
      <c r="T11" s="15">
        <f>IF(H11 = 0, "--", AJ11 / H11)</f>
        <v>0.22222222222222</v>
      </c>
      <c r="V11" s="14">
        <f>IF(H11 = 0, 0, X11 / H11)</f>
        <v>2110.5555555556</v>
      </c>
      <c r="W11" s="13">
        <v>8127.0</v>
      </c>
      <c r="X11" s="13">
        <v>18995.0</v>
      </c>
      <c r="Y11" s="13">
        <v>15873.0</v>
      </c>
      <c r="Z11" s="13">
        <v>18916.0</v>
      </c>
      <c r="AA11" s="13">
        <v>14885.0</v>
      </c>
      <c r="AB11" s="13">
        <v>988.0</v>
      </c>
      <c r="AC11" s="13">
        <v>14403.266666667</v>
      </c>
      <c r="AD11" s="13">
        <v>14408.970111111</v>
      </c>
      <c r="AE11" s="13">
        <v>0.0</v>
      </c>
      <c r="AF11" s="13">
        <v>0.0</v>
      </c>
      <c r="AG11" s="13">
        <v>2.0</v>
      </c>
      <c r="AH11" s="13">
        <v>0.0</v>
      </c>
      <c r="AI11" s="13">
        <f>L11 + M11 + O11 + N11</f>
        <v>7</v>
      </c>
      <c r="AJ11" s="13">
        <f>P11 + N11</f>
        <v>2</v>
      </c>
      <c r="AK11" s="13">
        <f>L11 + M11 + O11</f>
        <v>7</v>
      </c>
    </row>
    <row r="12" spans="1:37">
      <c r="A12" s="2" t="s">
        <v>103</v>
      </c>
      <c r="B12" s="13">
        <f>IF(H12 = 0, "--", W12 / H12)</f>
        <v>1140</v>
      </c>
      <c r="C12" s="14">
        <f>IF(H12 = 0, 0, Z12 / H12)</f>
        <v>2520.3255813953</v>
      </c>
      <c r="D12" s="14">
        <f>IF(I12 = 0, 0, AA12 / I12)</f>
        <v>2504.85</v>
      </c>
      <c r="E12" s="14">
        <f>IF(I12 = 0, 0, AD12 / I12)</f>
        <v>2356.9641148735</v>
      </c>
      <c r="F12" s="13">
        <f>H12 + G12</f>
        <v>43</v>
      </c>
      <c r="G12" s="13">
        <v>0.0</v>
      </c>
      <c r="H12" s="13">
        <v>43.0</v>
      </c>
      <c r="I12" s="13">
        <f>L12 + N12 + M12</f>
        <v>20</v>
      </c>
      <c r="J12" s="13">
        <f>O12 + P12</f>
        <v>23</v>
      </c>
      <c r="K12" s="13">
        <v>19.0</v>
      </c>
      <c r="L12" s="13">
        <v>19.0</v>
      </c>
      <c r="M12" s="13">
        <v>0.0</v>
      </c>
      <c r="N12" s="13">
        <v>1.0</v>
      </c>
      <c r="O12" s="13">
        <f>AE12 + AF12</f>
        <v>5</v>
      </c>
      <c r="P12" s="13">
        <f>AG12 + AH12</f>
        <v>18</v>
      </c>
      <c r="Q12" s="15">
        <f>IF(H12 = 0, "--", I12 / H12)</f>
        <v>0.46511627906977</v>
      </c>
      <c r="R12" s="15">
        <f>IF(H12 = 0, "--", AI12 / H12)</f>
        <v>0.58139534883721</v>
      </c>
      <c r="S12" s="15">
        <f>IF(H12 = 0, "--", AK12 / H12)</f>
        <v>0.55813953488372</v>
      </c>
      <c r="T12" s="15">
        <f>IF(H12 = 0, "--", AJ12 / H12)</f>
        <v>0.44186046511628</v>
      </c>
      <c r="V12" s="14">
        <f>IF(H12 = 0, 0, X12 / H12)</f>
        <v>2421.8139534884</v>
      </c>
      <c r="W12" s="13">
        <v>49020.0</v>
      </c>
      <c r="X12" s="13">
        <v>104138.0</v>
      </c>
      <c r="Y12" s="13">
        <v>50456.0</v>
      </c>
      <c r="Z12" s="13">
        <v>108374.0</v>
      </c>
      <c r="AA12" s="13">
        <v>50097.0</v>
      </c>
      <c r="AB12" s="13">
        <v>359.0</v>
      </c>
      <c r="AC12" s="13">
        <v>47328.622222222</v>
      </c>
      <c r="AD12" s="13">
        <v>47139.282297469</v>
      </c>
      <c r="AE12" s="13">
        <v>5.0</v>
      </c>
      <c r="AF12" s="13">
        <v>0.0</v>
      </c>
      <c r="AG12" s="13">
        <v>18.0</v>
      </c>
      <c r="AH12" s="13">
        <v>0.0</v>
      </c>
      <c r="AI12" s="13">
        <f>L12 + M12 + O12 + N12</f>
        <v>25</v>
      </c>
      <c r="AJ12" s="13">
        <f>P12 + N12</f>
        <v>19</v>
      </c>
      <c r="AK12" s="13">
        <f>L12 + M12 + O12</f>
        <v>24</v>
      </c>
    </row>
    <row r="13" spans="1:37">
      <c r="A13" s="2" t="s">
        <v>104</v>
      </c>
      <c r="B13" s="13">
        <f>IF(H13 = 0, "--", W13 / H13)</f>
        <v>1245</v>
      </c>
      <c r="C13" s="14">
        <f>IF(H13 = 0, 0, Z13 / H13)</f>
        <v>2815.7777777778</v>
      </c>
      <c r="D13" s="14">
        <f>IF(I13 = 0, 0, AA13 / I13)</f>
        <v>2805.2</v>
      </c>
      <c r="E13" s="14">
        <f>IF(I13 = 0, 0, AD13 / I13)</f>
        <v>2597.2542555556</v>
      </c>
      <c r="F13" s="13">
        <f>H13 + G13</f>
        <v>18</v>
      </c>
      <c r="G13" s="13">
        <v>0.0</v>
      </c>
      <c r="H13" s="13">
        <v>18.0</v>
      </c>
      <c r="I13" s="13">
        <f>L13 + N13 + M13</f>
        <v>10</v>
      </c>
      <c r="J13" s="13">
        <f>O13 + P13</f>
        <v>8</v>
      </c>
      <c r="K13" s="13">
        <v>8.0</v>
      </c>
      <c r="L13" s="13">
        <v>10.0</v>
      </c>
      <c r="M13" s="13">
        <v>0.0</v>
      </c>
      <c r="N13" s="13">
        <v>0.0</v>
      </c>
      <c r="O13" s="13">
        <f>AE13 + AF13</f>
        <v>0</v>
      </c>
      <c r="P13" s="13">
        <f>AG13 + AH13</f>
        <v>8</v>
      </c>
      <c r="Q13" s="15">
        <f>IF(H13 = 0, "--", I13 / H13)</f>
        <v>0.55555555555556</v>
      </c>
      <c r="R13" s="15">
        <f>IF(H13 = 0, "--", AI13 / H13)</f>
        <v>0.55555555555556</v>
      </c>
      <c r="S13" s="15">
        <f>IF(H13 = 0, "--", AK13 / H13)</f>
        <v>0.55555555555556</v>
      </c>
      <c r="T13" s="15">
        <f>IF(H13 = 0, "--", AJ13 / H13)</f>
        <v>0.44444444444444</v>
      </c>
      <c r="V13" s="14">
        <f>IF(H13 = 0, 0, X13 / H13)</f>
        <v>2726.6111111111</v>
      </c>
      <c r="W13" s="13">
        <v>22410.0</v>
      </c>
      <c r="X13" s="13">
        <v>49079.0</v>
      </c>
      <c r="Y13" s="13">
        <v>30058.6</v>
      </c>
      <c r="Z13" s="13">
        <v>50684.0</v>
      </c>
      <c r="AA13" s="13">
        <v>28052.0</v>
      </c>
      <c r="AB13" s="13">
        <v>2006.6</v>
      </c>
      <c r="AC13" s="13">
        <v>26171.724</v>
      </c>
      <c r="AD13" s="13">
        <v>25972.542555556</v>
      </c>
      <c r="AE13" s="13">
        <v>0.0</v>
      </c>
      <c r="AF13" s="13">
        <v>0.0</v>
      </c>
      <c r="AG13" s="13">
        <v>8.0</v>
      </c>
      <c r="AH13" s="13">
        <v>0.0</v>
      </c>
      <c r="AI13" s="13">
        <f>L13 + M13 + O13 + N13</f>
        <v>10</v>
      </c>
      <c r="AJ13" s="13">
        <f>P13 + N13</f>
        <v>8</v>
      </c>
      <c r="AK13" s="13">
        <f>L13 + M13 + O13</f>
        <v>10</v>
      </c>
    </row>
    <row r="14" spans="1:37">
      <c r="A14" s="2" t="s">
        <v>105</v>
      </c>
      <c r="B14" s="13">
        <f>IF(H14 = 0, "--", W14 / H14)</f>
        <v>1274</v>
      </c>
      <c r="C14" s="14">
        <f>IF(H14 = 0, 0, Z14 / H14)</f>
        <v>2951</v>
      </c>
      <c r="D14" s="14">
        <f>IF(I14 = 0, 0, AA14 / I14)</f>
        <v>2962.75</v>
      </c>
      <c r="E14" s="14">
        <f>IF(I14 = 0, 0, AD14 / I14)</f>
        <v>2643.7896428571</v>
      </c>
      <c r="F14" s="13">
        <f>H14 + G14</f>
        <v>10</v>
      </c>
      <c r="G14" s="13">
        <v>0.0</v>
      </c>
      <c r="H14" s="13">
        <v>10.0</v>
      </c>
      <c r="I14" s="13">
        <f>L14 + N14 + M14</f>
        <v>4</v>
      </c>
      <c r="J14" s="13">
        <f>O14 + P14</f>
        <v>6</v>
      </c>
      <c r="K14" s="13">
        <v>4.0</v>
      </c>
      <c r="L14" s="13">
        <v>4.0</v>
      </c>
      <c r="M14" s="13">
        <v>0.0</v>
      </c>
      <c r="N14" s="13">
        <v>0.0</v>
      </c>
      <c r="O14" s="13">
        <f>AE14 + AF14</f>
        <v>2</v>
      </c>
      <c r="P14" s="13">
        <f>AG14 + AH14</f>
        <v>4</v>
      </c>
      <c r="Q14" s="15">
        <f>IF(H14 = 0, "--", I14 / H14)</f>
        <v>0.4</v>
      </c>
      <c r="R14" s="15">
        <f>IF(H14 = 0, "--", AI14 / H14)</f>
        <v>0.6</v>
      </c>
      <c r="S14" s="15">
        <f>IF(H14 = 0, "--", AK14 / H14)</f>
        <v>0.6</v>
      </c>
      <c r="T14" s="15">
        <f>IF(H14 = 0, "--", AJ14 / H14)</f>
        <v>0.4</v>
      </c>
      <c r="V14" s="14">
        <f>IF(H14 = 0, 0, X14 / H14)</f>
        <v>2884</v>
      </c>
      <c r="W14" s="13">
        <v>12740.0</v>
      </c>
      <c r="X14" s="13">
        <v>28840.0</v>
      </c>
      <c r="Y14" s="13">
        <v>12649.0</v>
      </c>
      <c r="Z14" s="13">
        <v>29510.0</v>
      </c>
      <c r="AA14" s="13">
        <v>11851.0</v>
      </c>
      <c r="AB14" s="13">
        <v>798.0</v>
      </c>
      <c r="AC14" s="13">
        <v>10771.425238095</v>
      </c>
      <c r="AD14" s="13">
        <v>10575.158571429</v>
      </c>
      <c r="AE14" s="13">
        <v>2.0</v>
      </c>
      <c r="AF14" s="13">
        <v>0.0</v>
      </c>
      <c r="AG14" s="13">
        <v>4.0</v>
      </c>
      <c r="AH14" s="13">
        <v>0.0</v>
      </c>
      <c r="AI14" s="13">
        <f>L14 + M14 + O14 + N14</f>
        <v>6</v>
      </c>
      <c r="AJ14" s="13">
        <f>P14 + N14</f>
        <v>4</v>
      </c>
      <c r="AK14" s="13">
        <f>L14 + M14 + O14</f>
        <v>6</v>
      </c>
    </row>
    <row r="15" spans="1:37">
      <c r="A15" s="2" t="s">
        <v>106</v>
      </c>
      <c r="B15" s="13">
        <f>IF(H15 = 0, "--", W15 / H15)</f>
        <v>1336</v>
      </c>
      <c r="C15" s="14">
        <f>IF(H15 = 0, 0, Z15 / H15)</f>
        <v>3150</v>
      </c>
      <c r="D15" s="14">
        <f>IF(I15 = 0, 0, AA15 / I15)</f>
        <v>3116.25</v>
      </c>
      <c r="E15" s="14">
        <f>IF(I15 = 0, 0, AD15 / I15)</f>
        <v>2845.6075277778</v>
      </c>
      <c r="F15" s="13">
        <f>H15 + G15</f>
        <v>5</v>
      </c>
      <c r="G15" s="13">
        <v>0.0</v>
      </c>
      <c r="H15" s="13">
        <v>5.0</v>
      </c>
      <c r="I15" s="13">
        <f>L15 + N15 + M15</f>
        <v>4</v>
      </c>
      <c r="J15" s="13">
        <f>O15 + P15</f>
        <v>1</v>
      </c>
      <c r="K15" s="13">
        <v>1.0</v>
      </c>
      <c r="L15" s="13">
        <v>4.0</v>
      </c>
      <c r="M15" s="13">
        <v>0.0</v>
      </c>
      <c r="N15" s="13">
        <v>0.0</v>
      </c>
      <c r="O15" s="13">
        <f>AE15 + AF15</f>
        <v>0</v>
      </c>
      <c r="P15" s="13">
        <f>AG15 + AH15</f>
        <v>1</v>
      </c>
      <c r="Q15" s="15">
        <f>IF(H15 = 0, "--", I15 / H15)</f>
        <v>0.8</v>
      </c>
      <c r="R15" s="15">
        <f>IF(H15 = 0, "--", AI15 / H15)</f>
        <v>0.8</v>
      </c>
      <c r="S15" s="15">
        <f>IF(H15 = 0, "--", AK15 / H15)</f>
        <v>0.8</v>
      </c>
      <c r="T15" s="15">
        <f>IF(H15 = 0, "--", AJ15 / H15)</f>
        <v>0.2</v>
      </c>
      <c r="V15" s="14">
        <f>IF(H15 = 0, 0, X15 / H15)</f>
        <v>3088</v>
      </c>
      <c r="W15" s="13">
        <v>6680.0</v>
      </c>
      <c r="X15" s="13">
        <v>15440.0</v>
      </c>
      <c r="Y15" s="13">
        <v>13460.8</v>
      </c>
      <c r="Z15" s="13">
        <v>15750.0</v>
      </c>
      <c r="AA15" s="13">
        <v>12465.0</v>
      </c>
      <c r="AB15" s="13">
        <v>995.8</v>
      </c>
      <c r="AC15" s="13">
        <v>11383.007333333</v>
      </c>
      <c r="AD15" s="13">
        <v>11382.430111111</v>
      </c>
      <c r="AE15" s="13">
        <v>0.0</v>
      </c>
      <c r="AF15" s="13">
        <v>0.0</v>
      </c>
      <c r="AG15" s="13">
        <v>1.0</v>
      </c>
      <c r="AH15" s="13">
        <v>0.0</v>
      </c>
      <c r="AI15" s="13">
        <f>L15 + M15 + O15 + N15</f>
        <v>4</v>
      </c>
      <c r="AJ15" s="13">
        <f>P15 + N15</f>
        <v>1</v>
      </c>
      <c r="AK15" s="13">
        <f>L15 + M15 + O15</f>
        <v>4</v>
      </c>
    </row>
    <row r="16" spans="1:37">
      <c r="A16" s="2" t="s">
        <v>107</v>
      </c>
      <c r="B16" s="13">
        <f>IF(H16 = 0, "--", W16 / H16)</f>
        <v>1268</v>
      </c>
      <c r="C16" s="14">
        <f>IF(H16 = 0, 0, Z16 / H16)</f>
        <v>2795.7777777778</v>
      </c>
      <c r="D16" s="14">
        <f>IF(I16 = 0, 0, AA16 / I16)</f>
        <v>2779.6666666667</v>
      </c>
      <c r="E16" s="14">
        <f>IF(I16 = 0, 0, AD16 / I16)</f>
        <v>2435.9672042611</v>
      </c>
      <c r="F16" s="13">
        <f>H16 + G16</f>
        <v>9</v>
      </c>
      <c r="G16" s="13">
        <v>0.0</v>
      </c>
      <c r="H16" s="13">
        <v>9.0</v>
      </c>
      <c r="I16" s="13">
        <f>L16 + N16 + M16</f>
        <v>3</v>
      </c>
      <c r="J16" s="13">
        <f>O16 + P16</f>
        <v>6</v>
      </c>
      <c r="K16" s="13">
        <v>6.0</v>
      </c>
      <c r="L16" s="13">
        <v>3.0</v>
      </c>
      <c r="M16" s="13">
        <v>0.0</v>
      </c>
      <c r="N16" s="13">
        <v>0.0</v>
      </c>
      <c r="O16" s="13">
        <f>AE16 + AF16</f>
        <v>0</v>
      </c>
      <c r="P16" s="13">
        <f>AG16 + AH16</f>
        <v>6</v>
      </c>
      <c r="Q16" s="15">
        <f>IF(H16 = 0, "--", I16 / H16)</f>
        <v>0.33333333333333</v>
      </c>
      <c r="R16" s="15">
        <f>IF(H16 = 0, "--", AI16 / H16)</f>
        <v>0.33333333333333</v>
      </c>
      <c r="S16" s="15">
        <f>IF(H16 = 0, "--", AK16 / H16)</f>
        <v>0.33333333333333</v>
      </c>
      <c r="T16" s="15">
        <f>IF(H16 = 0, "--", AJ16 / H16)</f>
        <v>0.66666666666667</v>
      </c>
      <c r="V16" s="14">
        <f>IF(H16 = 0, 0, X16 / H16)</f>
        <v>2730.3333333333</v>
      </c>
      <c r="W16" s="13">
        <v>11412.0</v>
      </c>
      <c r="X16" s="13">
        <v>24573.0</v>
      </c>
      <c r="Y16" s="13">
        <v>8661.95</v>
      </c>
      <c r="Z16" s="13">
        <v>25162.0</v>
      </c>
      <c r="AA16" s="13">
        <v>8339.0</v>
      </c>
      <c r="AB16" s="13">
        <v>322.95</v>
      </c>
      <c r="AC16" s="13">
        <v>8256.95</v>
      </c>
      <c r="AD16" s="13">
        <v>7307.9016127834</v>
      </c>
      <c r="AE16" s="13">
        <v>0.0</v>
      </c>
      <c r="AF16" s="13">
        <v>0.0</v>
      </c>
      <c r="AG16" s="13">
        <v>6.0</v>
      </c>
      <c r="AH16" s="13">
        <v>0.0</v>
      </c>
      <c r="AI16" s="13">
        <f>L16 + M16 + O16 + N16</f>
        <v>3</v>
      </c>
      <c r="AJ16" s="13">
        <f>P16 + N16</f>
        <v>6</v>
      </c>
      <c r="AK16" s="13">
        <f>L16 + M16 + O16</f>
        <v>3</v>
      </c>
    </row>
    <row r="17" spans="1:37">
      <c r="A17" s="2" t="s">
        <v>108</v>
      </c>
      <c r="B17" s="13">
        <f>IF(H17 = 0, "--", W17 / H17)</f>
        <v>1538</v>
      </c>
      <c r="C17" s="14">
        <f>IF(H17 = 0, 0, Z17 / H17)</f>
        <v>3353.75</v>
      </c>
      <c r="D17" s="14">
        <f>IF(I17 = 0, 0, AA17 / I17)</f>
        <v>3395</v>
      </c>
      <c r="E17" s="14">
        <f>IF(I17 = 0, 0, AD17 / I17)</f>
        <v>3172.832</v>
      </c>
      <c r="F17" s="13">
        <f>H17 + G17</f>
        <v>4</v>
      </c>
      <c r="G17" s="13">
        <v>0.0</v>
      </c>
      <c r="H17" s="13">
        <v>4.0</v>
      </c>
      <c r="I17" s="13">
        <f>L17 + N17 + M17</f>
        <v>4</v>
      </c>
      <c r="J17" s="13">
        <f>O17 + P17</f>
        <v>0</v>
      </c>
      <c r="K17" s="13">
        <v>0.0</v>
      </c>
      <c r="L17" s="13">
        <v>4.0</v>
      </c>
      <c r="M17" s="13">
        <v>0.0</v>
      </c>
      <c r="N17" s="13">
        <v>0.0</v>
      </c>
      <c r="O17" s="13">
        <f>AE17 + AF17</f>
        <v>0</v>
      </c>
      <c r="P17" s="13">
        <f>AG17 + AH17</f>
        <v>0</v>
      </c>
      <c r="Q17" s="15">
        <f>IF(H17 = 0, "--", I17 / H17)</f>
        <v>1</v>
      </c>
      <c r="R17" s="15">
        <f>IF(H17 = 0, "--", AI17 / H17)</f>
        <v>1</v>
      </c>
      <c r="S17" s="15">
        <f>IF(H17 = 0, "--", AK17 / H17)</f>
        <v>1</v>
      </c>
      <c r="T17" s="15">
        <f>IF(H17 = 0, "--", AJ17 / H17)</f>
        <v>0</v>
      </c>
      <c r="V17" s="14">
        <f>IF(H17 = 0, 0, X17 / H17)</f>
        <v>3423.75</v>
      </c>
      <c r="W17" s="13">
        <v>6152.0</v>
      </c>
      <c r="X17" s="13">
        <v>13695.0</v>
      </c>
      <c r="Y17" s="13">
        <v>15123.0</v>
      </c>
      <c r="Z17" s="13">
        <v>13415.0</v>
      </c>
      <c r="AA17" s="13">
        <v>13580.0</v>
      </c>
      <c r="AB17" s="13">
        <v>1543.0</v>
      </c>
      <c r="AC17" s="13">
        <v>12685.073333333</v>
      </c>
      <c r="AD17" s="13">
        <v>12691.328</v>
      </c>
      <c r="AE17" s="13">
        <v>0.0</v>
      </c>
      <c r="AF17" s="13">
        <v>0.0</v>
      </c>
      <c r="AG17" s="13">
        <v>0.0</v>
      </c>
      <c r="AH17" s="13">
        <v>0.0</v>
      </c>
      <c r="AI17" s="13">
        <f>L17 + M17 + O17 + N17</f>
        <v>4</v>
      </c>
      <c r="AJ17" s="13">
        <f>P17 + N17</f>
        <v>0</v>
      </c>
      <c r="AK17" s="13">
        <f>L17 + M17 + O17</f>
        <v>4</v>
      </c>
    </row>
    <row r="18" spans="1:37">
      <c r="A18" s="9" t="s">
        <v>50</v>
      </c>
      <c r="B18" s="10">
        <f>IF(H18 = 0, "--", W18 / H18)</f>
        <v>1000.8426966292</v>
      </c>
      <c r="C18" s="11">
        <f>IF(H18 = 0, 0, Z18 / H18)</f>
        <v>2297.2134831461</v>
      </c>
      <c r="D18" s="11">
        <f>IF(I18 = 0, 0, AA18 / I18)</f>
        <v>2230.7142857143</v>
      </c>
      <c r="E18" s="11">
        <f>IF(I18 = 0, 0, AD18 / I18)</f>
        <v>2062.0801094595</v>
      </c>
      <c r="F18" s="10">
        <f>H18 + G18</f>
        <v>178</v>
      </c>
      <c r="G18" s="10">
        <f>SUM(G8:G17)</f>
        <v>0</v>
      </c>
      <c r="H18" s="10">
        <f>SUM(H8:H17)</f>
        <v>178</v>
      </c>
      <c r="I18" s="10">
        <f>L18 + N18 + M18</f>
        <v>112</v>
      </c>
      <c r="J18" s="10">
        <f>O18 + P18</f>
        <v>66</v>
      </c>
      <c r="K18" s="10">
        <f>SUM(K8:K17)</f>
        <v>57</v>
      </c>
      <c r="L18" s="10">
        <f>SUM(L8:L17)</f>
        <v>110</v>
      </c>
      <c r="M18" s="10">
        <f>SUM(M8:M17)</f>
        <v>0</v>
      </c>
      <c r="N18" s="10">
        <f>SUM(N8:N17)</f>
        <v>2</v>
      </c>
      <c r="O18" s="10">
        <f>AE18 + AF18</f>
        <v>11</v>
      </c>
      <c r="P18" s="10">
        <f>AG18 + AH18</f>
        <v>55</v>
      </c>
      <c r="Q18" s="12">
        <f>IF(H18 = 0, "--", I18 / H18)</f>
        <v>0.62921348314607</v>
      </c>
      <c r="R18" s="12">
        <f>IF(H18 = 0, "--", AI18 / H18)</f>
        <v>0.69101123595506</v>
      </c>
      <c r="S18" s="12">
        <f>IF(H18 = 0, "--", AK18 / H18)</f>
        <v>0.67977528089888</v>
      </c>
      <c r="T18" s="12">
        <f>IF(H18 = 0, "--", AJ18 / H18)</f>
        <v>0.32022471910112</v>
      </c>
      <c r="V18" s="11">
        <f>IF(H18 = 0, 0, X18 / H18)</f>
        <v>2265.5224719101</v>
      </c>
      <c r="W18" s="10">
        <f>SUM(W8:W17)</f>
        <v>178150</v>
      </c>
      <c r="X18" s="10">
        <f>SUM(X8:X17)</f>
        <v>403263</v>
      </c>
      <c r="Y18" s="10">
        <f>SUM(Y8:Y17)</f>
        <v>265620.41</v>
      </c>
      <c r="Z18" s="10">
        <f>SUM(Z8:Z17)</f>
        <v>408904</v>
      </c>
      <c r="AA18" s="10">
        <f>SUM(AA8:AA17)</f>
        <v>249840</v>
      </c>
      <c r="AB18" s="10">
        <f>SUM(AB8:AB17)</f>
        <v>15780.41</v>
      </c>
      <c r="AC18" s="10">
        <f>SUM(AC8:AC17)</f>
        <v>233065.25401587</v>
      </c>
      <c r="AD18" s="10">
        <f>SUM(AD8:AD17)</f>
        <v>230952.97225946</v>
      </c>
      <c r="AE18" s="10">
        <f>SUM(AE8:AE17)</f>
        <v>10</v>
      </c>
      <c r="AF18" s="10">
        <f>SUM(AF8:AF17)</f>
        <v>1</v>
      </c>
      <c r="AG18" s="10">
        <f>SUM(AG8:AG17)</f>
        <v>54</v>
      </c>
      <c r="AH18" s="10">
        <f>SUM(AH8:AH17)</f>
        <v>1</v>
      </c>
      <c r="AI18" s="10">
        <f>L18 + M18 + O18 + N18</f>
        <v>123</v>
      </c>
      <c r="AJ18" s="10">
        <f>P18 + N18</f>
        <v>57</v>
      </c>
      <c r="AK18" s="10">
        <f>L18 + M18 + O18</f>
        <v>121</v>
      </c>
    </row>
    <row r="20" spans="1:37">
      <c r="A20" s="1" t="s">
        <v>51</v>
      </c>
    </row>
    <row r="21" spans="1:37">
      <c r="A21" s="3" t="s">
        <v>4</v>
      </c>
      <c r="B21" s="4" t="s">
        <v>10</v>
      </c>
      <c r="C21" s="4" t="s">
        <v>52</v>
      </c>
      <c r="D21" s="4" t="s">
        <v>53</v>
      </c>
      <c r="E21" s="4" t="s">
        <v>54</v>
      </c>
      <c r="F21" s="4" t="s">
        <v>55</v>
      </c>
      <c r="G21" s="4" t="s">
        <v>56</v>
      </c>
      <c r="H21" s="4" t="s">
        <v>57</v>
      </c>
      <c r="I21" s="4" t="s">
        <v>58</v>
      </c>
      <c r="J21" s="4" t="s">
        <v>60</v>
      </c>
      <c r="K21" s="4" t="s">
        <v>61</v>
      </c>
      <c r="L21" s="4" t="s">
        <v>62</v>
      </c>
      <c r="M21" s="4" t="s">
        <v>21</v>
      </c>
      <c r="V21" s="8" t="s">
        <v>59</v>
      </c>
    </row>
    <row r="22" spans="1:37">
      <c r="A22" s="2" t="s">
        <v>99</v>
      </c>
      <c r="B22" s="13">
        <v>9.0</v>
      </c>
      <c r="C22" s="13">
        <v>0.0</v>
      </c>
      <c r="D22" s="13">
        <v>0.0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  <c r="M22" s="13">
        <v>0.0</v>
      </c>
      <c r="V22" s="13">
        <v>0.0</v>
      </c>
    </row>
    <row r="23" spans="1:37">
      <c r="A23" s="2" t="s">
        <v>100</v>
      </c>
      <c r="B23" s="13">
        <v>41.0</v>
      </c>
      <c r="C23" s="13">
        <v>1.0</v>
      </c>
      <c r="D23" s="13">
        <v>0.0</v>
      </c>
      <c r="E23" s="13">
        <v>0.0</v>
      </c>
      <c r="F23" s="13">
        <v>0.0</v>
      </c>
      <c r="G23" s="13">
        <v>0.0</v>
      </c>
      <c r="H23" s="13">
        <v>3.0</v>
      </c>
      <c r="I23" s="13">
        <v>2.0</v>
      </c>
      <c r="J23" s="13">
        <v>0.0</v>
      </c>
      <c r="K23" s="13">
        <v>0.0</v>
      </c>
      <c r="L23" s="13">
        <v>0.0</v>
      </c>
      <c r="M23" s="13">
        <v>0.0</v>
      </c>
      <c r="V23" s="13">
        <v>3.0</v>
      </c>
    </row>
    <row r="24" spans="1:37">
      <c r="A24" s="2" t="s">
        <v>101</v>
      </c>
      <c r="B24" s="13">
        <v>30.0</v>
      </c>
      <c r="C24" s="13">
        <v>0.0</v>
      </c>
      <c r="D24" s="13">
        <v>0.0</v>
      </c>
      <c r="E24" s="13">
        <v>0.0</v>
      </c>
      <c r="F24" s="13">
        <v>2.0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V24" s="13">
        <v>1.0</v>
      </c>
    </row>
    <row r="25" spans="1:37">
      <c r="A25" s="2" t="s">
        <v>102</v>
      </c>
      <c r="B25" s="13">
        <v>9.0</v>
      </c>
      <c r="C25" s="13">
        <v>0.0</v>
      </c>
      <c r="D25" s="13">
        <v>0.0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3">
        <v>0.0</v>
      </c>
      <c r="K25" s="13">
        <v>0.0</v>
      </c>
      <c r="L25" s="13">
        <v>0.0</v>
      </c>
      <c r="M25" s="13">
        <v>0.0</v>
      </c>
      <c r="V25" s="13">
        <v>1.0</v>
      </c>
    </row>
    <row r="26" spans="1:37">
      <c r="A26" s="2" t="s">
        <v>103</v>
      </c>
      <c r="B26" s="13">
        <v>43.0</v>
      </c>
      <c r="C26" s="13">
        <v>2.0</v>
      </c>
      <c r="D26" s="13">
        <v>0.0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3">
        <v>3.0</v>
      </c>
      <c r="V26" s="13">
        <v>1.0</v>
      </c>
    </row>
    <row r="27" spans="1:37">
      <c r="A27" s="2" t="s">
        <v>104</v>
      </c>
      <c r="B27" s="13">
        <v>18.0</v>
      </c>
      <c r="C27" s="13">
        <v>0.0</v>
      </c>
      <c r="D27" s="13">
        <v>0.0</v>
      </c>
      <c r="E27" s="13">
        <v>0.0</v>
      </c>
      <c r="F27" s="13">
        <v>0.0</v>
      </c>
      <c r="G27" s="13">
        <v>0.0</v>
      </c>
      <c r="H27" s="13">
        <v>0.0</v>
      </c>
      <c r="I27" s="13">
        <v>0.0</v>
      </c>
      <c r="J27" s="13">
        <v>0.0</v>
      </c>
      <c r="K27" s="13">
        <v>0.0</v>
      </c>
      <c r="L27" s="13">
        <v>0.0</v>
      </c>
      <c r="M27" s="13">
        <v>0.0</v>
      </c>
      <c r="V27" s="13">
        <v>0.0</v>
      </c>
    </row>
    <row r="28" spans="1:37">
      <c r="A28" s="2" t="s">
        <v>105</v>
      </c>
      <c r="B28" s="13">
        <v>10.0</v>
      </c>
      <c r="C28" s="13">
        <v>1.0</v>
      </c>
      <c r="D28" s="13">
        <v>0.0</v>
      </c>
      <c r="E28" s="13">
        <v>0.0</v>
      </c>
      <c r="F28" s="13">
        <v>0.0</v>
      </c>
      <c r="G28" s="13">
        <v>0.0</v>
      </c>
      <c r="H28" s="13">
        <v>0.0</v>
      </c>
      <c r="I28" s="13">
        <v>0.0</v>
      </c>
      <c r="J28" s="13">
        <v>0.0</v>
      </c>
      <c r="K28" s="13">
        <v>0.0</v>
      </c>
      <c r="L28" s="13">
        <v>0.0</v>
      </c>
      <c r="M28" s="13">
        <v>0.0</v>
      </c>
      <c r="V28" s="13">
        <v>0.0</v>
      </c>
    </row>
    <row r="29" spans="1:37">
      <c r="A29" s="2" t="s">
        <v>106</v>
      </c>
      <c r="B29" s="13">
        <v>5.0</v>
      </c>
      <c r="C29" s="13">
        <v>1.0</v>
      </c>
      <c r="D29" s="13">
        <v>0.0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1.0</v>
      </c>
      <c r="V29" s="13">
        <v>0.0</v>
      </c>
    </row>
    <row r="30" spans="1:37">
      <c r="A30" s="2" t="s">
        <v>107</v>
      </c>
      <c r="B30" s="13">
        <v>9.0</v>
      </c>
      <c r="C30" s="13">
        <v>1.0</v>
      </c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3">
        <v>1.0</v>
      </c>
      <c r="V30" s="13">
        <v>0.0</v>
      </c>
    </row>
    <row r="31" spans="1:37">
      <c r="A31" s="2" t="s">
        <v>108</v>
      </c>
      <c r="B31" s="13">
        <v>4.0</v>
      </c>
      <c r="C31" s="13">
        <v>0.0</v>
      </c>
      <c r="D31" s="13">
        <v>0.0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3">
        <v>0.0</v>
      </c>
      <c r="V31" s="13">
        <v>0.0</v>
      </c>
    </row>
    <row r="32" spans="1:37">
      <c r="A32" s="9" t="s">
        <v>50</v>
      </c>
      <c r="B32" s="10">
        <f>SUM(B22:B31)</f>
        <v>178</v>
      </c>
      <c r="C32" s="10">
        <f>SUM(C22:C31)</f>
        <v>6</v>
      </c>
      <c r="D32" s="10">
        <f>SUM(D22:D31)</f>
        <v>0</v>
      </c>
      <c r="E32" s="10">
        <f>SUM(E22:E31)</f>
        <v>0</v>
      </c>
      <c r="F32" s="10">
        <f>SUM(F22:F31)</f>
        <v>2</v>
      </c>
      <c r="G32" s="10">
        <f>SUM(G22:G31)</f>
        <v>0</v>
      </c>
      <c r="H32" s="10">
        <f>SUM(H22:H31)</f>
        <v>3</v>
      </c>
      <c r="I32" s="10">
        <f>SUM(I22:I31)</f>
        <v>2</v>
      </c>
      <c r="J32" s="10">
        <f>SUM(J22:J31)</f>
        <v>0</v>
      </c>
      <c r="K32" s="10">
        <f>SUM(K22:K31)</f>
        <v>0</v>
      </c>
      <c r="L32" s="10">
        <f>SUM(L22:L31)</f>
        <v>0</v>
      </c>
      <c r="M32" s="10">
        <f>SUM(M22:M31)</f>
        <v>5</v>
      </c>
    </row>
    <row r="34" spans="1:37">
      <c r="A34" s="1" t="s">
        <v>63</v>
      </c>
    </row>
    <row r="35" spans="1:37">
      <c r="C35" s="16" t="s">
        <v>64</v>
      </c>
      <c r="K35" s="16" t="s">
        <v>65</v>
      </c>
      <c r="O35" s="16" t="s">
        <v>66</v>
      </c>
    </row>
    <row r="36" spans="1:37">
      <c r="A36" s="3" t="s">
        <v>4</v>
      </c>
      <c r="B36" s="4" t="s">
        <v>67</v>
      </c>
      <c r="C36" s="4" t="s">
        <v>68</v>
      </c>
      <c r="D36" s="4" t="s">
        <v>69</v>
      </c>
      <c r="E36" s="4" t="s">
        <v>70</v>
      </c>
      <c r="F36" s="4" t="s">
        <v>71</v>
      </c>
      <c r="G36" s="4" t="s">
        <v>72</v>
      </c>
      <c r="H36" s="4" t="s">
        <v>73</v>
      </c>
      <c r="I36" s="4" t="s">
        <v>74</v>
      </c>
      <c r="J36" s="4" t="s">
        <v>75</v>
      </c>
      <c r="K36" s="4" t="s">
        <v>76</v>
      </c>
      <c r="L36" s="4" t="s">
        <v>77</v>
      </c>
      <c r="M36" s="4" t="s">
        <v>78</v>
      </c>
      <c r="N36" s="4" t="s">
        <v>79</v>
      </c>
      <c r="O36" s="4" t="s">
        <v>80</v>
      </c>
    </row>
    <row r="37" spans="1:37">
      <c r="A37" s="2" t="s">
        <v>99</v>
      </c>
      <c r="B37" s="13">
        <v>2.0</v>
      </c>
      <c r="C37" s="13">
        <v>0.0</v>
      </c>
      <c r="D37" s="13">
        <v>1.0</v>
      </c>
      <c r="E37" s="13">
        <v>1.0</v>
      </c>
      <c r="F37" s="13">
        <v>0.0</v>
      </c>
      <c r="G37" s="13">
        <v>0.0</v>
      </c>
      <c r="H37" s="13">
        <v>0.0</v>
      </c>
      <c r="I37" s="13">
        <v>0.0</v>
      </c>
      <c r="J37" s="13">
        <v>0.0</v>
      </c>
      <c r="K37" s="13">
        <v>9.0</v>
      </c>
      <c r="L37" s="13">
        <v>12.0</v>
      </c>
      <c r="M37" s="13">
        <v>0.0</v>
      </c>
      <c r="N37" s="13">
        <v>2.0</v>
      </c>
      <c r="O37" s="13">
        <v>1.0</v>
      </c>
    </row>
    <row r="38" spans="1:37">
      <c r="A38" s="2" t="s">
        <v>100</v>
      </c>
      <c r="B38" s="13">
        <v>1.0</v>
      </c>
      <c r="C38" s="13">
        <v>0.0</v>
      </c>
      <c r="D38" s="13">
        <v>1.0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3">
        <v>0.0</v>
      </c>
      <c r="K38" s="13">
        <v>18.0</v>
      </c>
      <c r="L38" s="13">
        <v>28.0</v>
      </c>
      <c r="M38" s="13">
        <v>0.0</v>
      </c>
      <c r="N38" s="13">
        <v>2.0</v>
      </c>
      <c r="O38" s="13">
        <v>1.0</v>
      </c>
    </row>
    <row r="39" spans="1:37">
      <c r="A39" s="2" t="s">
        <v>101</v>
      </c>
      <c r="B39" s="13">
        <v>1.0</v>
      </c>
      <c r="C39" s="13">
        <v>1.0</v>
      </c>
      <c r="D39" s="13">
        <v>0.0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2.0</v>
      </c>
      <c r="L39" s="13">
        <v>3.0</v>
      </c>
      <c r="M39" s="13">
        <v>0.0</v>
      </c>
      <c r="N39" s="13">
        <v>1.0</v>
      </c>
      <c r="O39" s="13">
        <v>0.0</v>
      </c>
    </row>
    <row r="40" spans="1:37">
      <c r="A40" s="2" t="s">
        <v>102</v>
      </c>
      <c r="B40" s="13">
        <v>1.0</v>
      </c>
      <c r="C40" s="13">
        <v>0.0</v>
      </c>
      <c r="D40" s="13">
        <v>0.0</v>
      </c>
      <c r="E40" s="13">
        <v>1.0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2.0</v>
      </c>
      <c r="L40" s="13">
        <v>0.0</v>
      </c>
      <c r="M40" s="13">
        <v>0.0</v>
      </c>
      <c r="N40" s="13">
        <v>3.0</v>
      </c>
      <c r="O40" s="13">
        <v>0.0</v>
      </c>
    </row>
    <row r="41" spans="1:37">
      <c r="A41" s="2" t="s">
        <v>103</v>
      </c>
      <c r="B41" s="13">
        <v>0.0</v>
      </c>
      <c r="C41" s="13">
        <v>0.0</v>
      </c>
      <c r="D41" s="13">
        <v>0.0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3">
        <v>0.0</v>
      </c>
      <c r="K41" s="13">
        <v>12.0</v>
      </c>
      <c r="L41" s="13">
        <v>17.0</v>
      </c>
      <c r="M41" s="13">
        <v>0.0</v>
      </c>
      <c r="N41" s="13">
        <v>6.0</v>
      </c>
      <c r="O41" s="13">
        <v>0.0</v>
      </c>
    </row>
    <row r="42" spans="1:37">
      <c r="A42" s="2" t="s">
        <v>104</v>
      </c>
      <c r="B42" s="13">
        <v>0.0</v>
      </c>
      <c r="C42" s="13">
        <v>0.0</v>
      </c>
      <c r="D42" s="13">
        <v>0.0</v>
      </c>
      <c r="E42" s="13">
        <v>0.0</v>
      </c>
      <c r="F42" s="13">
        <v>0.0</v>
      </c>
      <c r="G42" s="13">
        <v>0.0</v>
      </c>
      <c r="H42" s="13">
        <v>0.0</v>
      </c>
      <c r="I42" s="13">
        <v>0.0</v>
      </c>
      <c r="J42" s="13">
        <v>0.0</v>
      </c>
      <c r="K42" s="13">
        <v>0.0</v>
      </c>
      <c r="L42" s="13">
        <v>0.0</v>
      </c>
      <c r="M42" s="13">
        <v>0.0</v>
      </c>
      <c r="N42" s="13">
        <v>2.0</v>
      </c>
      <c r="O42" s="13">
        <v>0.0</v>
      </c>
    </row>
    <row r="43" spans="1:37">
      <c r="A43" s="2" t="s">
        <v>105</v>
      </c>
      <c r="B43" s="13">
        <v>1.0</v>
      </c>
      <c r="C43" s="13">
        <v>0.0</v>
      </c>
      <c r="D43" s="13">
        <v>0.0</v>
      </c>
      <c r="E43" s="13">
        <v>1.0</v>
      </c>
      <c r="F43" s="13">
        <v>0.0</v>
      </c>
      <c r="G43" s="13">
        <v>0.0</v>
      </c>
      <c r="H43" s="13">
        <v>0.0</v>
      </c>
      <c r="I43" s="13">
        <v>0.0</v>
      </c>
      <c r="J43" s="13">
        <v>0.0</v>
      </c>
      <c r="K43" s="13">
        <v>37.0</v>
      </c>
      <c r="L43" s="13">
        <v>11.0</v>
      </c>
      <c r="M43" s="13">
        <v>0.0</v>
      </c>
      <c r="N43" s="13">
        <v>1.0</v>
      </c>
      <c r="O43" s="13">
        <v>0.0</v>
      </c>
    </row>
    <row r="44" spans="1:37">
      <c r="A44" s="2" t="s">
        <v>106</v>
      </c>
      <c r="B44" s="13">
        <v>1.0</v>
      </c>
      <c r="C44" s="13">
        <v>0.0</v>
      </c>
      <c r="D44" s="13">
        <v>1.0</v>
      </c>
      <c r="E44" s="13">
        <v>0.0</v>
      </c>
      <c r="F44" s="13">
        <v>0.0</v>
      </c>
      <c r="G44" s="13">
        <v>0.0</v>
      </c>
      <c r="H44" s="13">
        <v>0.0</v>
      </c>
      <c r="I44" s="13">
        <v>0.0</v>
      </c>
      <c r="J44" s="13">
        <v>0.0</v>
      </c>
      <c r="K44" s="13">
        <v>17.0</v>
      </c>
      <c r="L44" s="13">
        <v>10.0</v>
      </c>
      <c r="M44" s="13">
        <v>0.0</v>
      </c>
      <c r="N44" s="13">
        <v>3.0</v>
      </c>
      <c r="O44" s="13">
        <v>1.0</v>
      </c>
    </row>
    <row r="45" spans="1:37">
      <c r="A45" s="2" t="s">
        <v>107</v>
      </c>
      <c r="B45" s="13">
        <v>1.0</v>
      </c>
      <c r="C45" s="13">
        <v>0.0</v>
      </c>
      <c r="D45" s="13">
        <v>0.0</v>
      </c>
      <c r="E45" s="13">
        <v>0.0</v>
      </c>
      <c r="F45" s="13">
        <v>0.0</v>
      </c>
      <c r="G45" s="13">
        <v>0.0</v>
      </c>
      <c r="H45" s="13">
        <v>0.0</v>
      </c>
      <c r="I45" s="13">
        <v>0.0</v>
      </c>
      <c r="J45" s="13">
        <v>1.0</v>
      </c>
      <c r="K45" s="13">
        <v>5.0</v>
      </c>
      <c r="L45" s="13">
        <v>2.0</v>
      </c>
      <c r="M45" s="13">
        <v>0.0</v>
      </c>
      <c r="N45" s="13">
        <v>0.0</v>
      </c>
      <c r="O45" s="13">
        <v>0.0</v>
      </c>
    </row>
    <row r="46" spans="1:37">
      <c r="A46" s="2" t="s">
        <v>108</v>
      </c>
      <c r="B46" s="13">
        <v>2.0</v>
      </c>
      <c r="C46" s="13">
        <v>0.0</v>
      </c>
      <c r="D46" s="13">
        <v>0.0</v>
      </c>
      <c r="E46" s="13">
        <v>2.0</v>
      </c>
      <c r="F46" s="13">
        <v>0.0</v>
      </c>
      <c r="G46" s="13">
        <v>0.0</v>
      </c>
      <c r="H46" s="13">
        <v>0.0</v>
      </c>
      <c r="I46" s="13">
        <v>0.0</v>
      </c>
      <c r="J46" s="13">
        <v>0.0</v>
      </c>
      <c r="K46" s="13">
        <v>14.0</v>
      </c>
      <c r="L46" s="13">
        <v>8.0</v>
      </c>
      <c r="M46" s="13">
        <v>0.0</v>
      </c>
      <c r="N46" s="13">
        <v>0.0</v>
      </c>
      <c r="O46" s="13">
        <v>0.0</v>
      </c>
    </row>
    <row r="47" spans="1:37">
      <c r="A47" s="2" t="s">
        <v>81</v>
      </c>
      <c r="B47" s="13">
        <v>51.0</v>
      </c>
      <c r="C47" s="13">
        <v>0.0</v>
      </c>
      <c r="D47" s="13">
        <v>25.0</v>
      </c>
      <c r="E47" s="13">
        <v>12.0</v>
      </c>
      <c r="F47" s="13">
        <v>10.0</v>
      </c>
      <c r="G47" s="13">
        <v>0.0</v>
      </c>
      <c r="H47" s="13">
        <v>0.0</v>
      </c>
      <c r="I47" s="13">
        <v>1.0</v>
      </c>
      <c r="J47" s="13">
        <v>3.0</v>
      </c>
      <c r="K47" s="13">
        <v>378.0</v>
      </c>
      <c r="L47" s="13">
        <v>191.0</v>
      </c>
      <c r="M47" s="13">
        <v>0.0</v>
      </c>
      <c r="N47" s="13">
        <v>145.0</v>
      </c>
      <c r="O47" s="13">
        <v>19.0</v>
      </c>
    </row>
    <row r="48" spans="1:37">
      <c r="A48" s="9" t="s">
        <v>50</v>
      </c>
      <c r="B48" s="10">
        <f>SUM(B37:B47)</f>
        <v>61</v>
      </c>
      <c r="C48" s="10">
        <f>SUM(C37:C47)</f>
        <v>1</v>
      </c>
      <c r="D48" s="10">
        <f>SUM(D37:D47)</f>
        <v>28</v>
      </c>
      <c r="E48" s="10">
        <f>SUM(E37:E47)</f>
        <v>17</v>
      </c>
      <c r="F48" s="10">
        <f>SUM(F37:F47)</f>
        <v>10</v>
      </c>
      <c r="G48" s="10">
        <f>SUM(G37:G47)</f>
        <v>0</v>
      </c>
      <c r="H48" s="10">
        <f>SUM(H37:H47)</f>
        <v>0</v>
      </c>
      <c r="I48" s="10">
        <f>SUM(I37:I47)</f>
        <v>1</v>
      </c>
      <c r="J48" s="10">
        <f>SUM(J37:J47)</f>
        <v>4</v>
      </c>
      <c r="K48" s="10">
        <f>SUM(K37:K47)</f>
        <v>494</v>
      </c>
      <c r="L48" s="10">
        <f>SUM(L37:L47)</f>
        <v>282</v>
      </c>
      <c r="M48" s="10">
        <f>SUM(M37:M47)</f>
        <v>0</v>
      </c>
      <c r="N48" s="10">
        <f>SUM(N37:N47)</f>
        <v>165</v>
      </c>
      <c r="O48" s="10">
        <f>SUM(O37:O47)</f>
        <v>22</v>
      </c>
    </row>
    <row r="50" spans="1:37">
      <c r="A50" s="1" t="s">
        <v>82</v>
      </c>
    </row>
    <row r="51" spans="1:37">
      <c r="B51" s="16" t="s">
        <v>83</v>
      </c>
      <c r="H51" s="16" t="s">
        <v>84</v>
      </c>
    </row>
    <row r="52" spans="1:37">
      <c r="A52" s="3" t="s">
        <v>4</v>
      </c>
      <c r="B52" s="4" t="s">
        <v>85</v>
      </c>
      <c r="C52" s="4" t="s">
        <v>86</v>
      </c>
      <c r="D52" s="4" t="s">
        <v>87</v>
      </c>
      <c r="E52" s="4" t="s">
        <v>88</v>
      </c>
      <c r="F52" s="4" t="s">
        <v>89</v>
      </c>
      <c r="G52" s="4" t="s">
        <v>90</v>
      </c>
      <c r="H52" s="4" t="s">
        <v>85</v>
      </c>
      <c r="I52" s="4" t="s">
        <v>87</v>
      </c>
      <c r="J52" s="4" t="s">
        <v>89</v>
      </c>
    </row>
    <row r="53" spans="1:37">
      <c r="A53" s="2" t="s">
        <v>99</v>
      </c>
      <c r="B53" s="13">
        <v>1.0</v>
      </c>
      <c r="C53" s="13">
        <v>0.0</v>
      </c>
      <c r="D53" s="13">
        <v>0.0</v>
      </c>
      <c r="E53" s="13">
        <v>0.0</v>
      </c>
      <c r="F53" s="13">
        <v>0.0</v>
      </c>
      <c r="G53" s="13">
        <v>0.0</v>
      </c>
      <c r="H53" s="13">
        <v>0.0</v>
      </c>
      <c r="I53" s="13">
        <v>0.0</v>
      </c>
      <c r="J53" s="13">
        <v>0.0</v>
      </c>
    </row>
    <row r="54" spans="1:37">
      <c r="A54" s="2" t="s">
        <v>100</v>
      </c>
      <c r="B54" s="13">
        <v>1.0</v>
      </c>
      <c r="C54" s="13">
        <v>0.0</v>
      </c>
      <c r="D54" s="13">
        <v>0.0</v>
      </c>
      <c r="E54" s="13">
        <v>0.0</v>
      </c>
      <c r="F54" s="13">
        <v>1.0</v>
      </c>
      <c r="G54" s="13">
        <v>0.0</v>
      </c>
      <c r="H54" s="13">
        <v>1.0</v>
      </c>
      <c r="I54" s="13">
        <v>0.0</v>
      </c>
      <c r="J54" s="13">
        <v>0.0</v>
      </c>
    </row>
    <row r="55" spans="1:37">
      <c r="A55" s="2" t="s">
        <v>101</v>
      </c>
      <c r="B55" s="13">
        <v>1.0</v>
      </c>
      <c r="C55" s="13">
        <v>0.0</v>
      </c>
      <c r="D55" s="13">
        <v>0.0</v>
      </c>
      <c r="E55" s="13">
        <v>0.0</v>
      </c>
      <c r="F55" s="13">
        <v>1.0</v>
      </c>
      <c r="G55" s="13">
        <v>0.0</v>
      </c>
      <c r="H55" s="13">
        <v>0.0</v>
      </c>
      <c r="I55" s="13">
        <v>0.0</v>
      </c>
      <c r="J55" s="13">
        <v>0.0</v>
      </c>
    </row>
    <row r="56" spans="1:37">
      <c r="A56" s="2" t="s">
        <v>103</v>
      </c>
      <c r="B56" s="13">
        <v>0.0</v>
      </c>
      <c r="C56" s="13">
        <v>0.0</v>
      </c>
      <c r="D56" s="13">
        <v>0.0</v>
      </c>
      <c r="E56" s="13">
        <v>0.0</v>
      </c>
      <c r="F56" s="13">
        <v>0.0</v>
      </c>
      <c r="G56" s="13">
        <v>0.0</v>
      </c>
      <c r="H56" s="13">
        <v>3.0</v>
      </c>
      <c r="I56" s="13">
        <v>0.0</v>
      </c>
      <c r="J56" s="13">
        <v>3.0</v>
      </c>
    </row>
    <row r="57" spans="1:37">
      <c r="A57" s="2" t="s">
        <v>105</v>
      </c>
      <c r="B57" s="13">
        <v>2.0</v>
      </c>
      <c r="C57" s="13">
        <v>0.0</v>
      </c>
      <c r="D57" s="13">
        <v>0.0</v>
      </c>
      <c r="E57" s="13">
        <v>0.0</v>
      </c>
      <c r="F57" s="13">
        <v>1.0</v>
      </c>
      <c r="G57" s="13">
        <v>1.0</v>
      </c>
      <c r="H57" s="13">
        <v>0.0</v>
      </c>
      <c r="I57" s="13">
        <v>0.0</v>
      </c>
      <c r="J57" s="13">
        <v>0.0</v>
      </c>
    </row>
    <row r="58" spans="1:37">
      <c r="A58" s="2" t="s">
        <v>106</v>
      </c>
      <c r="B58" s="13">
        <v>1.0</v>
      </c>
      <c r="C58" s="13">
        <v>0.0</v>
      </c>
      <c r="D58" s="13">
        <v>0.0</v>
      </c>
      <c r="E58" s="13">
        <v>0.0</v>
      </c>
      <c r="F58" s="13">
        <v>1.0</v>
      </c>
      <c r="G58" s="13">
        <v>0.0</v>
      </c>
      <c r="H58" s="13">
        <v>1.0</v>
      </c>
      <c r="I58" s="13">
        <v>0.0</v>
      </c>
      <c r="J58" s="13">
        <v>1.0</v>
      </c>
    </row>
    <row r="59" spans="1:37">
      <c r="A59" s="9" t="s">
        <v>50</v>
      </c>
      <c r="B59" s="10">
        <f>SUM(B53:B58)</f>
        <v>6</v>
      </c>
      <c r="C59" s="10">
        <f>SUM(C53:C58)</f>
        <v>0</v>
      </c>
      <c r="D59" s="10">
        <f>SUM(D53:D58)</f>
        <v>0</v>
      </c>
      <c r="E59" s="10">
        <f>SUM(E53:E58)</f>
        <v>0</v>
      </c>
      <c r="F59" s="10">
        <f>SUM(F53:F58)</f>
        <v>4</v>
      </c>
      <c r="G59" s="10">
        <f>SUM(G53:G58)</f>
        <v>1</v>
      </c>
      <c r="H59" s="10">
        <f>SUM(H53:H58)</f>
        <v>5</v>
      </c>
      <c r="I59" s="10">
        <f>SUM(I53:I58)</f>
        <v>0</v>
      </c>
      <c r="J59" s="10">
        <f>SUM(J53:J58)</f>
        <v>4</v>
      </c>
    </row>
    <row r="61" spans="1:37">
      <c r="A61" s="1" t="s">
        <v>91</v>
      </c>
    </row>
    <row r="62" spans="1:37">
      <c r="A62" s="3" t="s">
        <v>92</v>
      </c>
      <c r="B62" s="4" t="s">
        <v>19</v>
      </c>
      <c r="C62" s="4" t="s">
        <v>20</v>
      </c>
      <c r="D62" s="4" t="s">
        <v>93</v>
      </c>
      <c r="E62" s="7" t="s">
        <v>95</v>
      </c>
      <c r="V62" s="8" t="s">
        <v>94</v>
      </c>
    </row>
    <row r="63" spans="1:37">
      <c r="A63" s="2" t="s">
        <v>96</v>
      </c>
      <c r="B63" s="13">
        <v>10.0</v>
      </c>
      <c r="C63" s="13">
        <v>54.0</v>
      </c>
      <c r="D63" s="13">
        <f>B63 + C63</f>
        <v>64</v>
      </c>
      <c r="E63" s="15">
        <f>IF(0 = V63, 0, D63 / V63)</f>
        <v>0.96969696969697</v>
      </c>
      <c r="V63" s="13">
        <v>66.0</v>
      </c>
    </row>
    <row r="64" spans="1:37">
      <c r="A64" s="2" t="s">
        <v>97</v>
      </c>
      <c r="B64" s="13">
        <v>1.0</v>
      </c>
      <c r="C64" s="13">
        <v>1.0</v>
      </c>
      <c r="D64" s="13">
        <f>B64 + C64</f>
        <v>2</v>
      </c>
      <c r="E64" s="15">
        <f>IF(0 = V64, 0, D64 / V64)</f>
        <v>0.03030303030303</v>
      </c>
      <c r="V64" s="13">
        <v>66.0</v>
      </c>
    </row>
    <row r="65" spans="1:37">
      <c r="A65" s="9" t="s">
        <v>50</v>
      </c>
      <c r="B65" s="10">
        <f>SUM(B63:B64)</f>
        <v>11</v>
      </c>
      <c r="C65" s="10">
        <f>SUM(C63:C64)</f>
        <v>55</v>
      </c>
      <c r="D65" s="10">
        <f>SUM(D63:D64)</f>
        <v>66</v>
      </c>
    </row>
  </sheetData>
  <mergeCells>
    <mergeCell ref="A35:B35"/>
    <mergeCell ref="C35:J35"/>
    <mergeCell ref="K35:N35"/>
    <mergeCell ref="O35:O35"/>
    <mergeCell ref="A51:A51"/>
    <mergeCell ref="B51:G51"/>
    <mergeCell ref="H51:J51"/>
  </mergeCells>
  <printOptions gridLines="false" gridLinesSet="true" horizontalCentered="true"/>
  <pageMargins left="0.5" right="0.5" top="0.5" bottom="0.5" header="0.25" footer="0.25"/>
  <pageSetup paperSize="1" orientation="landscape" scale="100" fitToHeight="0" fitToWidth="1" pageOrder="downThenOver"/>
  <headerFooter differentOddEven="false" differentFirst="false" scaleWithDoc="true" alignWithMargins="true">
    <oddHeader>&amp;L 02 - RISE - Box Score</oddHeader>
    <oddFooter>&amp;L Page &amp;P of &amp;N &amp;R &amp;I Box Score 4.0 generated04/30/2026 at 11:35am EDT&amp;I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K85"/>
  <sheetViews>
    <sheetView tabSelected="0" workbookViewId="0" showGridLines="true" showRowColHeaders="1">
      <selection activeCell="E83" sqref="E83:E84"/>
    </sheetView>
  </sheetViews>
  <sheetFormatPr defaultRowHeight="14.4" outlineLevelRow="0" outlineLevelCol="0"/>
  <cols>
    <col min="1" max="1" width="22.142857142857" customWidth="true" style="0"/>
    <col min="2" max="2" width="22.142857142857" customWidth="true" style="0"/>
    <col min="3" max="3" width="22.142857142857" customWidth="true" style="0"/>
    <col min="4" max="4" width="22.142857142857" customWidth="true" style="0"/>
    <col min="5" max="5" width="22.142857142857" customWidth="true" style="0"/>
    <col min="6" max="6" width="20.714285714286" customWidth="true" style="0"/>
    <col min="7" max="7" width="20.714285714286" customWidth="true" style="0"/>
    <col min="8" max="8" width="21" customWidth="true" style="0"/>
    <col min="9" max="9" width="21.428571428571" customWidth="true" style="0"/>
    <col min="10" max="10" width="20.714285714286" customWidth="true" style="0"/>
    <col min="11" max="11" width="18.571428571429" customWidth="true" style="0"/>
    <col min="12" max="12" width="18.571428571429" customWidth="true" style="0"/>
    <col min="13" max="13" width="18.571428571429" customWidth="true" style="0"/>
    <col min="14" max="14" width="18.571428571429" customWidth="true" style="0"/>
    <col min="15" max="15" width="18.142857142857" customWidth="true" style="0"/>
    <col min="16" max="16" width="22.857142857143" customWidth="true" style="0"/>
    <col min="17" max="17" width="23.571428571429" customWidth="true" style="0"/>
    <col min="18" max="18" width="23.571428571429" customWidth="true" style="0"/>
    <col min="19" max="19" width="23.571428571429" customWidth="true" style="0"/>
    <col min="20" max="20" width="23.571428571429" customWidth="true" style="0"/>
    <col min="22" max="22" width="14.428571428571" hidden="true" customWidth="true" style="0"/>
    <col min="23" max="23" width="17.428571428571" hidden="true" customWidth="true" style="0"/>
    <col min="24" max="24" width="17.428571428571" hidden="true" customWidth="true" style="0"/>
    <col min="25" max="25" width="17.428571428571" hidden="true" customWidth="true" style="0"/>
    <col min="26" max="26" width="17.428571428571" hidden="true" customWidth="true" style="0"/>
    <col min="27" max="27" width="17.428571428571" hidden="true" customWidth="true" style="0"/>
    <col min="28" max="28" width="17.428571428571" hidden="true" customWidth="true" style="0"/>
    <col min="29" max="29" width="17.428571428571" hidden="true" customWidth="true" style="0"/>
    <col min="30" max="30" width="17.428571428571" hidden="true" customWidth="true" style="0"/>
    <col min="31" max="31" width="17.428571428571" hidden="true" customWidth="true" style="0"/>
    <col min="32" max="32" width="17.428571428571" hidden="true" customWidth="true" style="0"/>
    <col min="33" max="33" width="17.428571428571" hidden="true" customWidth="true" style="0"/>
    <col min="34" max="34" width="17.428571428571" hidden="true" customWidth="true" style="0"/>
    <col min="35" max="35" width="17.428571428571" hidden="true" customWidth="true" style="0"/>
    <col min="36" max="36" width="17.428571428571" hidden="true" customWidth="true" style="0"/>
    <col min="37" max="37" width="17.428571428571" hidden="true" customWidth="true" style="0"/>
  </cols>
  <sheetData>
    <row r="2" spans="1:37">
      <c r="A2" s="1" t="s">
        <v>0</v>
      </c>
    </row>
    <row r="3" spans="1:37">
      <c r="A3" s="2" t="s">
        <v>109</v>
      </c>
    </row>
    <row r="4" spans="1:37">
      <c r="A4" s="2" t="s">
        <v>2</v>
      </c>
    </row>
    <row r="6" spans="1:37">
      <c r="A6" s="1" t="s">
        <v>3</v>
      </c>
    </row>
    <row r="7" spans="1:37">
      <c r="A7" s="3" t="s">
        <v>4</v>
      </c>
      <c r="B7" s="4" t="s">
        <v>5</v>
      </c>
      <c r="C7" s="5" t="s">
        <v>6</v>
      </c>
      <c r="D7" s="5" t="s">
        <v>8</v>
      </c>
      <c r="E7" s="5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7" t="s">
        <v>13</v>
      </c>
      <c r="R7" s="7" t="s">
        <v>21</v>
      </c>
      <c r="S7" s="7" t="s">
        <v>22</v>
      </c>
      <c r="T7" s="7" t="s">
        <v>23</v>
      </c>
      <c r="V7" s="6" t="s">
        <v>7</v>
      </c>
      <c r="W7" s="8" t="s">
        <v>24</v>
      </c>
      <c r="X7" s="8" t="s">
        <v>25</v>
      </c>
      <c r="Y7" s="8" t="s">
        <v>26</v>
      </c>
      <c r="Z7" s="8" t="s">
        <v>27</v>
      </c>
      <c r="AA7" s="8" t="s">
        <v>28</v>
      </c>
      <c r="AB7" s="8" t="s">
        <v>29</v>
      </c>
      <c r="AC7" s="8" t="s">
        <v>30</v>
      </c>
      <c r="AD7" s="8" t="s">
        <v>31</v>
      </c>
      <c r="AE7" s="8" t="s">
        <v>32</v>
      </c>
      <c r="AF7" s="8" t="s">
        <v>33</v>
      </c>
      <c r="AG7" s="8" t="s">
        <v>34</v>
      </c>
      <c r="AH7" s="8" t="s">
        <v>35</v>
      </c>
      <c r="AI7" s="8" t="s">
        <v>36</v>
      </c>
      <c r="AJ7" s="8" t="s">
        <v>37</v>
      </c>
      <c r="AK7" s="8" t="s">
        <v>38</v>
      </c>
    </row>
    <row r="8" spans="1:37">
      <c r="A8" s="2" t="s">
        <v>110</v>
      </c>
      <c r="B8" s="13">
        <f>IF(H8 = 0, "--", W8 / H8)</f>
        <v>777</v>
      </c>
      <c r="C8" s="14">
        <f>IF(H8 = 0, 0, Z8 / H8)</f>
        <v>1516.4096385542</v>
      </c>
      <c r="D8" s="14">
        <f>IF(I8 = 0, 0, AA8 / I8)</f>
        <v>1493.8904109589</v>
      </c>
      <c r="E8" s="14">
        <f>IF(I8 = 0, 0, AD8 / I8)</f>
        <v>1331.8352905491</v>
      </c>
      <c r="F8" s="13">
        <f>H8 + G8</f>
        <v>83</v>
      </c>
      <c r="G8" s="13">
        <v>0.0</v>
      </c>
      <c r="H8" s="13">
        <v>83.0</v>
      </c>
      <c r="I8" s="13">
        <f>L8 + N8 + M8</f>
        <v>73</v>
      </c>
      <c r="J8" s="13">
        <f>O8 + P8</f>
        <v>10</v>
      </c>
      <c r="K8" s="13">
        <v>13.0</v>
      </c>
      <c r="L8" s="13">
        <v>65.0</v>
      </c>
      <c r="M8" s="13">
        <v>0.0</v>
      </c>
      <c r="N8" s="13">
        <v>8.0</v>
      </c>
      <c r="O8" s="13">
        <f>AE8 + AF8</f>
        <v>5</v>
      </c>
      <c r="P8" s="13">
        <f>AG8 + AH8</f>
        <v>5</v>
      </c>
      <c r="Q8" s="15">
        <f>IF(H8 = 0, "--", I8 / H8)</f>
        <v>0.87951807228916</v>
      </c>
      <c r="R8" s="15">
        <f>IF(H8 = 0, "--", AI8 / H8)</f>
        <v>0.93975903614458</v>
      </c>
      <c r="S8" s="15">
        <f>IF(H8 = 0, "--", AK8 / H8)</f>
        <v>0.8433734939759</v>
      </c>
      <c r="T8" s="15">
        <f>IF(H8 = 0, "--", AJ8 / H8)</f>
        <v>0.1566265060241</v>
      </c>
      <c r="V8" s="14">
        <f>IF(H8 = 0, 0, X8 / H8)</f>
        <v>1607.843373494</v>
      </c>
      <c r="W8" s="13">
        <v>64491.0</v>
      </c>
      <c r="X8" s="13">
        <v>133451.0</v>
      </c>
      <c r="Y8" s="13">
        <v>118684.28</v>
      </c>
      <c r="Z8" s="13">
        <v>125862.0</v>
      </c>
      <c r="AA8" s="13">
        <v>109054.0</v>
      </c>
      <c r="AB8" s="13">
        <v>9630.28</v>
      </c>
      <c r="AC8" s="13">
        <v>99282.08781456</v>
      </c>
      <c r="AD8" s="13">
        <v>97223.976210082</v>
      </c>
      <c r="AE8" s="13">
        <v>4.0</v>
      </c>
      <c r="AF8" s="13">
        <v>1.0</v>
      </c>
      <c r="AG8" s="13">
        <v>1.0</v>
      </c>
      <c r="AH8" s="13">
        <v>4.0</v>
      </c>
      <c r="AI8" s="13">
        <f>L8 + M8 + O8 + N8</f>
        <v>78</v>
      </c>
      <c r="AJ8" s="13">
        <f>P8 + N8</f>
        <v>13</v>
      </c>
      <c r="AK8" s="13">
        <f>L8 + M8 + O8</f>
        <v>70</v>
      </c>
    </row>
    <row r="9" spans="1:37">
      <c r="A9" s="2" t="s">
        <v>111</v>
      </c>
      <c r="B9" s="13">
        <f>IF(H9 = 0, "--", W9 / H9)</f>
        <v>776</v>
      </c>
      <c r="C9" s="14">
        <f>IF(H9 = 0, 0, Z9 / H9)</f>
        <v>1506.2631578947</v>
      </c>
      <c r="D9" s="14">
        <f>IF(I9 = 0, 0, AA9 / I9)</f>
        <v>1431.4444444444</v>
      </c>
      <c r="E9" s="14">
        <f>IF(I9 = 0, 0, AD9 / I9)</f>
        <v>1274.7245208333</v>
      </c>
      <c r="F9" s="13">
        <f>H9 + G9</f>
        <v>19</v>
      </c>
      <c r="G9" s="13">
        <v>0.0</v>
      </c>
      <c r="H9" s="13">
        <v>19.0</v>
      </c>
      <c r="I9" s="13">
        <f>L9 + N9 + M9</f>
        <v>18</v>
      </c>
      <c r="J9" s="13">
        <f>O9 + P9</f>
        <v>1</v>
      </c>
      <c r="K9" s="13">
        <v>0.0</v>
      </c>
      <c r="L9" s="13">
        <v>18.0</v>
      </c>
      <c r="M9" s="13">
        <v>0.0</v>
      </c>
      <c r="N9" s="13">
        <v>0.0</v>
      </c>
      <c r="O9" s="13">
        <f>AE9 + AF9</f>
        <v>1</v>
      </c>
      <c r="P9" s="13">
        <f>AG9 + AH9</f>
        <v>0</v>
      </c>
      <c r="Q9" s="15">
        <f>IF(H9 = 0, "--", I9 / H9)</f>
        <v>0.94736842105263</v>
      </c>
      <c r="R9" s="15">
        <f>IF(H9 = 0, "--", AI9 / H9)</f>
        <v>1</v>
      </c>
      <c r="S9" s="15">
        <f>IF(H9 = 0, "--", AK9 / H9)</f>
        <v>1</v>
      </c>
      <c r="T9" s="15">
        <f>IF(H9 = 0, "--", AJ9 / H9)</f>
        <v>0</v>
      </c>
      <c r="V9" s="14">
        <f>IF(H9 = 0, 0, X9 / H9)</f>
        <v>1535.1578947368</v>
      </c>
      <c r="W9" s="13">
        <v>14744.0</v>
      </c>
      <c r="X9" s="13">
        <v>29168.0</v>
      </c>
      <c r="Y9" s="13">
        <v>27941.78</v>
      </c>
      <c r="Z9" s="13">
        <v>28619.0</v>
      </c>
      <c r="AA9" s="13">
        <v>25766.0</v>
      </c>
      <c r="AB9" s="13">
        <v>2175.78</v>
      </c>
      <c r="AC9" s="13">
        <v>22911.887375</v>
      </c>
      <c r="AD9" s="13">
        <v>22945.041375</v>
      </c>
      <c r="AE9" s="13">
        <v>0.0</v>
      </c>
      <c r="AF9" s="13">
        <v>1.0</v>
      </c>
      <c r="AG9" s="13">
        <v>0.0</v>
      </c>
      <c r="AH9" s="13">
        <v>0.0</v>
      </c>
      <c r="AI9" s="13">
        <f>L9 + M9 + O9 + N9</f>
        <v>19</v>
      </c>
      <c r="AJ9" s="13">
        <f>P9 + N9</f>
        <v>0</v>
      </c>
      <c r="AK9" s="13">
        <f>L9 + M9 + O9</f>
        <v>19</v>
      </c>
    </row>
    <row r="10" spans="1:37">
      <c r="A10" s="2" t="s">
        <v>112</v>
      </c>
      <c r="B10" s="13">
        <f>IF(H10 = 0, "--", W10 / H10)</f>
        <v>900</v>
      </c>
      <c r="C10" s="14">
        <f>IF(H10 = 0, 0, Z10 / H10)</f>
        <v>1738.25</v>
      </c>
      <c r="D10" s="14">
        <f>IF(I10 = 0, 0, AA10 / I10)</f>
        <v>1680</v>
      </c>
      <c r="E10" s="14">
        <f>IF(I10 = 0, 0, AD10 / I10)</f>
        <v>1678.6856666667</v>
      </c>
      <c r="F10" s="13">
        <f>H10 + G10</f>
        <v>4</v>
      </c>
      <c r="G10" s="13">
        <v>0.0</v>
      </c>
      <c r="H10" s="13">
        <v>4.0</v>
      </c>
      <c r="I10" s="13">
        <f>L10 + N10 + M10</f>
        <v>2</v>
      </c>
      <c r="J10" s="13">
        <f>O10 + P10</f>
        <v>2</v>
      </c>
      <c r="K10" s="13">
        <v>1.0</v>
      </c>
      <c r="L10" s="13">
        <v>2.0</v>
      </c>
      <c r="M10" s="13">
        <v>0.0</v>
      </c>
      <c r="N10" s="13">
        <v>0.0</v>
      </c>
      <c r="O10" s="13">
        <f>AE10 + AF10</f>
        <v>1</v>
      </c>
      <c r="P10" s="13">
        <f>AG10 + AH10</f>
        <v>1</v>
      </c>
      <c r="Q10" s="15">
        <f>IF(H10 = 0, "--", I10 / H10)</f>
        <v>0.5</v>
      </c>
      <c r="R10" s="15">
        <f>IF(H10 = 0, "--", AI10 / H10)</f>
        <v>0.75</v>
      </c>
      <c r="S10" s="15">
        <f>IF(H10 = 0, "--", AK10 / H10)</f>
        <v>0.75</v>
      </c>
      <c r="T10" s="15">
        <f>IF(H10 = 0, "--", AJ10 / H10)</f>
        <v>0.25</v>
      </c>
      <c r="V10" s="14">
        <f>IF(H10 = 0, 0, X10 / H10)</f>
        <v>1843.75</v>
      </c>
      <c r="W10" s="13">
        <v>3600.0</v>
      </c>
      <c r="X10" s="13">
        <v>7375.0</v>
      </c>
      <c r="Y10" s="13">
        <v>3661.0</v>
      </c>
      <c r="Z10" s="13">
        <v>6953.0</v>
      </c>
      <c r="AA10" s="13">
        <v>3360.0</v>
      </c>
      <c r="AB10" s="13">
        <v>301.0</v>
      </c>
      <c r="AC10" s="13">
        <v>3360.0</v>
      </c>
      <c r="AD10" s="13">
        <v>3357.3713333333</v>
      </c>
      <c r="AE10" s="13">
        <v>1.0</v>
      </c>
      <c r="AF10" s="13">
        <v>0.0</v>
      </c>
      <c r="AG10" s="13">
        <v>0.0</v>
      </c>
      <c r="AH10" s="13">
        <v>1.0</v>
      </c>
      <c r="AI10" s="13">
        <f>L10 + M10 + O10 + N10</f>
        <v>3</v>
      </c>
      <c r="AJ10" s="13">
        <f>P10 + N10</f>
        <v>1</v>
      </c>
      <c r="AK10" s="13">
        <f>L10 + M10 + O10</f>
        <v>3</v>
      </c>
    </row>
    <row r="11" spans="1:37">
      <c r="A11" s="2" t="s">
        <v>113</v>
      </c>
      <c r="B11" s="13">
        <f>IF(H11 = 0, "--", W11 / H11)</f>
        <v>731</v>
      </c>
      <c r="C11" s="14">
        <f>IF(H11 = 0, 0, Z11 / H11)</f>
        <v>1441.5757575758</v>
      </c>
      <c r="D11" s="14">
        <f>IF(I11 = 0, 0, AA11 / I11)</f>
        <v>1416.7272727273</v>
      </c>
      <c r="E11" s="14">
        <f>IF(I11 = 0, 0, AD11 / I11)</f>
        <v>1300.649499778</v>
      </c>
      <c r="F11" s="13">
        <f>H11 + G11</f>
        <v>33</v>
      </c>
      <c r="G11" s="13">
        <v>0.0</v>
      </c>
      <c r="H11" s="13">
        <v>33.0</v>
      </c>
      <c r="I11" s="13">
        <f>L11 + N11 + M11</f>
        <v>33</v>
      </c>
      <c r="J11" s="13">
        <f>O11 + P11</f>
        <v>0</v>
      </c>
      <c r="K11" s="13">
        <v>0.0</v>
      </c>
      <c r="L11" s="13">
        <v>32.0</v>
      </c>
      <c r="M11" s="13">
        <v>1.0</v>
      </c>
      <c r="N11" s="13">
        <v>0.0</v>
      </c>
      <c r="O11" s="13">
        <f>AE11 + AF11</f>
        <v>0</v>
      </c>
      <c r="P11" s="13">
        <f>AG11 + AH11</f>
        <v>0</v>
      </c>
      <c r="Q11" s="15">
        <f>IF(H11 = 0, "--", I11 / H11)</f>
        <v>1</v>
      </c>
      <c r="R11" s="15">
        <f>IF(H11 = 0, "--", AI11 / H11)</f>
        <v>1</v>
      </c>
      <c r="S11" s="15">
        <f>IF(H11 = 0, "--", AK11 / H11)</f>
        <v>1</v>
      </c>
      <c r="T11" s="15">
        <f>IF(H11 = 0, "--", AJ11 / H11)</f>
        <v>0</v>
      </c>
      <c r="V11" s="14">
        <f>IF(H11 = 0, 0, X11 / H11)</f>
        <v>1483.3939393939</v>
      </c>
      <c r="W11" s="13">
        <v>24123.0</v>
      </c>
      <c r="X11" s="13">
        <v>48952.0</v>
      </c>
      <c r="Y11" s="13">
        <v>50751.3</v>
      </c>
      <c r="Z11" s="13">
        <v>47572.0</v>
      </c>
      <c r="AA11" s="13">
        <v>46752.0</v>
      </c>
      <c r="AB11" s="13">
        <v>3999.3</v>
      </c>
      <c r="AC11" s="13">
        <v>42903.397857143</v>
      </c>
      <c r="AD11" s="13">
        <v>42921.433492674</v>
      </c>
      <c r="AE11" s="13">
        <v>0.0</v>
      </c>
      <c r="AF11" s="13">
        <v>0.0</v>
      </c>
      <c r="AG11" s="13">
        <v>0.0</v>
      </c>
      <c r="AH11" s="13">
        <v>0.0</v>
      </c>
      <c r="AI11" s="13">
        <f>L11 + M11 + O11 + N11</f>
        <v>33</v>
      </c>
      <c r="AJ11" s="13">
        <f>P11 + N11</f>
        <v>0</v>
      </c>
      <c r="AK11" s="13">
        <f>L11 + M11 + O11</f>
        <v>33</v>
      </c>
    </row>
    <row r="12" spans="1:37">
      <c r="A12" s="2" t="s">
        <v>114</v>
      </c>
      <c r="B12" s="13">
        <f>IF(H12 = 0, "--", W12 / H12)</f>
        <v>815</v>
      </c>
      <c r="C12" s="14">
        <f>IF(H12 = 0, 0, Z12 / H12)</f>
        <v>1573.5</v>
      </c>
      <c r="D12" s="14">
        <f>IF(I12 = 0, 0, AA12 / I12)</f>
        <v>1522.1428571429</v>
      </c>
      <c r="E12" s="14">
        <f>IF(I12 = 0, 0, AD12 / I12)</f>
        <v>1318.551150641</v>
      </c>
      <c r="F12" s="13">
        <f>H12 + G12</f>
        <v>8</v>
      </c>
      <c r="G12" s="13">
        <v>0.0</v>
      </c>
      <c r="H12" s="13">
        <v>8.0</v>
      </c>
      <c r="I12" s="13">
        <f>L12 + N12 + M12</f>
        <v>7</v>
      </c>
      <c r="J12" s="13">
        <f>O12 + P12</f>
        <v>1</v>
      </c>
      <c r="K12" s="13">
        <v>1.0</v>
      </c>
      <c r="L12" s="13">
        <v>6.0</v>
      </c>
      <c r="M12" s="13">
        <v>0.0</v>
      </c>
      <c r="N12" s="13">
        <v>1.0</v>
      </c>
      <c r="O12" s="13">
        <f>AE12 + AF12</f>
        <v>1</v>
      </c>
      <c r="P12" s="13">
        <f>AG12 + AH12</f>
        <v>0</v>
      </c>
      <c r="Q12" s="15">
        <f>IF(H12 = 0, "--", I12 / H12)</f>
        <v>0.875</v>
      </c>
      <c r="R12" s="15">
        <f>IF(H12 = 0, "--", AI12 / H12)</f>
        <v>1</v>
      </c>
      <c r="S12" s="15">
        <f>IF(H12 = 0, "--", AK12 / H12)</f>
        <v>0.875</v>
      </c>
      <c r="T12" s="15">
        <f>IF(H12 = 0, "--", AJ12 / H12)</f>
        <v>0.125</v>
      </c>
      <c r="V12" s="14">
        <f>IF(H12 = 0, 0, X12 / H12)</f>
        <v>1545.375</v>
      </c>
      <c r="W12" s="13">
        <v>6520.0</v>
      </c>
      <c r="X12" s="13">
        <v>12363.0</v>
      </c>
      <c r="Y12" s="13">
        <v>11646.38</v>
      </c>
      <c r="Z12" s="13">
        <v>12588.0</v>
      </c>
      <c r="AA12" s="13">
        <v>10655.0</v>
      </c>
      <c r="AB12" s="13">
        <v>991.38</v>
      </c>
      <c r="AC12" s="13">
        <v>9238.7227692308</v>
      </c>
      <c r="AD12" s="13">
        <v>9229.8580544872</v>
      </c>
      <c r="AE12" s="13">
        <v>1.0</v>
      </c>
      <c r="AF12" s="13">
        <v>0.0</v>
      </c>
      <c r="AG12" s="13">
        <v>0.0</v>
      </c>
      <c r="AH12" s="13">
        <v>0.0</v>
      </c>
      <c r="AI12" s="13">
        <f>L12 + M12 + O12 + N12</f>
        <v>8</v>
      </c>
      <c r="AJ12" s="13">
        <f>P12 + N12</f>
        <v>1</v>
      </c>
      <c r="AK12" s="13">
        <f>L12 + M12 + O12</f>
        <v>7</v>
      </c>
    </row>
    <row r="13" spans="1:37">
      <c r="A13" s="2" t="s">
        <v>115</v>
      </c>
      <c r="B13" s="13">
        <f>IF(H13 = 0, "--", W13 / H13)</f>
        <v>1047</v>
      </c>
      <c r="C13" s="14">
        <f>IF(H13 = 0, 0, Z13 / H13)</f>
        <v>1788.6296296296</v>
      </c>
      <c r="D13" s="14">
        <f>IF(I13 = 0, 0, AA13 / I13)</f>
        <v>1729.75</v>
      </c>
      <c r="E13" s="14">
        <f>IF(I13 = 0, 0, AD13 / I13)</f>
        <v>1553.3366575092</v>
      </c>
      <c r="F13" s="13">
        <f>H13 + G13</f>
        <v>27</v>
      </c>
      <c r="G13" s="13">
        <v>0.0</v>
      </c>
      <c r="H13" s="13">
        <v>27.0</v>
      </c>
      <c r="I13" s="13">
        <f>L13 + N13 + M13</f>
        <v>24</v>
      </c>
      <c r="J13" s="13">
        <f>O13 + P13</f>
        <v>3</v>
      </c>
      <c r="K13" s="13">
        <v>2.0</v>
      </c>
      <c r="L13" s="13">
        <v>24.0</v>
      </c>
      <c r="M13" s="13">
        <v>0.0</v>
      </c>
      <c r="N13" s="13">
        <v>0.0</v>
      </c>
      <c r="O13" s="13">
        <f>AE13 + AF13</f>
        <v>1</v>
      </c>
      <c r="P13" s="13">
        <f>AG13 + AH13</f>
        <v>2</v>
      </c>
      <c r="Q13" s="15">
        <f>IF(H13 = 0, "--", I13 / H13)</f>
        <v>0.88888888888889</v>
      </c>
      <c r="R13" s="15">
        <f>IF(H13 = 0, "--", AI13 / H13)</f>
        <v>0.92592592592593</v>
      </c>
      <c r="S13" s="15">
        <f>IF(H13 = 0, "--", AK13 / H13)</f>
        <v>0.92592592592593</v>
      </c>
      <c r="T13" s="15">
        <f>IF(H13 = 0, "--", AJ13 / H13)</f>
        <v>0.074074074074074</v>
      </c>
      <c r="V13" s="14">
        <f>IF(H13 = 0, 0, X13 / H13)</f>
        <v>1801.1111111111</v>
      </c>
      <c r="W13" s="13">
        <v>28269.0</v>
      </c>
      <c r="X13" s="13">
        <v>48630.0</v>
      </c>
      <c r="Y13" s="13">
        <v>45031.63</v>
      </c>
      <c r="Z13" s="13">
        <v>48293.0</v>
      </c>
      <c r="AA13" s="13">
        <v>41514.0</v>
      </c>
      <c r="AB13" s="13">
        <v>3517.63</v>
      </c>
      <c r="AC13" s="13">
        <v>37513.053018315</v>
      </c>
      <c r="AD13" s="13">
        <v>37280.07978022</v>
      </c>
      <c r="AE13" s="13">
        <v>0.0</v>
      </c>
      <c r="AF13" s="13">
        <v>1.0</v>
      </c>
      <c r="AG13" s="13">
        <v>0.0</v>
      </c>
      <c r="AH13" s="13">
        <v>2.0</v>
      </c>
      <c r="AI13" s="13">
        <f>L13 + M13 + O13 + N13</f>
        <v>25</v>
      </c>
      <c r="AJ13" s="13">
        <f>P13 + N13</f>
        <v>2</v>
      </c>
      <c r="AK13" s="13">
        <f>L13 + M13 + O13</f>
        <v>25</v>
      </c>
    </row>
    <row r="14" spans="1:37">
      <c r="A14" s="2" t="s">
        <v>116</v>
      </c>
      <c r="B14" s="13">
        <f>IF(H14 = 0, "--", W14 / H14)</f>
        <v>1098</v>
      </c>
      <c r="C14" s="14">
        <f>IF(H14 = 0, 0, Z14 / H14)</f>
        <v>1815.7727272727</v>
      </c>
      <c r="D14" s="14">
        <f>IF(I14 = 0, 0, AA14 / I14)</f>
        <v>1796.9487179487</v>
      </c>
      <c r="E14" s="14">
        <f>IF(I14 = 0, 0, AD14 / I14)</f>
        <v>1650.287775329</v>
      </c>
      <c r="F14" s="13">
        <f>H14 + G14</f>
        <v>44</v>
      </c>
      <c r="G14" s="13">
        <v>0.0</v>
      </c>
      <c r="H14" s="13">
        <v>44.0</v>
      </c>
      <c r="I14" s="13">
        <f>L14 + N14 + M14</f>
        <v>39</v>
      </c>
      <c r="J14" s="13">
        <f>O14 + P14</f>
        <v>5</v>
      </c>
      <c r="K14" s="13">
        <v>3.0</v>
      </c>
      <c r="L14" s="13">
        <v>38.0</v>
      </c>
      <c r="M14" s="13">
        <v>0.0</v>
      </c>
      <c r="N14" s="13">
        <v>1.0</v>
      </c>
      <c r="O14" s="13">
        <f>AE14 + AF14</f>
        <v>3</v>
      </c>
      <c r="P14" s="13">
        <f>AG14 + AH14</f>
        <v>2</v>
      </c>
      <c r="Q14" s="15">
        <f>IF(H14 = 0, "--", I14 / H14)</f>
        <v>0.88636363636364</v>
      </c>
      <c r="R14" s="15">
        <f>IF(H14 = 0, "--", AI14 / H14)</f>
        <v>0.95454545454545</v>
      </c>
      <c r="S14" s="15">
        <f>IF(H14 = 0, "--", AK14 / H14)</f>
        <v>0.93181818181818</v>
      </c>
      <c r="T14" s="15">
        <f>IF(H14 = 0, "--", AJ14 / H14)</f>
        <v>0.068181818181818</v>
      </c>
      <c r="V14" s="14">
        <f>IF(H14 = 0, 0, X14 / H14)</f>
        <v>1890.75</v>
      </c>
      <c r="W14" s="13">
        <v>48312.0</v>
      </c>
      <c r="X14" s="13">
        <v>83193.0</v>
      </c>
      <c r="Y14" s="13">
        <v>73681.48</v>
      </c>
      <c r="Z14" s="13">
        <v>79894.0</v>
      </c>
      <c r="AA14" s="13">
        <v>70081.0</v>
      </c>
      <c r="AB14" s="13">
        <v>3600.48</v>
      </c>
      <c r="AC14" s="13">
        <v>65420.614336081</v>
      </c>
      <c r="AD14" s="13">
        <v>64361.223237833</v>
      </c>
      <c r="AE14" s="13">
        <v>1.0</v>
      </c>
      <c r="AF14" s="13">
        <v>2.0</v>
      </c>
      <c r="AG14" s="13">
        <v>1.0</v>
      </c>
      <c r="AH14" s="13">
        <v>1.0</v>
      </c>
      <c r="AI14" s="13">
        <f>L14 + M14 + O14 + N14</f>
        <v>42</v>
      </c>
      <c r="AJ14" s="13">
        <f>P14 + N14</f>
        <v>3</v>
      </c>
      <c r="AK14" s="13">
        <f>L14 + M14 + O14</f>
        <v>41</v>
      </c>
    </row>
    <row r="15" spans="1:37">
      <c r="A15" s="2" t="s">
        <v>117</v>
      </c>
      <c r="B15" s="13">
        <f>IF(H15 = 0, "--", W15 / H15)</f>
        <v>1195</v>
      </c>
      <c r="C15" s="14">
        <f>IF(H15 = 0, 0, Z15 / H15)</f>
        <v>2006.1785714286</v>
      </c>
      <c r="D15" s="14">
        <f>IF(I15 = 0, 0, AA15 / I15)</f>
        <v>1971.0938461538</v>
      </c>
      <c r="E15" s="14">
        <f>IF(I15 = 0, 0, AD15 / I15)</f>
        <v>1795.4544161159</v>
      </c>
      <c r="F15" s="13">
        <f>H15 + G15</f>
        <v>28</v>
      </c>
      <c r="G15" s="13">
        <v>0.0</v>
      </c>
      <c r="H15" s="13">
        <v>28.0</v>
      </c>
      <c r="I15" s="13">
        <f>L15 + N15 + M15</f>
        <v>26</v>
      </c>
      <c r="J15" s="13">
        <f>O15 + P15</f>
        <v>2</v>
      </c>
      <c r="K15" s="13">
        <v>2.0</v>
      </c>
      <c r="L15" s="13">
        <v>23.0</v>
      </c>
      <c r="M15" s="13">
        <v>1.0</v>
      </c>
      <c r="N15" s="13">
        <v>2.0</v>
      </c>
      <c r="O15" s="13">
        <f>AE15 + AF15</f>
        <v>2</v>
      </c>
      <c r="P15" s="13">
        <f>AG15 + AH15</f>
        <v>0</v>
      </c>
      <c r="Q15" s="15">
        <f>IF(H15 = 0, "--", I15 / H15)</f>
        <v>0.92857142857143</v>
      </c>
      <c r="R15" s="15">
        <f>IF(H15 = 0, "--", AI15 / H15)</f>
        <v>1</v>
      </c>
      <c r="S15" s="15">
        <f>IF(H15 = 0, "--", AK15 / H15)</f>
        <v>0.92857142857143</v>
      </c>
      <c r="T15" s="15">
        <f>IF(H15 = 0, "--", AJ15 / H15)</f>
        <v>0.071428571428571</v>
      </c>
      <c r="V15" s="14">
        <f>IF(H15 = 0, 0, X15 / H15)</f>
        <v>2093.6428571429</v>
      </c>
      <c r="W15" s="13">
        <v>33460.0</v>
      </c>
      <c r="X15" s="13">
        <v>58622.0</v>
      </c>
      <c r="Y15" s="13">
        <v>53664.52</v>
      </c>
      <c r="Z15" s="13">
        <v>56173.0</v>
      </c>
      <c r="AA15" s="13">
        <v>51248.44</v>
      </c>
      <c r="AB15" s="13">
        <v>2416.08</v>
      </c>
      <c r="AC15" s="13">
        <v>46929.209432234</v>
      </c>
      <c r="AD15" s="13">
        <v>46681.814819014</v>
      </c>
      <c r="AE15" s="13">
        <v>1.0</v>
      </c>
      <c r="AF15" s="13">
        <v>1.0</v>
      </c>
      <c r="AG15" s="13">
        <v>0.0</v>
      </c>
      <c r="AH15" s="13">
        <v>0.0</v>
      </c>
      <c r="AI15" s="13">
        <f>L15 + M15 + O15 + N15</f>
        <v>28</v>
      </c>
      <c r="AJ15" s="13">
        <f>P15 + N15</f>
        <v>2</v>
      </c>
      <c r="AK15" s="13">
        <f>L15 + M15 + O15</f>
        <v>26</v>
      </c>
    </row>
    <row r="16" spans="1:37">
      <c r="A16" s="2" t="s">
        <v>118</v>
      </c>
      <c r="B16" s="13">
        <f>IF(H16 = 0, "--", W16 / H16)</f>
        <v>1226</v>
      </c>
      <c r="C16" s="14">
        <f>IF(H16 = 0, 0, Z16 / H16)</f>
        <v>1870</v>
      </c>
      <c r="D16" s="14">
        <f>IF(I16 = 0, 0, AA16 / I16)</f>
        <v>1845</v>
      </c>
      <c r="E16" s="14">
        <f>IF(I16 = 0, 0, AD16 / I16)</f>
        <v>1668.5066666667</v>
      </c>
      <c r="F16" s="13">
        <f>H16 + G16</f>
        <v>3</v>
      </c>
      <c r="G16" s="13">
        <v>0.0</v>
      </c>
      <c r="H16" s="13">
        <v>3.0</v>
      </c>
      <c r="I16" s="13">
        <f>L16 + N16 + M16</f>
        <v>3</v>
      </c>
      <c r="J16" s="13">
        <f>O16 + P16</f>
        <v>0</v>
      </c>
      <c r="K16" s="13">
        <v>0.0</v>
      </c>
      <c r="L16" s="13">
        <v>3.0</v>
      </c>
      <c r="M16" s="13">
        <v>0.0</v>
      </c>
      <c r="N16" s="13">
        <v>0.0</v>
      </c>
      <c r="O16" s="13">
        <f>AE16 + AF16</f>
        <v>0</v>
      </c>
      <c r="P16" s="13">
        <f>AG16 + AH16</f>
        <v>0</v>
      </c>
      <c r="Q16" s="15">
        <f>IF(H16 = 0, "--", I16 / H16)</f>
        <v>1</v>
      </c>
      <c r="R16" s="15">
        <f>IF(H16 = 0, "--", AI16 / H16)</f>
        <v>1</v>
      </c>
      <c r="S16" s="15">
        <f>IF(H16 = 0, "--", AK16 / H16)</f>
        <v>1</v>
      </c>
      <c r="T16" s="15">
        <f>IF(H16 = 0, "--", AJ16 / H16)</f>
        <v>0</v>
      </c>
      <c r="V16" s="14">
        <f>IF(H16 = 0, 0, X16 / H16)</f>
        <v>2028.6666666667</v>
      </c>
      <c r="W16" s="13">
        <v>3678.0</v>
      </c>
      <c r="X16" s="13">
        <v>6086.0</v>
      </c>
      <c r="Y16" s="13">
        <v>5890.17</v>
      </c>
      <c r="Z16" s="13">
        <v>5610.0</v>
      </c>
      <c r="AA16" s="13">
        <v>5535.0</v>
      </c>
      <c r="AB16" s="13">
        <v>355.17</v>
      </c>
      <c r="AC16" s="13">
        <v>5133.4193333333</v>
      </c>
      <c r="AD16" s="13">
        <v>5005.52</v>
      </c>
      <c r="AE16" s="13">
        <v>0.0</v>
      </c>
      <c r="AF16" s="13">
        <v>0.0</v>
      </c>
      <c r="AG16" s="13">
        <v>0.0</v>
      </c>
      <c r="AH16" s="13">
        <v>0.0</v>
      </c>
      <c r="AI16" s="13">
        <f>L16 + M16 + O16 + N16</f>
        <v>3</v>
      </c>
      <c r="AJ16" s="13">
        <f>P16 + N16</f>
        <v>0</v>
      </c>
      <c r="AK16" s="13">
        <f>L16 + M16 + O16</f>
        <v>3</v>
      </c>
    </row>
    <row r="17" spans="1:37">
      <c r="A17" s="2" t="s">
        <v>119</v>
      </c>
      <c r="B17" s="13">
        <f>IF(H17 = 0, "--", W17 / H17)</f>
        <v>1113</v>
      </c>
      <c r="C17" s="14">
        <f>IF(H17 = 0, 0, Z17 / H17)</f>
        <v>1777.1111111111</v>
      </c>
      <c r="D17" s="14">
        <f>IF(I17 = 0, 0, AA17 / I17)</f>
        <v>1759.4444444444</v>
      </c>
      <c r="E17" s="14">
        <f>IF(I17 = 0, 0, AD17 / I17)</f>
        <v>1557.9312260887</v>
      </c>
      <c r="F17" s="13">
        <f>H17 + G17</f>
        <v>9</v>
      </c>
      <c r="G17" s="13">
        <v>0.0</v>
      </c>
      <c r="H17" s="13">
        <v>9.0</v>
      </c>
      <c r="I17" s="13">
        <f>L17 + N17 + M17</f>
        <v>9</v>
      </c>
      <c r="J17" s="13">
        <f>O17 + P17</f>
        <v>0</v>
      </c>
      <c r="K17" s="13">
        <v>0.0</v>
      </c>
      <c r="L17" s="13">
        <v>9.0</v>
      </c>
      <c r="M17" s="13">
        <v>0.0</v>
      </c>
      <c r="N17" s="13">
        <v>0.0</v>
      </c>
      <c r="O17" s="13">
        <f>AE17 + AF17</f>
        <v>0</v>
      </c>
      <c r="P17" s="13">
        <f>AG17 + AH17</f>
        <v>0</v>
      </c>
      <c r="Q17" s="15">
        <f>IF(H17 = 0, "--", I17 / H17)</f>
        <v>1</v>
      </c>
      <c r="R17" s="15">
        <f>IF(H17 = 0, "--", AI17 / H17)</f>
        <v>1</v>
      </c>
      <c r="S17" s="15">
        <f>IF(H17 = 0, "--", AK17 / H17)</f>
        <v>1</v>
      </c>
      <c r="T17" s="15">
        <f>IF(H17 = 0, "--", AJ17 / H17)</f>
        <v>0</v>
      </c>
      <c r="V17" s="14">
        <f>IF(H17 = 0, 0, X17 / H17)</f>
        <v>1885.2222222222</v>
      </c>
      <c r="W17" s="13">
        <v>10017.0</v>
      </c>
      <c r="X17" s="13">
        <v>16967.0</v>
      </c>
      <c r="Y17" s="13">
        <v>17357.16</v>
      </c>
      <c r="Z17" s="13">
        <v>15994.0</v>
      </c>
      <c r="AA17" s="13">
        <v>15835.0</v>
      </c>
      <c r="AB17" s="13">
        <v>1522.16</v>
      </c>
      <c r="AC17" s="13">
        <v>14011.511844322</v>
      </c>
      <c r="AD17" s="13">
        <v>14021.381034799</v>
      </c>
      <c r="AE17" s="13">
        <v>0.0</v>
      </c>
      <c r="AF17" s="13">
        <v>0.0</v>
      </c>
      <c r="AG17" s="13">
        <v>0.0</v>
      </c>
      <c r="AH17" s="13">
        <v>0.0</v>
      </c>
      <c r="AI17" s="13">
        <f>L17 + M17 + O17 + N17</f>
        <v>9</v>
      </c>
      <c r="AJ17" s="13">
        <f>P17 + N17</f>
        <v>0</v>
      </c>
      <c r="AK17" s="13">
        <f>L17 + M17 + O17</f>
        <v>9</v>
      </c>
    </row>
    <row r="18" spans="1:37">
      <c r="A18" s="2" t="s">
        <v>120</v>
      </c>
      <c r="B18" s="13">
        <f>IF(H18 = 0, "--", W18 / H18)</f>
        <v>1189</v>
      </c>
      <c r="C18" s="14">
        <f>IF(H18 = 0, 0, Z18 / H18)</f>
        <v>1822.75</v>
      </c>
      <c r="D18" s="14">
        <f>IF(I18 = 0, 0, AA18 / I18)</f>
        <v>1741.6</v>
      </c>
      <c r="E18" s="14">
        <f>IF(I18 = 0, 0, AD18 / I18)</f>
        <v>1506.2143179487</v>
      </c>
      <c r="F18" s="13">
        <f>H18 + G18</f>
        <v>8</v>
      </c>
      <c r="G18" s="13">
        <v>0.0</v>
      </c>
      <c r="H18" s="13">
        <v>8.0</v>
      </c>
      <c r="I18" s="13">
        <f>L18 + N18 + M18</f>
        <v>5</v>
      </c>
      <c r="J18" s="13">
        <f>O18 + P18</f>
        <v>3</v>
      </c>
      <c r="K18" s="13">
        <v>3.0</v>
      </c>
      <c r="L18" s="13">
        <v>4.0</v>
      </c>
      <c r="M18" s="13">
        <v>0.0</v>
      </c>
      <c r="N18" s="13">
        <v>1.0</v>
      </c>
      <c r="O18" s="13">
        <f>AE18 + AF18</f>
        <v>1</v>
      </c>
      <c r="P18" s="13">
        <f>AG18 + AH18</f>
        <v>2</v>
      </c>
      <c r="Q18" s="15">
        <f>IF(H18 = 0, "--", I18 / H18)</f>
        <v>0.625</v>
      </c>
      <c r="R18" s="15">
        <f>IF(H18 = 0, "--", AI18 / H18)</f>
        <v>0.75</v>
      </c>
      <c r="S18" s="15">
        <f>IF(H18 = 0, "--", AK18 / H18)</f>
        <v>0.625</v>
      </c>
      <c r="T18" s="15">
        <f>IF(H18 = 0, "--", AJ18 / H18)</f>
        <v>0.375</v>
      </c>
      <c r="V18" s="14">
        <f>IF(H18 = 0, 0, X18 / H18)</f>
        <v>1908.625</v>
      </c>
      <c r="W18" s="13">
        <v>9512.0</v>
      </c>
      <c r="X18" s="13">
        <v>15269.0</v>
      </c>
      <c r="Y18" s="13">
        <v>9381.0</v>
      </c>
      <c r="Z18" s="13">
        <v>14582.0</v>
      </c>
      <c r="AA18" s="13">
        <v>8708.0</v>
      </c>
      <c r="AB18" s="13">
        <v>673.0</v>
      </c>
      <c r="AC18" s="13">
        <v>7527.8133333333</v>
      </c>
      <c r="AD18" s="13">
        <v>7531.0715897436</v>
      </c>
      <c r="AE18" s="13">
        <v>1.0</v>
      </c>
      <c r="AF18" s="13">
        <v>0.0</v>
      </c>
      <c r="AG18" s="13">
        <v>0.0</v>
      </c>
      <c r="AH18" s="13">
        <v>2.0</v>
      </c>
      <c r="AI18" s="13">
        <f>L18 + M18 + O18 + N18</f>
        <v>6</v>
      </c>
      <c r="AJ18" s="13">
        <f>P18 + N18</f>
        <v>3</v>
      </c>
      <c r="AK18" s="13">
        <f>L18 + M18 + O18</f>
        <v>5</v>
      </c>
    </row>
    <row r="19" spans="1:37">
      <c r="A19" s="2" t="s">
        <v>121</v>
      </c>
      <c r="B19" s="13">
        <f>IF(H19 = 0, "--", W19 / H19)</f>
        <v>1120</v>
      </c>
      <c r="C19" s="14">
        <f>IF(H19 = 0, 0, Z19 / H19)</f>
        <v>1891</v>
      </c>
      <c r="D19" s="14">
        <f>IF(I19 = 0, 0, AA19 / I19)</f>
        <v>1833.5</v>
      </c>
      <c r="E19" s="14">
        <f>IF(I19 = 0, 0, AD19 / I19)</f>
        <v>1572.8303571429</v>
      </c>
      <c r="F19" s="13">
        <f>H19 + G19</f>
        <v>2</v>
      </c>
      <c r="G19" s="13">
        <v>0.0</v>
      </c>
      <c r="H19" s="13">
        <v>2.0</v>
      </c>
      <c r="I19" s="13">
        <f>L19 + N19 + M19</f>
        <v>2</v>
      </c>
      <c r="J19" s="13">
        <f>O19 + P19</f>
        <v>0</v>
      </c>
      <c r="K19" s="13">
        <v>0.0</v>
      </c>
      <c r="L19" s="13">
        <v>2.0</v>
      </c>
      <c r="M19" s="13">
        <v>0.0</v>
      </c>
      <c r="N19" s="13">
        <v>0.0</v>
      </c>
      <c r="O19" s="13">
        <f>AE19 + AF19</f>
        <v>0</v>
      </c>
      <c r="P19" s="13">
        <f>AG19 + AH19</f>
        <v>0</v>
      </c>
      <c r="Q19" s="15">
        <f>IF(H19 = 0, "--", I19 / H19)</f>
        <v>1</v>
      </c>
      <c r="R19" s="15">
        <f>IF(H19 = 0, "--", AI19 / H19)</f>
        <v>1</v>
      </c>
      <c r="S19" s="15">
        <f>IF(H19 = 0, "--", AK19 / H19)</f>
        <v>1</v>
      </c>
      <c r="T19" s="15">
        <f>IF(H19 = 0, "--", AJ19 / H19)</f>
        <v>0</v>
      </c>
      <c r="V19" s="14">
        <f>IF(H19 = 0, 0, X19 / H19)</f>
        <v>2037.5</v>
      </c>
      <c r="W19" s="13">
        <v>2240.0</v>
      </c>
      <c r="X19" s="13">
        <v>4075.0</v>
      </c>
      <c r="Y19" s="13">
        <v>4115.54</v>
      </c>
      <c r="Z19" s="13">
        <v>3782.0</v>
      </c>
      <c r="AA19" s="13">
        <v>3667.0</v>
      </c>
      <c r="AB19" s="13">
        <v>448.54</v>
      </c>
      <c r="AC19" s="13">
        <v>3143.1428571429</v>
      </c>
      <c r="AD19" s="13">
        <v>3145.6607142857</v>
      </c>
      <c r="AE19" s="13">
        <v>0.0</v>
      </c>
      <c r="AF19" s="13">
        <v>0.0</v>
      </c>
      <c r="AG19" s="13">
        <v>0.0</v>
      </c>
      <c r="AH19" s="13">
        <v>0.0</v>
      </c>
      <c r="AI19" s="13">
        <f>L19 + M19 + O19 + N19</f>
        <v>2</v>
      </c>
      <c r="AJ19" s="13">
        <f>P19 + N19</f>
        <v>0</v>
      </c>
      <c r="AK19" s="13">
        <f>L19 + M19 + O19</f>
        <v>2</v>
      </c>
    </row>
    <row r="20" spans="1:37">
      <c r="A20" s="2" t="s">
        <v>122</v>
      </c>
      <c r="B20" s="13">
        <f>IF(H20 = 0, "--", W20 / H20)</f>
        <v>1195</v>
      </c>
      <c r="C20" s="14">
        <f>IF(H20 = 0, 0, Z20 / H20)</f>
        <v>1655.3333333333</v>
      </c>
      <c r="D20" s="14">
        <f>IF(I20 = 0, 0, AA20 / I20)</f>
        <v>1949.8333333333</v>
      </c>
      <c r="E20" s="14">
        <f>IF(I20 = 0, 0, AD20 / I20)</f>
        <v>1799.2345946276</v>
      </c>
      <c r="F20" s="13">
        <f>H20 + G20</f>
        <v>6</v>
      </c>
      <c r="G20" s="13">
        <v>0.0</v>
      </c>
      <c r="H20" s="13">
        <v>6.0</v>
      </c>
      <c r="I20" s="13">
        <f>L20 + N20 + M20</f>
        <v>6</v>
      </c>
      <c r="J20" s="13">
        <f>O20 + P20</f>
        <v>0</v>
      </c>
      <c r="K20" s="13">
        <v>0.0</v>
      </c>
      <c r="L20" s="13">
        <v>6.0</v>
      </c>
      <c r="M20" s="13">
        <v>0.0</v>
      </c>
      <c r="N20" s="13">
        <v>0.0</v>
      </c>
      <c r="O20" s="13">
        <f>AE20 + AF20</f>
        <v>0</v>
      </c>
      <c r="P20" s="13">
        <f>AG20 + AH20</f>
        <v>0</v>
      </c>
      <c r="Q20" s="15">
        <f>IF(H20 = 0, "--", I20 / H20)</f>
        <v>1</v>
      </c>
      <c r="R20" s="15">
        <f>IF(H20 = 0, "--", AI20 / H20)</f>
        <v>1</v>
      </c>
      <c r="S20" s="15">
        <f>IF(H20 = 0, "--", AK20 / H20)</f>
        <v>1</v>
      </c>
      <c r="T20" s="15">
        <f>IF(H20 = 0, "--", AJ20 / H20)</f>
        <v>0</v>
      </c>
      <c r="V20" s="14">
        <f>IF(H20 = 0, 0, X20 / H20)</f>
        <v>2088.8333333333</v>
      </c>
      <c r="W20" s="13">
        <v>7170.0</v>
      </c>
      <c r="X20" s="13">
        <v>12533.0</v>
      </c>
      <c r="Y20" s="13">
        <v>12534.18</v>
      </c>
      <c r="Z20" s="13">
        <v>9932.0</v>
      </c>
      <c r="AA20" s="13">
        <v>11699.0</v>
      </c>
      <c r="AB20" s="13">
        <v>835.18</v>
      </c>
      <c r="AC20" s="13">
        <v>10803.688234432</v>
      </c>
      <c r="AD20" s="13">
        <v>10795.407567766</v>
      </c>
      <c r="AE20" s="13">
        <v>0.0</v>
      </c>
      <c r="AF20" s="13">
        <v>0.0</v>
      </c>
      <c r="AG20" s="13">
        <v>0.0</v>
      </c>
      <c r="AH20" s="13">
        <v>0.0</v>
      </c>
      <c r="AI20" s="13">
        <f>L20 + M20 + O20 + N20</f>
        <v>6</v>
      </c>
      <c r="AJ20" s="13">
        <f>P20 + N20</f>
        <v>0</v>
      </c>
      <c r="AK20" s="13">
        <f>L20 + M20 + O20</f>
        <v>6</v>
      </c>
    </row>
    <row r="21" spans="1:37">
      <c r="A21" s="2" t="s">
        <v>123</v>
      </c>
      <c r="B21" s="13">
        <f>IF(H21 = 0, "--", W21 / H21)</f>
        <v>1459</v>
      </c>
      <c r="C21" s="14">
        <f>IF(H21 = 0, 0, Z21 / H21)</f>
        <v>2391.3125</v>
      </c>
      <c r="D21" s="14">
        <f>IF(I21 = 0, 0, AA21 / I21)</f>
        <v>2287.62875</v>
      </c>
      <c r="E21" s="14">
        <f>IF(I21 = 0, 0, AD21 / I21)</f>
        <v>2067.2821043956</v>
      </c>
      <c r="F21" s="13">
        <f>H21 + G21</f>
        <v>16</v>
      </c>
      <c r="G21" s="13">
        <v>0.0</v>
      </c>
      <c r="H21" s="13">
        <v>16.0</v>
      </c>
      <c r="I21" s="13">
        <f>L21 + N21 + M21</f>
        <v>16</v>
      </c>
      <c r="J21" s="13">
        <f>O21 + P21</f>
        <v>0</v>
      </c>
      <c r="K21" s="13">
        <v>1.0</v>
      </c>
      <c r="L21" s="13">
        <v>14.0</v>
      </c>
      <c r="M21" s="13">
        <v>1.0</v>
      </c>
      <c r="N21" s="13">
        <v>1.0</v>
      </c>
      <c r="O21" s="13">
        <f>AE21 + AF21</f>
        <v>0</v>
      </c>
      <c r="P21" s="13">
        <f>AG21 + AH21</f>
        <v>0</v>
      </c>
      <c r="Q21" s="15">
        <f>IF(H21 = 0, "--", I21 / H21)</f>
        <v>1</v>
      </c>
      <c r="R21" s="15">
        <f>IF(H21 = 0, "--", AI21 / H21)</f>
        <v>1</v>
      </c>
      <c r="S21" s="15">
        <f>IF(H21 = 0, "--", AK21 / H21)</f>
        <v>0.9375</v>
      </c>
      <c r="T21" s="15">
        <f>IF(H21 = 0, "--", AJ21 / H21)</f>
        <v>0.0625</v>
      </c>
      <c r="V21" s="14">
        <f>IF(H21 = 0, 0, X21 / H21)</f>
        <v>2575.5</v>
      </c>
      <c r="W21" s="13">
        <v>23344.0</v>
      </c>
      <c r="X21" s="13">
        <v>41208.0</v>
      </c>
      <c r="Y21" s="13">
        <v>39191.64</v>
      </c>
      <c r="Z21" s="13">
        <v>38261.0</v>
      </c>
      <c r="AA21" s="13">
        <v>36602.06</v>
      </c>
      <c r="AB21" s="13">
        <v>2589.58</v>
      </c>
      <c r="AC21" s="13">
        <v>33260.328470696</v>
      </c>
      <c r="AD21" s="13">
        <v>33076.51367033</v>
      </c>
      <c r="AE21" s="13">
        <v>0.0</v>
      </c>
      <c r="AF21" s="13">
        <v>0.0</v>
      </c>
      <c r="AG21" s="13">
        <v>0.0</v>
      </c>
      <c r="AH21" s="13">
        <v>0.0</v>
      </c>
      <c r="AI21" s="13">
        <f>L21 + M21 + O21 + N21</f>
        <v>16</v>
      </c>
      <c r="AJ21" s="13">
        <f>P21 + N21</f>
        <v>1</v>
      </c>
      <c r="AK21" s="13">
        <f>L21 + M21 + O21</f>
        <v>15</v>
      </c>
    </row>
    <row r="22" spans="1:37">
      <c r="A22" s="2" t="s">
        <v>124</v>
      </c>
      <c r="B22" s="13">
        <f>IF(H22 = 0, "--", W22 / H22)</f>
        <v>608</v>
      </c>
      <c r="C22" s="14">
        <f>IF(H22 = 0, 0, Z22 / H22)</f>
        <v>1398.6666666667</v>
      </c>
      <c r="D22" s="14">
        <f>IF(I22 = 0, 0, AA22 / I22)</f>
        <v>1298.5</v>
      </c>
      <c r="E22" s="14">
        <f>IF(I22 = 0, 0, AD22 / I22)</f>
        <v>1116.7723076923</v>
      </c>
      <c r="F22" s="13">
        <f>H22 + G22</f>
        <v>3</v>
      </c>
      <c r="G22" s="13">
        <v>0.0</v>
      </c>
      <c r="H22" s="13">
        <v>3.0</v>
      </c>
      <c r="I22" s="13">
        <f>L22 + N22 + M22</f>
        <v>2</v>
      </c>
      <c r="J22" s="13">
        <f>O22 + P22</f>
        <v>1</v>
      </c>
      <c r="K22" s="13">
        <v>1.0</v>
      </c>
      <c r="L22" s="13">
        <v>1.0</v>
      </c>
      <c r="M22" s="13">
        <v>0.0</v>
      </c>
      <c r="N22" s="13">
        <v>1.0</v>
      </c>
      <c r="O22" s="13">
        <f>AE22 + AF22</f>
        <v>1</v>
      </c>
      <c r="P22" s="13">
        <f>AG22 + AH22</f>
        <v>0</v>
      </c>
      <c r="Q22" s="15">
        <f>IF(H22 = 0, "--", I22 / H22)</f>
        <v>0.66666666666667</v>
      </c>
      <c r="R22" s="15">
        <f>IF(H22 = 0, "--", AI22 / H22)</f>
        <v>1</v>
      </c>
      <c r="S22" s="15">
        <f>IF(H22 = 0, "--", AK22 / H22)</f>
        <v>0.66666666666667</v>
      </c>
      <c r="T22" s="15">
        <f>IF(H22 = 0, "--", AJ22 / H22)</f>
        <v>0.33333333333333</v>
      </c>
      <c r="V22" s="14">
        <f>IF(H22 = 0, 0, X22 / H22)</f>
        <v>1433.6666666667</v>
      </c>
      <c r="W22" s="13">
        <v>1824.0</v>
      </c>
      <c r="X22" s="13">
        <v>4301.0</v>
      </c>
      <c r="Y22" s="13">
        <v>2823.0</v>
      </c>
      <c r="Z22" s="13">
        <v>4196.0</v>
      </c>
      <c r="AA22" s="13">
        <v>2597.0</v>
      </c>
      <c r="AB22" s="13">
        <v>226.0</v>
      </c>
      <c r="AC22" s="13">
        <v>2247.7692307692</v>
      </c>
      <c r="AD22" s="13">
        <v>2233.5446153846</v>
      </c>
      <c r="AE22" s="13">
        <v>0.0</v>
      </c>
      <c r="AF22" s="13">
        <v>1.0</v>
      </c>
      <c r="AG22" s="13">
        <v>0.0</v>
      </c>
      <c r="AH22" s="13">
        <v>0.0</v>
      </c>
      <c r="AI22" s="13">
        <f>L22 + M22 + O22 + N22</f>
        <v>3</v>
      </c>
      <c r="AJ22" s="13">
        <f>P22 + N22</f>
        <v>1</v>
      </c>
      <c r="AK22" s="13">
        <f>L22 + M22 + O22</f>
        <v>2</v>
      </c>
    </row>
    <row r="23" spans="1:37">
      <c r="A23" s="2" t="s">
        <v>125</v>
      </c>
      <c r="B23" s="13">
        <f>IF(H23 = 0, "--", W23 / H23)</f>
        <v>608</v>
      </c>
      <c r="C23" s="14">
        <f>IF(H23 = 0, 0, Z23 / H23)</f>
        <v>1306.75</v>
      </c>
      <c r="D23" s="14">
        <f>IF(I23 = 0, 0, AA23 / I23)</f>
        <v>1284.6666666667</v>
      </c>
      <c r="E23" s="14">
        <f>IF(I23 = 0, 0, AD23 / I23)</f>
        <v>1163.9996581197</v>
      </c>
      <c r="F23" s="13">
        <f>H23 + G23</f>
        <v>4</v>
      </c>
      <c r="G23" s="13">
        <v>0.0</v>
      </c>
      <c r="H23" s="13">
        <v>4.0</v>
      </c>
      <c r="I23" s="13">
        <f>L23 + N23 + M23</f>
        <v>3</v>
      </c>
      <c r="J23" s="13">
        <f>O23 + P23</f>
        <v>1</v>
      </c>
      <c r="K23" s="13">
        <v>0.0</v>
      </c>
      <c r="L23" s="13">
        <v>3.0</v>
      </c>
      <c r="M23" s="13">
        <v>0.0</v>
      </c>
      <c r="N23" s="13">
        <v>0.0</v>
      </c>
      <c r="O23" s="13">
        <f>AE23 + AF23</f>
        <v>1</v>
      </c>
      <c r="P23" s="13">
        <f>AG23 + AH23</f>
        <v>0</v>
      </c>
      <c r="Q23" s="15">
        <f>IF(H23 = 0, "--", I23 / H23)</f>
        <v>0.75</v>
      </c>
      <c r="R23" s="15">
        <f>IF(H23 = 0, "--", AI23 / H23)</f>
        <v>1</v>
      </c>
      <c r="S23" s="15">
        <f>IF(H23 = 0, "--", AK23 / H23)</f>
        <v>1</v>
      </c>
      <c r="T23" s="15">
        <f>IF(H23 = 0, "--", AJ23 / H23)</f>
        <v>0</v>
      </c>
      <c r="V23" s="14">
        <f>IF(H23 = 0, 0, X23 / H23)</f>
        <v>1327.75</v>
      </c>
      <c r="W23" s="13">
        <v>2432.0</v>
      </c>
      <c r="X23" s="13">
        <v>5311.0</v>
      </c>
      <c r="Y23" s="13">
        <v>4234.0</v>
      </c>
      <c r="Z23" s="13">
        <v>5227.0</v>
      </c>
      <c r="AA23" s="13">
        <v>3854.0</v>
      </c>
      <c r="AB23" s="13">
        <v>380.0</v>
      </c>
      <c r="AC23" s="13">
        <v>3493.7820512821</v>
      </c>
      <c r="AD23" s="13">
        <v>3491.998974359</v>
      </c>
      <c r="AE23" s="13">
        <v>0.0</v>
      </c>
      <c r="AF23" s="13">
        <v>1.0</v>
      </c>
      <c r="AG23" s="13">
        <v>0.0</v>
      </c>
      <c r="AH23" s="13">
        <v>0.0</v>
      </c>
      <c r="AI23" s="13">
        <f>L23 + M23 + O23 + N23</f>
        <v>4</v>
      </c>
      <c r="AJ23" s="13">
        <f>P23 + N23</f>
        <v>0</v>
      </c>
      <c r="AK23" s="13">
        <f>L23 + M23 + O23</f>
        <v>4</v>
      </c>
    </row>
    <row r="24" spans="1:37">
      <c r="A24" s="9" t="s">
        <v>50</v>
      </c>
      <c r="B24" s="10">
        <f>IF(H24 = 0, "--", W24 / H24)</f>
        <v>955.34006734007</v>
      </c>
      <c r="C24" s="11">
        <f>IF(H24 = 0, 0, Z24 / H24)</f>
        <v>1695.4141414141</v>
      </c>
      <c r="D24" s="11">
        <f>IF(I24 = 0, 0, AA24 / I24)</f>
        <v>1667.6399253731</v>
      </c>
      <c r="E24" s="11">
        <f>IF(I24 = 0, 0, AD24 / I24)</f>
        <v>1504.8578226467</v>
      </c>
      <c r="F24" s="10">
        <f>H24 + G24</f>
        <v>297</v>
      </c>
      <c r="G24" s="10">
        <f>SUM(G8:G23)</f>
        <v>0</v>
      </c>
      <c r="H24" s="10">
        <f>SUM(H8:H23)</f>
        <v>297</v>
      </c>
      <c r="I24" s="10">
        <f>L24 + N24 + M24</f>
        <v>268</v>
      </c>
      <c r="J24" s="10">
        <f>O24 + P24</f>
        <v>29</v>
      </c>
      <c r="K24" s="10">
        <f>SUM(K8:K23)</f>
        <v>27</v>
      </c>
      <c r="L24" s="10">
        <f>SUM(L8:L23)</f>
        <v>250</v>
      </c>
      <c r="M24" s="10">
        <f>SUM(M8:M23)</f>
        <v>3</v>
      </c>
      <c r="N24" s="10">
        <f>SUM(N8:N23)</f>
        <v>15</v>
      </c>
      <c r="O24" s="10">
        <f>AE24 + AF24</f>
        <v>17</v>
      </c>
      <c r="P24" s="10">
        <f>AG24 + AH24</f>
        <v>12</v>
      </c>
      <c r="Q24" s="12">
        <f>IF(H24 = 0, "--", I24 / H24)</f>
        <v>0.9023569023569</v>
      </c>
      <c r="R24" s="12">
        <f>IF(H24 = 0, "--", AI24 / H24)</f>
        <v>0.95959595959596</v>
      </c>
      <c r="S24" s="12">
        <f>IF(H24 = 0, "--", AK24 / H24)</f>
        <v>0.90909090909091</v>
      </c>
      <c r="T24" s="12">
        <f>IF(H24 = 0, "--", AJ24 / H24)</f>
        <v>0.090909090909091</v>
      </c>
      <c r="V24" s="11">
        <f>IF(H24 = 0, 0, X24 / H24)</f>
        <v>1776.1077441077</v>
      </c>
      <c r="W24" s="10">
        <f>SUM(W8:W23)</f>
        <v>283736</v>
      </c>
      <c r="X24" s="10">
        <f>SUM(X8:X23)</f>
        <v>527504</v>
      </c>
      <c r="Y24" s="10">
        <f>SUM(Y8:Y23)</f>
        <v>480589.06</v>
      </c>
      <c r="Z24" s="10">
        <f>SUM(Z8:Z23)</f>
        <v>503538</v>
      </c>
      <c r="AA24" s="10">
        <f>SUM(AA8:AA23)</f>
        <v>446927.5</v>
      </c>
      <c r="AB24" s="10">
        <f>SUM(AB8:AB23)</f>
        <v>33661.56</v>
      </c>
      <c r="AC24" s="10">
        <f>SUM(AC8:AC23)</f>
        <v>407180.42795788</v>
      </c>
      <c r="AD24" s="10">
        <f>SUM(AD8:AD23)</f>
        <v>403301.89646931</v>
      </c>
      <c r="AE24" s="10">
        <f>SUM(AE8:AE23)</f>
        <v>9</v>
      </c>
      <c r="AF24" s="10">
        <f>SUM(AF8:AF23)</f>
        <v>8</v>
      </c>
      <c r="AG24" s="10">
        <f>SUM(AG8:AG23)</f>
        <v>2</v>
      </c>
      <c r="AH24" s="10">
        <f>SUM(AH8:AH23)</f>
        <v>10</v>
      </c>
      <c r="AI24" s="10">
        <f>L24 + M24 + O24 + N24</f>
        <v>285</v>
      </c>
      <c r="AJ24" s="10">
        <f>P24 + N24</f>
        <v>27</v>
      </c>
      <c r="AK24" s="10">
        <f>L24 + M24 + O24</f>
        <v>270</v>
      </c>
    </row>
    <row r="26" spans="1:37">
      <c r="A26" s="1" t="s">
        <v>51</v>
      </c>
    </row>
    <row r="27" spans="1:37">
      <c r="A27" s="3" t="s">
        <v>4</v>
      </c>
      <c r="B27" s="4" t="s">
        <v>10</v>
      </c>
      <c r="C27" s="4" t="s">
        <v>52</v>
      </c>
      <c r="D27" s="4" t="s">
        <v>53</v>
      </c>
      <c r="E27" s="4" t="s">
        <v>54</v>
      </c>
      <c r="F27" s="4" t="s">
        <v>55</v>
      </c>
      <c r="G27" s="4" t="s">
        <v>56</v>
      </c>
      <c r="H27" s="4" t="s">
        <v>57</v>
      </c>
      <c r="I27" s="4" t="s">
        <v>58</v>
      </c>
      <c r="J27" s="4" t="s">
        <v>60</v>
      </c>
      <c r="K27" s="4" t="s">
        <v>61</v>
      </c>
      <c r="L27" s="4" t="s">
        <v>62</v>
      </c>
      <c r="M27" s="4" t="s">
        <v>21</v>
      </c>
      <c r="V27" s="8" t="s">
        <v>59</v>
      </c>
    </row>
    <row r="28" spans="1:37">
      <c r="A28" s="2" t="s">
        <v>110</v>
      </c>
      <c r="B28" s="13">
        <v>83.0</v>
      </c>
      <c r="C28" s="13">
        <v>0.0</v>
      </c>
      <c r="D28" s="13">
        <v>0.0</v>
      </c>
      <c r="E28" s="13">
        <v>0.0</v>
      </c>
      <c r="F28" s="13">
        <v>4.0</v>
      </c>
      <c r="G28" s="13">
        <v>0.0</v>
      </c>
      <c r="H28" s="13">
        <v>6.0</v>
      </c>
      <c r="I28" s="13">
        <v>4.0</v>
      </c>
      <c r="J28" s="13">
        <v>0.0</v>
      </c>
      <c r="K28" s="13">
        <v>0.0</v>
      </c>
      <c r="L28" s="13">
        <v>0.0</v>
      </c>
      <c r="M28" s="13">
        <v>2.0</v>
      </c>
      <c r="V28" s="13">
        <v>0.0</v>
      </c>
    </row>
    <row r="29" spans="1:37">
      <c r="A29" s="2" t="s">
        <v>111</v>
      </c>
      <c r="B29" s="13">
        <v>19.0</v>
      </c>
      <c r="C29" s="13">
        <v>1.0</v>
      </c>
      <c r="D29" s="13">
        <v>0.0</v>
      </c>
      <c r="E29" s="13">
        <v>0.0</v>
      </c>
      <c r="F29" s="13">
        <v>0.0</v>
      </c>
      <c r="G29" s="13">
        <v>0.0</v>
      </c>
      <c r="H29" s="13">
        <v>0.0</v>
      </c>
      <c r="I29" s="13">
        <v>1.0</v>
      </c>
      <c r="J29" s="13">
        <v>0.0</v>
      </c>
      <c r="K29" s="13">
        <v>0.0</v>
      </c>
      <c r="L29" s="13">
        <v>1.0</v>
      </c>
      <c r="M29" s="13">
        <v>1.0</v>
      </c>
      <c r="V29" s="13">
        <v>0.0</v>
      </c>
    </row>
    <row r="30" spans="1:37">
      <c r="A30" s="2" t="s">
        <v>112</v>
      </c>
      <c r="B30" s="13">
        <v>4.0</v>
      </c>
      <c r="C30" s="13">
        <v>0.0</v>
      </c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1.0</v>
      </c>
      <c r="J30" s="13">
        <v>0.0</v>
      </c>
      <c r="K30" s="13">
        <v>0.0</v>
      </c>
      <c r="L30" s="13">
        <v>0.0</v>
      </c>
      <c r="M30" s="13">
        <v>0.0</v>
      </c>
      <c r="V30" s="13">
        <v>0.0</v>
      </c>
    </row>
    <row r="31" spans="1:37">
      <c r="A31" s="2" t="s">
        <v>113</v>
      </c>
      <c r="B31" s="13">
        <v>33.0</v>
      </c>
      <c r="C31" s="13">
        <v>0.0</v>
      </c>
      <c r="D31" s="13">
        <v>0.0</v>
      </c>
      <c r="E31" s="13">
        <v>0.0</v>
      </c>
      <c r="F31" s="13">
        <v>2.0</v>
      </c>
      <c r="G31" s="13">
        <v>0.0</v>
      </c>
      <c r="H31" s="13">
        <v>-1.0</v>
      </c>
      <c r="I31" s="13">
        <v>0.0</v>
      </c>
      <c r="J31" s="13">
        <v>0.0</v>
      </c>
      <c r="K31" s="13">
        <v>0.0</v>
      </c>
      <c r="L31" s="13">
        <v>0.0</v>
      </c>
      <c r="M31" s="13">
        <v>0.0</v>
      </c>
      <c r="V31" s="13">
        <v>3.0</v>
      </c>
    </row>
    <row r="32" spans="1:37">
      <c r="A32" s="2" t="s">
        <v>114</v>
      </c>
      <c r="B32" s="13">
        <v>8.0</v>
      </c>
      <c r="C32" s="13">
        <v>1.0</v>
      </c>
      <c r="D32" s="13">
        <v>0.0</v>
      </c>
      <c r="E32" s="13">
        <v>0.0</v>
      </c>
      <c r="F32" s="13">
        <v>0.0</v>
      </c>
      <c r="G32" s="13">
        <v>0.0</v>
      </c>
      <c r="H32" s="13">
        <v>1.0</v>
      </c>
      <c r="I32" s="13">
        <v>0.0</v>
      </c>
      <c r="J32" s="13">
        <v>0.0</v>
      </c>
      <c r="K32" s="13">
        <v>0.0</v>
      </c>
      <c r="L32" s="13">
        <v>0.0</v>
      </c>
      <c r="M32" s="13">
        <v>1.0</v>
      </c>
      <c r="V32" s="13">
        <v>1.0</v>
      </c>
    </row>
    <row r="33" spans="1:37">
      <c r="A33" s="2" t="s">
        <v>115</v>
      </c>
      <c r="B33" s="13">
        <v>27.0</v>
      </c>
      <c r="C33" s="13">
        <v>3.0</v>
      </c>
      <c r="D33" s="13">
        <v>0.0</v>
      </c>
      <c r="E33" s="13">
        <v>0.0</v>
      </c>
      <c r="F33" s="13">
        <v>1.0</v>
      </c>
      <c r="G33" s="13">
        <v>0.0</v>
      </c>
      <c r="H33" s="13">
        <v>-1.0</v>
      </c>
      <c r="I33" s="13">
        <v>1.0</v>
      </c>
      <c r="J33" s="13">
        <v>0.0</v>
      </c>
      <c r="K33" s="13">
        <v>0.0</v>
      </c>
      <c r="L33" s="13">
        <v>0.0</v>
      </c>
      <c r="M33" s="13">
        <v>2.0</v>
      </c>
      <c r="V33" s="13">
        <v>1.0</v>
      </c>
    </row>
    <row r="34" spans="1:37">
      <c r="A34" s="2" t="s">
        <v>116</v>
      </c>
      <c r="B34" s="13">
        <v>44.0</v>
      </c>
      <c r="C34" s="13">
        <v>1.0</v>
      </c>
      <c r="D34" s="13">
        <v>0.0</v>
      </c>
      <c r="E34" s="13">
        <v>0.0</v>
      </c>
      <c r="F34" s="13">
        <v>5.0</v>
      </c>
      <c r="G34" s="13">
        <v>0.0</v>
      </c>
      <c r="H34" s="13">
        <v>-1.0</v>
      </c>
      <c r="I34" s="13">
        <v>0.0</v>
      </c>
      <c r="J34" s="13">
        <v>0.0</v>
      </c>
      <c r="K34" s="13">
        <v>0.0</v>
      </c>
      <c r="L34" s="13">
        <v>0.0</v>
      </c>
      <c r="M34" s="13">
        <v>3.0</v>
      </c>
      <c r="V34" s="13">
        <v>1.0</v>
      </c>
    </row>
    <row r="35" spans="1:37">
      <c r="A35" s="2" t="s">
        <v>117</v>
      </c>
      <c r="B35" s="13">
        <v>28.0</v>
      </c>
      <c r="C35" s="13">
        <v>1.0</v>
      </c>
      <c r="D35" s="13">
        <v>0.0</v>
      </c>
      <c r="E35" s="13">
        <v>0.0</v>
      </c>
      <c r="F35" s="13">
        <v>1.0</v>
      </c>
      <c r="G35" s="13">
        <v>0.0</v>
      </c>
      <c r="H35" s="13">
        <v>1.0</v>
      </c>
      <c r="I35" s="13">
        <v>0.0</v>
      </c>
      <c r="J35" s="13">
        <v>0.0</v>
      </c>
      <c r="K35" s="13">
        <v>0.0</v>
      </c>
      <c r="L35" s="13">
        <v>0.0</v>
      </c>
      <c r="M35" s="13">
        <v>2.0</v>
      </c>
      <c r="V35" s="13">
        <v>1.0</v>
      </c>
    </row>
    <row r="36" spans="1:37">
      <c r="A36" s="2" t="s">
        <v>118</v>
      </c>
      <c r="B36" s="13">
        <v>3.0</v>
      </c>
      <c r="C36" s="13">
        <v>0.0</v>
      </c>
      <c r="D36" s="13">
        <v>0.0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3">
        <v>0.0</v>
      </c>
      <c r="V36" s="13">
        <v>0.0</v>
      </c>
    </row>
    <row r="37" spans="1:37">
      <c r="A37" s="2" t="s">
        <v>119</v>
      </c>
      <c r="B37" s="13">
        <v>9.0</v>
      </c>
      <c r="C37" s="13">
        <v>0.0</v>
      </c>
      <c r="D37" s="13">
        <v>0.0</v>
      </c>
      <c r="E37" s="13">
        <v>0.0</v>
      </c>
      <c r="F37" s="13">
        <v>1.0</v>
      </c>
      <c r="G37" s="13">
        <v>0.0</v>
      </c>
      <c r="H37" s="13">
        <v>-1.0</v>
      </c>
      <c r="I37" s="13">
        <v>0.0</v>
      </c>
      <c r="J37" s="13">
        <v>0.0</v>
      </c>
      <c r="K37" s="13">
        <v>0.0</v>
      </c>
      <c r="L37" s="13">
        <v>0.0</v>
      </c>
      <c r="M37" s="13">
        <v>0.0</v>
      </c>
      <c r="V37" s="13">
        <v>0.0</v>
      </c>
    </row>
    <row r="38" spans="1:37">
      <c r="A38" s="2" t="s">
        <v>120</v>
      </c>
      <c r="B38" s="13">
        <v>8.0</v>
      </c>
      <c r="C38" s="13">
        <v>0.0</v>
      </c>
      <c r="D38" s="13">
        <v>0.0</v>
      </c>
      <c r="E38" s="13">
        <v>0.0</v>
      </c>
      <c r="F38" s="13">
        <v>0.0</v>
      </c>
      <c r="G38" s="13">
        <v>0.0</v>
      </c>
      <c r="H38" s="13">
        <v>1.0</v>
      </c>
      <c r="I38" s="13">
        <v>1.0</v>
      </c>
      <c r="J38" s="13">
        <v>0.0</v>
      </c>
      <c r="K38" s="13">
        <v>0.0</v>
      </c>
      <c r="L38" s="13">
        <v>1.0</v>
      </c>
      <c r="M38" s="13">
        <v>0.0</v>
      </c>
      <c r="V38" s="13">
        <v>0.0</v>
      </c>
    </row>
    <row r="39" spans="1:37">
      <c r="A39" s="2" t="s">
        <v>121</v>
      </c>
      <c r="B39" s="13">
        <v>2.0</v>
      </c>
      <c r="C39" s="13">
        <v>0.0</v>
      </c>
      <c r="D39" s="13">
        <v>0.0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  <c r="L39" s="13">
        <v>0.0</v>
      </c>
      <c r="M39" s="13">
        <v>0.0</v>
      </c>
      <c r="V39" s="13">
        <v>0.0</v>
      </c>
    </row>
    <row r="40" spans="1:37">
      <c r="A40" s="2" t="s">
        <v>122</v>
      </c>
      <c r="B40" s="13">
        <v>6.0</v>
      </c>
      <c r="C40" s="13">
        <v>0.0</v>
      </c>
      <c r="D40" s="13">
        <v>0.0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  <c r="L40" s="13">
        <v>0.0</v>
      </c>
      <c r="M40" s="13">
        <v>0.0</v>
      </c>
      <c r="V40" s="13">
        <v>1.0</v>
      </c>
    </row>
    <row r="41" spans="1:37">
      <c r="A41" s="2" t="s">
        <v>123</v>
      </c>
      <c r="B41" s="13">
        <v>16.0</v>
      </c>
      <c r="C41" s="13">
        <v>1.0</v>
      </c>
      <c r="D41" s="13">
        <v>0.0</v>
      </c>
      <c r="E41" s="13">
        <v>0.0</v>
      </c>
      <c r="F41" s="13">
        <v>0.0</v>
      </c>
      <c r="G41" s="13">
        <v>0.0</v>
      </c>
      <c r="H41" s="13">
        <v>2.0</v>
      </c>
      <c r="I41" s="13">
        <v>0.0</v>
      </c>
      <c r="J41" s="13">
        <v>0.0</v>
      </c>
      <c r="K41" s="13">
        <v>0.0</v>
      </c>
      <c r="L41" s="13">
        <v>0.0</v>
      </c>
      <c r="M41" s="13">
        <v>1.0</v>
      </c>
      <c r="V41" s="13">
        <v>1.0</v>
      </c>
    </row>
    <row r="42" spans="1:37">
      <c r="A42" s="2" t="s">
        <v>124</v>
      </c>
      <c r="B42" s="13">
        <v>3.0</v>
      </c>
      <c r="C42" s="13">
        <v>0.0</v>
      </c>
      <c r="D42" s="13">
        <v>0.0</v>
      </c>
      <c r="E42" s="13">
        <v>0.0</v>
      </c>
      <c r="F42" s="13">
        <v>0.0</v>
      </c>
      <c r="G42" s="13">
        <v>0.0</v>
      </c>
      <c r="H42" s="13">
        <v>0.0</v>
      </c>
      <c r="I42" s="13">
        <v>0.0</v>
      </c>
      <c r="J42" s="13">
        <v>0.0</v>
      </c>
      <c r="K42" s="13">
        <v>0.0</v>
      </c>
      <c r="L42" s="13">
        <v>0.0</v>
      </c>
      <c r="M42" s="13">
        <v>0.0</v>
      </c>
      <c r="V42" s="13">
        <v>0.0</v>
      </c>
    </row>
    <row r="43" spans="1:37">
      <c r="A43" s="2" t="s">
        <v>125</v>
      </c>
      <c r="B43" s="13">
        <v>4.0</v>
      </c>
      <c r="C43" s="13">
        <v>0.0</v>
      </c>
      <c r="D43" s="13">
        <v>0.0</v>
      </c>
      <c r="E43" s="13">
        <v>0.0</v>
      </c>
      <c r="F43" s="13">
        <v>0.0</v>
      </c>
      <c r="G43" s="13">
        <v>0.0</v>
      </c>
      <c r="H43" s="13">
        <v>0.0</v>
      </c>
      <c r="I43" s="13">
        <v>1.0</v>
      </c>
      <c r="J43" s="13">
        <v>0.0</v>
      </c>
      <c r="K43" s="13">
        <v>0.0</v>
      </c>
      <c r="L43" s="13">
        <v>0.0</v>
      </c>
      <c r="M43" s="13">
        <v>0.0</v>
      </c>
      <c r="V43" s="13">
        <v>1.0</v>
      </c>
    </row>
    <row r="44" spans="1:37">
      <c r="A44" s="9" t="s">
        <v>50</v>
      </c>
      <c r="B44" s="10">
        <f>SUM(B28:B43)</f>
        <v>297</v>
      </c>
      <c r="C44" s="10">
        <f>SUM(C28:C43)</f>
        <v>8</v>
      </c>
      <c r="D44" s="10">
        <f>SUM(D28:D43)</f>
        <v>0</v>
      </c>
      <c r="E44" s="10">
        <f>SUM(E28:E43)</f>
        <v>0</v>
      </c>
      <c r="F44" s="10">
        <f>SUM(F28:F43)</f>
        <v>14</v>
      </c>
      <c r="G44" s="10">
        <f>SUM(G28:G43)</f>
        <v>0</v>
      </c>
      <c r="H44" s="10">
        <f>SUM(H28:H43)</f>
        <v>7</v>
      </c>
      <c r="I44" s="10">
        <f>SUM(I28:I43)</f>
        <v>9</v>
      </c>
      <c r="J44" s="10">
        <f>SUM(J28:J43)</f>
        <v>0</v>
      </c>
      <c r="K44" s="10">
        <f>SUM(K28:K43)</f>
        <v>0</v>
      </c>
      <c r="L44" s="10">
        <f>SUM(L28:L43)</f>
        <v>2</v>
      </c>
      <c r="M44" s="10">
        <f>SUM(M28:M43)</f>
        <v>12</v>
      </c>
    </row>
    <row r="46" spans="1:37">
      <c r="A46" s="1" t="s">
        <v>63</v>
      </c>
    </row>
    <row r="47" spans="1:37">
      <c r="C47" s="16" t="s">
        <v>64</v>
      </c>
      <c r="K47" s="16" t="s">
        <v>65</v>
      </c>
      <c r="O47" s="16" t="s">
        <v>66</v>
      </c>
    </row>
    <row r="48" spans="1:37">
      <c r="A48" s="3" t="s">
        <v>4</v>
      </c>
      <c r="B48" s="4" t="s">
        <v>67</v>
      </c>
      <c r="C48" s="4" t="s">
        <v>68</v>
      </c>
      <c r="D48" s="4" t="s">
        <v>69</v>
      </c>
      <c r="E48" s="4" t="s">
        <v>70</v>
      </c>
      <c r="F48" s="4" t="s">
        <v>71</v>
      </c>
      <c r="G48" s="4" t="s">
        <v>72</v>
      </c>
      <c r="H48" s="4" t="s">
        <v>73</v>
      </c>
      <c r="I48" s="4" t="s">
        <v>74</v>
      </c>
      <c r="J48" s="4" t="s">
        <v>75</v>
      </c>
      <c r="K48" s="4" t="s">
        <v>76</v>
      </c>
      <c r="L48" s="4" t="s">
        <v>77</v>
      </c>
      <c r="M48" s="4" t="s">
        <v>78</v>
      </c>
      <c r="N48" s="4" t="s">
        <v>79</v>
      </c>
      <c r="O48" s="4" t="s">
        <v>80</v>
      </c>
    </row>
    <row r="49" spans="1:37">
      <c r="A49" s="2" t="s">
        <v>110</v>
      </c>
      <c r="B49" s="13">
        <v>19.0</v>
      </c>
      <c r="C49" s="13">
        <v>0.0</v>
      </c>
      <c r="D49" s="13">
        <v>7.0</v>
      </c>
      <c r="E49" s="13">
        <v>8.0</v>
      </c>
      <c r="F49" s="13">
        <v>1.0</v>
      </c>
      <c r="G49" s="13">
        <v>0.0</v>
      </c>
      <c r="H49" s="13">
        <v>0.0</v>
      </c>
      <c r="I49" s="13">
        <v>0.0</v>
      </c>
      <c r="J49" s="13">
        <v>3.0</v>
      </c>
      <c r="K49" s="13">
        <v>49.0</v>
      </c>
      <c r="L49" s="13">
        <v>35.0</v>
      </c>
      <c r="M49" s="13">
        <v>0.0</v>
      </c>
      <c r="N49" s="13">
        <v>86.0</v>
      </c>
      <c r="O49" s="13">
        <v>8.0</v>
      </c>
    </row>
    <row r="50" spans="1:37">
      <c r="A50" s="2" t="s">
        <v>111</v>
      </c>
      <c r="B50" s="13">
        <v>12.0</v>
      </c>
      <c r="C50" s="13">
        <v>0.0</v>
      </c>
      <c r="D50" s="13">
        <v>2.0</v>
      </c>
      <c r="E50" s="13">
        <v>8.0</v>
      </c>
      <c r="F50" s="13">
        <v>1.0</v>
      </c>
      <c r="G50" s="13">
        <v>0.0</v>
      </c>
      <c r="H50" s="13">
        <v>0.0</v>
      </c>
      <c r="I50" s="13">
        <v>0.0</v>
      </c>
      <c r="J50" s="13">
        <v>1.0</v>
      </c>
      <c r="K50" s="13">
        <v>56.0</v>
      </c>
      <c r="L50" s="13">
        <v>10.0</v>
      </c>
      <c r="M50" s="13">
        <v>0.0</v>
      </c>
      <c r="N50" s="13">
        <v>14.0</v>
      </c>
      <c r="O50" s="13">
        <v>2.0</v>
      </c>
    </row>
    <row r="51" spans="1:37">
      <c r="A51" s="2" t="s">
        <v>112</v>
      </c>
      <c r="B51" s="13">
        <v>3.0</v>
      </c>
      <c r="C51" s="13">
        <v>0.0</v>
      </c>
      <c r="D51" s="13">
        <v>3.0</v>
      </c>
      <c r="E51" s="13">
        <v>0.0</v>
      </c>
      <c r="F51" s="13">
        <v>0.0</v>
      </c>
      <c r="G51" s="13">
        <v>0.0</v>
      </c>
      <c r="H51" s="13">
        <v>0.0</v>
      </c>
      <c r="I51" s="13">
        <v>0.0</v>
      </c>
      <c r="J51" s="13">
        <v>0.0</v>
      </c>
      <c r="K51" s="13">
        <v>10.0</v>
      </c>
      <c r="L51" s="13">
        <v>5.0</v>
      </c>
      <c r="M51" s="13">
        <v>0.0</v>
      </c>
      <c r="N51" s="13">
        <v>8.0</v>
      </c>
      <c r="O51" s="13">
        <v>1.0</v>
      </c>
    </row>
    <row r="52" spans="1:37">
      <c r="A52" s="2" t="s">
        <v>113</v>
      </c>
      <c r="B52" s="13">
        <v>4.0</v>
      </c>
      <c r="C52" s="13">
        <v>0.0</v>
      </c>
      <c r="D52" s="13">
        <v>2.0</v>
      </c>
      <c r="E52" s="13">
        <v>1.0</v>
      </c>
      <c r="F52" s="13">
        <v>0.0</v>
      </c>
      <c r="G52" s="13">
        <v>0.0</v>
      </c>
      <c r="H52" s="13">
        <v>0.0</v>
      </c>
      <c r="I52" s="13">
        <v>1.0</v>
      </c>
      <c r="J52" s="13">
        <v>0.0</v>
      </c>
      <c r="K52" s="13">
        <v>20.0</v>
      </c>
      <c r="L52" s="13">
        <v>17.0</v>
      </c>
      <c r="M52" s="13">
        <v>0.0</v>
      </c>
      <c r="N52" s="13">
        <v>34.0</v>
      </c>
      <c r="O52" s="13">
        <v>2.0</v>
      </c>
    </row>
    <row r="53" spans="1:37">
      <c r="A53" s="2" t="s">
        <v>114</v>
      </c>
      <c r="B53" s="13">
        <v>5.0</v>
      </c>
      <c r="C53" s="13">
        <v>0.0</v>
      </c>
      <c r="D53" s="13">
        <v>1.0</v>
      </c>
      <c r="E53" s="13">
        <v>2.0</v>
      </c>
      <c r="F53" s="13">
        <v>1.0</v>
      </c>
      <c r="G53" s="13">
        <v>0.0</v>
      </c>
      <c r="H53" s="13">
        <v>0.0</v>
      </c>
      <c r="I53" s="13">
        <v>0.0</v>
      </c>
      <c r="J53" s="13">
        <v>1.0</v>
      </c>
      <c r="K53" s="13">
        <v>26.0</v>
      </c>
      <c r="L53" s="13">
        <v>7.0</v>
      </c>
      <c r="M53" s="13">
        <v>0.0</v>
      </c>
      <c r="N53" s="13">
        <v>24.0</v>
      </c>
      <c r="O53" s="13">
        <v>2.0</v>
      </c>
    </row>
    <row r="54" spans="1:37">
      <c r="A54" s="2" t="s">
        <v>115</v>
      </c>
      <c r="B54" s="13">
        <v>12.0</v>
      </c>
      <c r="C54" s="13">
        <v>0.0</v>
      </c>
      <c r="D54" s="13">
        <v>1.0</v>
      </c>
      <c r="E54" s="13">
        <v>8.0</v>
      </c>
      <c r="F54" s="13">
        <v>2.0</v>
      </c>
      <c r="G54" s="13">
        <v>0.0</v>
      </c>
      <c r="H54" s="13">
        <v>0.0</v>
      </c>
      <c r="I54" s="13">
        <v>1.0</v>
      </c>
      <c r="J54" s="13">
        <v>0.0</v>
      </c>
      <c r="K54" s="13">
        <v>49.0</v>
      </c>
      <c r="L54" s="13">
        <v>13.0</v>
      </c>
      <c r="M54" s="13">
        <v>0.0</v>
      </c>
      <c r="N54" s="13">
        <v>8.0</v>
      </c>
      <c r="O54" s="13">
        <v>5.0</v>
      </c>
    </row>
    <row r="55" spans="1:37">
      <c r="A55" s="2" t="s">
        <v>116</v>
      </c>
      <c r="B55" s="13">
        <v>14.0</v>
      </c>
      <c r="C55" s="13">
        <v>0.0</v>
      </c>
      <c r="D55" s="13">
        <v>1.0</v>
      </c>
      <c r="E55" s="13">
        <v>4.0</v>
      </c>
      <c r="F55" s="13">
        <v>8.0</v>
      </c>
      <c r="G55" s="13">
        <v>0.0</v>
      </c>
      <c r="H55" s="13">
        <v>0.0</v>
      </c>
      <c r="I55" s="13">
        <v>0.0</v>
      </c>
      <c r="J55" s="13">
        <v>1.0</v>
      </c>
      <c r="K55" s="13">
        <v>32.0</v>
      </c>
      <c r="L55" s="13">
        <v>16.0</v>
      </c>
      <c r="M55" s="13">
        <v>0.0</v>
      </c>
      <c r="N55" s="13">
        <v>84.0</v>
      </c>
      <c r="O55" s="13">
        <v>10.0</v>
      </c>
    </row>
    <row r="56" spans="1:37">
      <c r="A56" s="2" t="s">
        <v>117</v>
      </c>
      <c r="B56" s="13">
        <v>5.0</v>
      </c>
      <c r="C56" s="13">
        <v>0.0</v>
      </c>
      <c r="D56" s="13">
        <v>1.0</v>
      </c>
      <c r="E56" s="13">
        <v>1.0</v>
      </c>
      <c r="F56" s="13">
        <v>3.0</v>
      </c>
      <c r="G56" s="13">
        <v>0.0</v>
      </c>
      <c r="H56" s="13">
        <v>0.0</v>
      </c>
      <c r="I56" s="13">
        <v>0.0</v>
      </c>
      <c r="J56" s="13">
        <v>0.0</v>
      </c>
      <c r="K56" s="13">
        <v>23.0</v>
      </c>
      <c r="L56" s="13">
        <v>15.0</v>
      </c>
      <c r="M56" s="13">
        <v>0.0</v>
      </c>
      <c r="N56" s="13">
        <v>16.0</v>
      </c>
      <c r="O56" s="13">
        <v>3.0</v>
      </c>
    </row>
    <row r="57" spans="1:37">
      <c r="A57" s="2" t="s">
        <v>120</v>
      </c>
      <c r="B57" s="13">
        <v>2.0</v>
      </c>
      <c r="C57" s="13">
        <v>0.0</v>
      </c>
      <c r="D57" s="13">
        <v>0.0</v>
      </c>
      <c r="E57" s="13">
        <v>0.0</v>
      </c>
      <c r="F57" s="13">
        <v>2.0</v>
      </c>
      <c r="G57" s="13">
        <v>0.0</v>
      </c>
      <c r="H57" s="13">
        <v>0.0</v>
      </c>
      <c r="I57" s="13">
        <v>0.0</v>
      </c>
      <c r="J57" s="13">
        <v>0.0</v>
      </c>
      <c r="K57" s="13">
        <v>1.0</v>
      </c>
      <c r="L57" s="13">
        <v>1.0</v>
      </c>
      <c r="M57" s="13">
        <v>0.0</v>
      </c>
      <c r="N57" s="13">
        <v>2.0</v>
      </c>
      <c r="O57" s="13">
        <v>2.0</v>
      </c>
    </row>
    <row r="58" spans="1:37">
      <c r="A58" s="2" t="s">
        <v>121</v>
      </c>
      <c r="B58" s="13">
        <v>0.0</v>
      </c>
      <c r="C58" s="13">
        <v>0.0</v>
      </c>
      <c r="D58" s="13">
        <v>0.0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13">
        <v>0.0</v>
      </c>
      <c r="K58" s="13">
        <v>4.0</v>
      </c>
      <c r="L58" s="13">
        <v>0.0</v>
      </c>
      <c r="M58" s="13">
        <v>0.0</v>
      </c>
      <c r="N58" s="13">
        <v>18.0</v>
      </c>
      <c r="O58" s="13">
        <v>0.0</v>
      </c>
    </row>
    <row r="59" spans="1:37">
      <c r="A59" s="2" t="s">
        <v>123</v>
      </c>
      <c r="B59" s="13">
        <v>8.0</v>
      </c>
      <c r="C59" s="13">
        <v>0.0</v>
      </c>
      <c r="D59" s="13">
        <v>1.0</v>
      </c>
      <c r="E59" s="13">
        <v>4.0</v>
      </c>
      <c r="F59" s="13">
        <v>3.0</v>
      </c>
      <c r="G59" s="13">
        <v>0.0</v>
      </c>
      <c r="H59" s="13">
        <v>0.0</v>
      </c>
      <c r="I59" s="13">
        <v>0.0</v>
      </c>
      <c r="J59" s="13">
        <v>0.0</v>
      </c>
      <c r="K59" s="13">
        <v>42.0</v>
      </c>
      <c r="L59" s="13">
        <v>11.0</v>
      </c>
      <c r="M59" s="13">
        <v>0.0</v>
      </c>
      <c r="N59" s="13">
        <v>18.0</v>
      </c>
      <c r="O59" s="13">
        <v>3.0</v>
      </c>
    </row>
    <row r="60" spans="1:37">
      <c r="A60" s="2" t="s">
        <v>124</v>
      </c>
      <c r="B60" s="13">
        <v>9.0</v>
      </c>
      <c r="C60" s="13">
        <v>0.0</v>
      </c>
      <c r="D60" s="13">
        <v>5.0</v>
      </c>
      <c r="E60" s="13">
        <v>2.0</v>
      </c>
      <c r="F60" s="13">
        <v>0.0</v>
      </c>
      <c r="G60" s="13">
        <v>0.0</v>
      </c>
      <c r="H60" s="13">
        <v>0.0</v>
      </c>
      <c r="I60" s="13">
        <v>1.0</v>
      </c>
      <c r="J60" s="13">
        <v>1.0</v>
      </c>
      <c r="K60" s="13">
        <v>42.0</v>
      </c>
      <c r="L60" s="13">
        <v>15.0</v>
      </c>
      <c r="M60" s="13">
        <v>0.0</v>
      </c>
      <c r="N60" s="13">
        <v>19.0</v>
      </c>
      <c r="O60" s="13">
        <v>6.0</v>
      </c>
    </row>
    <row r="61" spans="1:37">
      <c r="A61" s="2" t="s">
        <v>125</v>
      </c>
      <c r="B61" s="13">
        <v>2.0</v>
      </c>
      <c r="C61" s="13">
        <v>0.0</v>
      </c>
      <c r="D61" s="13">
        <v>0.0</v>
      </c>
      <c r="E61" s="13">
        <v>2.0</v>
      </c>
      <c r="F61" s="13">
        <v>0.0</v>
      </c>
      <c r="G61" s="13">
        <v>0.0</v>
      </c>
      <c r="H61" s="13">
        <v>0.0</v>
      </c>
      <c r="I61" s="13">
        <v>0.0</v>
      </c>
      <c r="J61" s="13">
        <v>0.0</v>
      </c>
      <c r="K61" s="13">
        <v>7.0</v>
      </c>
      <c r="L61" s="13">
        <v>0.0</v>
      </c>
      <c r="M61" s="13">
        <v>0.0</v>
      </c>
      <c r="N61" s="13">
        <v>0.0</v>
      </c>
      <c r="O61" s="13">
        <v>0.0</v>
      </c>
    </row>
    <row r="62" spans="1:37">
      <c r="A62" s="2" t="s">
        <v>81</v>
      </c>
      <c r="B62" s="13">
        <v>104.0</v>
      </c>
      <c r="C62" s="13">
        <v>0.0</v>
      </c>
      <c r="D62" s="13">
        <v>45.0</v>
      </c>
      <c r="E62" s="13">
        <v>12.0</v>
      </c>
      <c r="F62" s="13">
        <v>12.0</v>
      </c>
      <c r="G62" s="13">
        <v>0.0</v>
      </c>
      <c r="H62" s="13">
        <v>1.0</v>
      </c>
      <c r="I62" s="13">
        <v>1.0</v>
      </c>
      <c r="J62" s="13">
        <v>33.0</v>
      </c>
      <c r="K62" s="13">
        <v>403.0</v>
      </c>
      <c r="L62" s="13">
        <v>142.0</v>
      </c>
      <c r="M62" s="13">
        <v>1.0</v>
      </c>
      <c r="N62" s="13">
        <v>247.0</v>
      </c>
      <c r="O62" s="13">
        <v>12.0</v>
      </c>
    </row>
    <row r="63" spans="1:37">
      <c r="A63" s="9" t="s">
        <v>50</v>
      </c>
      <c r="B63" s="10">
        <f>SUM(B49:B62)</f>
        <v>199</v>
      </c>
      <c r="C63" s="10">
        <f>SUM(C49:C62)</f>
        <v>0</v>
      </c>
      <c r="D63" s="10">
        <f>SUM(D49:D62)</f>
        <v>69</v>
      </c>
      <c r="E63" s="10">
        <f>SUM(E49:E62)</f>
        <v>52</v>
      </c>
      <c r="F63" s="10">
        <f>SUM(F49:F62)</f>
        <v>33</v>
      </c>
      <c r="G63" s="10">
        <f>SUM(G49:G62)</f>
        <v>0</v>
      </c>
      <c r="H63" s="10">
        <f>SUM(H49:H62)</f>
        <v>1</v>
      </c>
      <c r="I63" s="10">
        <f>SUM(I49:I62)</f>
        <v>4</v>
      </c>
      <c r="J63" s="10">
        <f>SUM(J49:J62)</f>
        <v>40</v>
      </c>
      <c r="K63" s="10">
        <f>SUM(K49:K62)</f>
        <v>764</v>
      </c>
      <c r="L63" s="10">
        <f>SUM(L49:L62)</f>
        <v>287</v>
      </c>
      <c r="M63" s="10">
        <f>SUM(M49:M62)</f>
        <v>1</v>
      </c>
      <c r="N63" s="10">
        <f>SUM(N49:N62)</f>
        <v>578</v>
      </c>
      <c r="O63" s="10">
        <f>SUM(O49:O62)</f>
        <v>56</v>
      </c>
    </row>
    <row r="65" spans="1:37">
      <c r="A65" s="1" t="s">
        <v>82</v>
      </c>
    </row>
    <row r="66" spans="1:37">
      <c r="B66" s="16" t="s">
        <v>83</v>
      </c>
      <c r="H66" s="16" t="s">
        <v>84</v>
      </c>
    </row>
    <row r="67" spans="1:37">
      <c r="A67" s="3" t="s">
        <v>4</v>
      </c>
      <c r="B67" s="4" t="s">
        <v>85</v>
      </c>
      <c r="C67" s="4" t="s">
        <v>86</v>
      </c>
      <c r="D67" s="4" t="s">
        <v>87</v>
      </c>
      <c r="E67" s="4" t="s">
        <v>88</v>
      </c>
      <c r="F67" s="4" t="s">
        <v>89</v>
      </c>
      <c r="G67" s="4" t="s">
        <v>90</v>
      </c>
      <c r="H67" s="4" t="s">
        <v>85</v>
      </c>
      <c r="I67" s="4" t="s">
        <v>87</v>
      </c>
      <c r="J67" s="4" t="s">
        <v>89</v>
      </c>
    </row>
    <row r="68" spans="1:37">
      <c r="A68" s="2" t="s">
        <v>110</v>
      </c>
      <c r="B68" s="13">
        <v>6.0</v>
      </c>
      <c r="C68" s="13">
        <v>0.0</v>
      </c>
      <c r="D68" s="13">
        <v>0.0</v>
      </c>
      <c r="E68" s="13">
        <v>3.0</v>
      </c>
      <c r="F68" s="13">
        <v>4.0</v>
      </c>
      <c r="G68" s="13">
        <v>0.0</v>
      </c>
      <c r="H68" s="13">
        <v>2.0</v>
      </c>
      <c r="I68" s="13">
        <v>0.0</v>
      </c>
      <c r="J68" s="13">
        <v>2.0</v>
      </c>
    </row>
    <row r="69" spans="1:37">
      <c r="A69" s="2" t="s">
        <v>111</v>
      </c>
      <c r="B69" s="13">
        <v>1.0</v>
      </c>
      <c r="C69" s="13">
        <v>0.0</v>
      </c>
      <c r="D69" s="13">
        <v>0.0</v>
      </c>
      <c r="E69" s="13">
        <v>0.0</v>
      </c>
      <c r="F69" s="13">
        <v>1.0</v>
      </c>
      <c r="G69" s="13">
        <v>0.0</v>
      </c>
      <c r="H69" s="13">
        <v>1.0</v>
      </c>
      <c r="I69" s="13">
        <v>0.0</v>
      </c>
      <c r="J69" s="13">
        <v>1.0</v>
      </c>
    </row>
    <row r="70" spans="1:37">
      <c r="A70" s="2" t="s">
        <v>112</v>
      </c>
      <c r="B70" s="13">
        <v>1.0</v>
      </c>
      <c r="C70" s="13">
        <v>0.0</v>
      </c>
      <c r="D70" s="13">
        <v>0.0</v>
      </c>
      <c r="E70" s="13">
        <v>0.0</v>
      </c>
      <c r="F70" s="13">
        <v>0.0</v>
      </c>
      <c r="G70" s="13">
        <v>0.0</v>
      </c>
      <c r="H70" s="13">
        <v>0.0</v>
      </c>
      <c r="I70" s="13">
        <v>0.0</v>
      </c>
      <c r="J70" s="13">
        <v>0.0</v>
      </c>
    </row>
    <row r="71" spans="1:37">
      <c r="A71" s="2" t="s">
        <v>113</v>
      </c>
      <c r="B71" s="13">
        <v>1.0</v>
      </c>
      <c r="C71" s="13">
        <v>0.0</v>
      </c>
      <c r="D71" s="13">
        <v>0.0</v>
      </c>
      <c r="E71" s="13">
        <v>0.0</v>
      </c>
      <c r="F71" s="13">
        <v>0.0</v>
      </c>
      <c r="G71" s="13">
        <v>0.0</v>
      </c>
      <c r="H71" s="13">
        <v>0.0</v>
      </c>
      <c r="I71" s="13">
        <v>0.0</v>
      </c>
      <c r="J71" s="13">
        <v>0.0</v>
      </c>
    </row>
    <row r="72" spans="1:37">
      <c r="A72" s="2" t="s">
        <v>114</v>
      </c>
      <c r="B72" s="13">
        <v>2.0</v>
      </c>
      <c r="C72" s="13">
        <v>0.0</v>
      </c>
      <c r="D72" s="13">
        <v>0.0</v>
      </c>
      <c r="E72" s="13">
        <v>0.0</v>
      </c>
      <c r="F72" s="13">
        <v>1.0</v>
      </c>
      <c r="G72" s="13">
        <v>0.0</v>
      </c>
      <c r="H72" s="13">
        <v>1.0</v>
      </c>
      <c r="I72" s="13">
        <v>0.0</v>
      </c>
      <c r="J72" s="13">
        <v>1.0</v>
      </c>
    </row>
    <row r="73" spans="1:37">
      <c r="A73" s="2" t="s">
        <v>115</v>
      </c>
      <c r="B73" s="13">
        <v>2.0</v>
      </c>
      <c r="C73" s="13">
        <v>0.0</v>
      </c>
      <c r="D73" s="13">
        <v>0.0</v>
      </c>
      <c r="E73" s="13">
        <v>0.0</v>
      </c>
      <c r="F73" s="13">
        <v>3.0</v>
      </c>
      <c r="G73" s="13">
        <v>0.0</v>
      </c>
      <c r="H73" s="13">
        <v>2.0</v>
      </c>
      <c r="I73" s="13">
        <v>0.0</v>
      </c>
      <c r="J73" s="13">
        <v>2.0</v>
      </c>
    </row>
    <row r="74" spans="1:37">
      <c r="A74" s="2" t="s">
        <v>116</v>
      </c>
      <c r="B74" s="13">
        <v>4.0</v>
      </c>
      <c r="C74" s="13">
        <v>0.0</v>
      </c>
      <c r="D74" s="13">
        <v>0.0</v>
      </c>
      <c r="E74" s="13">
        <v>2.0</v>
      </c>
      <c r="F74" s="13">
        <v>2.0</v>
      </c>
      <c r="G74" s="13">
        <v>0.0</v>
      </c>
      <c r="H74" s="13">
        <v>3.0</v>
      </c>
      <c r="I74" s="13">
        <v>0.0</v>
      </c>
      <c r="J74" s="13">
        <v>3.0</v>
      </c>
    </row>
    <row r="75" spans="1:37">
      <c r="A75" s="2" t="s">
        <v>117</v>
      </c>
      <c r="B75" s="13">
        <v>4.0</v>
      </c>
      <c r="C75" s="13">
        <v>0.0</v>
      </c>
      <c r="D75" s="13">
        <v>0.0</v>
      </c>
      <c r="E75" s="13">
        <v>2.0</v>
      </c>
      <c r="F75" s="13">
        <v>2.0</v>
      </c>
      <c r="G75" s="13">
        <v>0.0</v>
      </c>
      <c r="H75" s="13">
        <v>2.0</v>
      </c>
      <c r="I75" s="13">
        <v>0.0</v>
      </c>
      <c r="J75" s="13">
        <v>2.0</v>
      </c>
    </row>
    <row r="76" spans="1:37">
      <c r="A76" s="2" t="s">
        <v>120</v>
      </c>
      <c r="B76" s="13">
        <v>1.0</v>
      </c>
      <c r="C76" s="13">
        <v>0.0</v>
      </c>
      <c r="D76" s="13">
        <v>0.0</v>
      </c>
      <c r="E76" s="13">
        <v>0.0</v>
      </c>
      <c r="F76" s="13">
        <v>0.0</v>
      </c>
      <c r="G76" s="13">
        <v>0.0</v>
      </c>
      <c r="H76" s="13">
        <v>0.0</v>
      </c>
      <c r="I76" s="13">
        <v>0.0</v>
      </c>
      <c r="J76" s="13">
        <v>0.0</v>
      </c>
    </row>
    <row r="77" spans="1:37">
      <c r="A77" s="2" t="s">
        <v>123</v>
      </c>
      <c r="B77" s="13">
        <v>1.0</v>
      </c>
      <c r="C77" s="13">
        <v>0.0</v>
      </c>
      <c r="D77" s="13">
        <v>0.0</v>
      </c>
      <c r="E77" s="13">
        <v>0.0</v>
      </c>
      <c r="F77" s="13">
        <v>0.0</v>
      </c>
      <c r="G77" s="13">
        <v>0.0</v>
      </c>
      <c r="H77" s="13">
        <v>1.0</v>
      </c>
      <c r="I77" s="13">
        <v>0.0</v>
      </c>
      <c r="J77" s="13">
        <v>1.0</v>
      </c>
    </row>
    <row r="78" spans="1:37">
      <c r="A78" s="2" t="s">
        <v>81</v>
      </c>
      <c r="B78" s="13">
        <v>1.0</v>
      </c>
      <c r="C78" s="13">
        <v>0.0</v>
      </c>
      <c r="D78" s="13">
        <v>1.0</v>
      </c>
      <c r="E78" s="13">
        <v>0.0</v>
      </c>
      <c r="F78" s="13">
        <v>0.0</v>
      </c>
      <c r="G78" s="13">
        <v>0.0</v>
      </c>
      <c r="H78" s="13">
        <v>0.0</v>
      </c>
      <c r="I78" s="13">
        <v>0.0</v>
      </c>
      <c r="J78" s="13">
        <v>0.0</v>
      </c>
    </row>
    <row r="79" spans="1:37">
      <c r="A79" s="9" t="s">
        <v>50</v>
      </c>
      <c r="B79" s="10">
        <f>SUM(B68:B78)</f>
        <v>24</v>
      </c>
      <c r="C79" s="10">
        <f>SUM(C68:C78)</f>
        <v>0</v>
      </c>
      <c r="D79" s="10">
        <f>SUM(D68:D78)</f>
        <v>1</v>
      </c>
      <c r="E79" s="10">
        <f>SUM(E68:E78)</f>
        <v>7</v>
      </c>
      <c r="F79" s="10">
        <f>SUM(F68:F78)</f>
        <v>13</v>
      </c>
      <c r="G79" s="10">
        <f>SUM(G68:G78)</f>
        <v>0</v>
      </c>
      <c r="H79" s="10">
        <f>SUM(H68:H78)</f>
        <v>12</v>
      </c>
      <c r="I79" s="10">
        <f>SUM(I68:I78)</f>
        <v>0</v>
      </c>
      <c r="J79" s="10">
        <f>SUM(J68:J78)</f>
        <v>12</v>
      </c>
    </row>
    <row r="81" spans="1:37">
      <c r="A81" s="1" t="s">
        <v>91</v>
      </c>
    </row>
    <row r="82" spans="1:37">
      <c r="A82" s="3" t="s">
        <v>92</v>
      </c>
      <c r="B82" s="4" t="s">
        <v>19</v>
      </c>
      <c r="C82" s="4" t="s">
        <v>20</v>
      </c>
      <c r="D82" s="4" t="s">
        <v>93</v>
      </c>
      <c r="E82" s="7" t="s">
        <v>95</v>
      </c>
      <c r="V82" s="8" t="s">
        <v>94</v>
      </c>
    </row>
    <row r="83" spans="1:37">
      <c r="A83" s="2" t="s">
        <v>96</v>
      </c>
      <c r="B83" s="13">
        <v>9.0</v>
      </c>
      <c r="C83" s="13">
        <v>2.0</v>
      </c>
      <c r="D83" s="13">
        <f>B83 + C83</f>
        <v>11</v>
      </c>
      <c r="E83" s="15">
        <f>IF(0 = V83, 0, D83 / V83)</f>
        <v>0.37931034482759</v>
      </c>
      <c r="V83" s="13">
        <v>29.0</v>
      </c>
    </row>
    <row r="84" spans="1:37">
      <c r="A84" s="2" t="s">
        <v>97</v>
      </c>
      <c r="B84" s="13">
        <v>8.0</v>
      </c>
      <c r="C84" s="13">
        <v>10.0</v>
      </c>
      <c r="D84" s="13">
        <f>B84 + C84</f>
        <v>18</v>
      </c>
      <c r="E84" s="15">
        <f>IF(0 = V84, 0, D84 / V84)</f>
        <v>0.62068965517241</v>
      </c>
      <c r="V84" s="13">
        <v>29.0</v>
      </c>
    </row>
    <row r="85" spans="1:37">
      <c r="A85" s="9" t="s">
        <v>50</v>
      </c>
      <c r="B85" s="10">
        <f>SUM(B83:B84)</f>
        <v>17</v>
      </c>
      <c r="C85" s="10">
        <f>SUM(C83:C84)</f>
        <v>12</v>
      </c>
      <c r="D85" s="10">
        <f>SUM(D83:D84)</f>
        <v>29</v>
      </c>
    </row>
  </sheetData>
  <mergeCells>
    <mergeCell ref="A47:B47"/>
    <mergeCell ref="C47:J47"/>
    <mergeCell ref="K47:N47"/>
    <mergeCell ref="O47:O47"/>
    <mergeCell ref="A66:A66"/>
    <mergeCell ref="B66:G66"/>
    <mergeCell ref="H66:J66"/>
  </mergeCells>
  <printOptions gridLines="false" gridLinesSet="true" horizontalCentered="true"/>
  <pageMargins left="0.5" right="0.5" top="0.5" bottom="0.5" header="0.25" footer="0.25"/>
  <pageSetup paperSize="1" orientation="landscape" scale="100" fitToHeight="0" fitToWidth="1" pageOrder="downThenOver"/>
  <headerFooter differentOddEven="false" differentFirst="false" scaleWithDoc="true" alignWithMargins="true">
    <oddHeader>&amp;L 02 - RISE - Box Score</oddHeader>
    <oddFooter>&amp;L Page &amp;P of &amp;N &amp;R &amp;I Box Score 4.0 generated04/30/2026 at 11:35am EDT&amp;I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K85"/>
  <sheetViews>
    <sheetView tabSelected="0" workbookViewId="0" showGridLines="true" showRowColHeaders="1">
      <selection activeCell="E83" sqref="E83:E84"/>
    </sheetView>
  </sheetViews>
  <sheetFormatPr defaultRowHeight="14.4" outlineLevelRow="0" outlineLevelCol="0"/>
  <cols>
    <col min="1" max="1" width="22.142857142857" customWidth="true" style="0"/>
    <col min="2" max="2" width="22.142857142857" customWidth="true" style="0"/>
    <col min="3" max="3" width="22.142857142857" customWidth="true" style="0"/>
    <col min="4" max="4" width="22.142857142857" customWidth="true" style="0"/>
    <col min="5" max="5" width="22.142857142857" customWidth="true" style="0"/>
    <col min="6" max="6" width="20.714285714286" customWidth="true" style="0"/>
    <col min="7" max="7" width="20.714285714286" customWidth="true" style="0"/>
    <col min="8" max="8" width="21" customWidth="true" style="0"/>
    <col min="9" max="9" width="21.428571428571" customWidth="true" style="0"/>
    <col min="10" max="10" width="20.714285714286" customWidth="true" style="0"/>
    <col min="11" max="11" width="18.571428571429" customWidth="true" style="0"/>
    <col min="12" max="12" width="18.571428571429" customWidth="true" style="0"/>
    <col min="13" max="13" width="18.571428571429" customWidth="true" style="0"/>
    <col min="14" max="14" width="18.571428571429" customWidth="true" style="0"/>
    <col min="15" max="15" width="18.142857142857" customWidth="true" style="0"/>
    <col min="16" max="16" width="22.857142857143" customWidth="true" style="0"/>
    <col min="17" max="17" width="23.571428571429" customWidth="true" style="0"/>
    <col min="18" max="18" width="23.571428571429" customWidth="true" style="0"/>
    <col min="19" max="19" width="23.571428571429" customWidth="true" style="0"/>
    <col min="20" max="20" width="23.571428571429" customWidth="true" style="0"/>
    <col min="22" max="22" width="14.428571428571" hidden="true" customWidth="true" style="0"/>
    <col min="23" max="23" width="17.428571428571" hidden="true" customWidth="true" style="0"/>
    <col min="24" max="24" width="17.428571428571" hidden="true" customWidth="true" style="0"/>
    <col min="25" max="25" width="17.428571428571" hidden="true" customWidth="true" style="0"/>
    <col min="26" max="26" width="17.428571428571" hidden="true" customWidth="true" style="0"/>
    <col min="27" max="27" width="17.428571428571" hidden="true" customWidth="true" style="0"/>
    <col min="28" max="28" width="17.428571428571" hidden="true" customWidth="true" style="0"/>
    <col min="29" max="29" width="17.428571428571" hidden="true" customWidth="true" style="0"/>
    <col min="30" max="30" width="17.428571428571" hidden="true" customWidth="true" style="0"/>
    <col min="31" max="31" width="17.428571428571" hidden="true" customWidth="true" style="0"/>
    <col min="32" max="32" width="17.428571428571" hidden="true" customWidth="true" style="0"/>
    <col min="33" max="33" width="17.428571428571" hidden="true" customWidth="true" style="0"/>
    <col min="34" max="34" width="17.428571428571" hidden="true" customWidth="true" style="0"/>
    <col min="35" max="35" width="17.428571428571" hidden="true" customWidth="true" style="0"/>
    <col min="36" max="36" width="17.428571428571" hidden="true" customWidth="true" style="0"/>
    <col min="37" max="37" width="17.428571428571" hidden="true" customWidth="true" style="0"/>
  </cols>
  <sheetData>
    <row r="2" spans="1:37">
      <c r="A2" s="1" t="s">
        <v>0</v>
      </c>
    </row>
    <row r="3" spans="1:37">
      <c r="A3" s="2" t="s">
        <v>126</v>
      </c>
    </row>
    <row r="4" spans="1:37">
      <c r="A4" s="2" t="s">
        <v>2</v>
      </c>
    </row>
    <row r="6" spans="1:37">
      <c r="A6" s="1" t="s">
        <v>3</v>
      </c>
    </row>
    <row r="7" spans="1:37">
      <c r="A7" s="3" t="s">
        <v>4</v>
      </c>
      <c r="B7" s="4" t="s">
        <v>5</v>
      </c>
      <c r="C7" s="5" t="s">
        <v>6</v>
      </c>
      <c r="D7" s="5" t="s">
        <v>8</v>
      </c>
      <c r="E7" s="5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7" t="s">
        <v>13</v>
      </c>
      <c r="R7" s="7" t="s">
        <v>21</v>
      </c>
      <c r="S7" s="7" t="s">
        <v>22</v>
      </c>
      <c r="T7" s="7" t="s">
        <v>23</v>
      </c>
      <c r="V7" s="6" t="s">
        <v>7</v>
      </c>
      <c r="W7" s="8" t="s">
        <v>24</v>
      </c>
      <c r="X7" s="8" t="s">
        <v>25</v>
      </c>
      <c r="Y7" s="8" t="s">
        <v>26</v>
      </c>
      <c r="Z7" s="8" t="s">
        <v>27</v>
      </c>
      <c r="AA7" s="8" t="s">
        <v>28</v>
      </c>
      <c r="AB7" s="8" t="s">
        <v>29</v>
      </c>
      <c r="AC7" s="8" t="s">
        <v>30</v>
      </c>
      <c r="AD7" s="8" t="s">
        <v>31</v>
      </c>
      <c r="AE7" s="8" t="s">
        <v>32</v>
      </c>
      <c r="AF7" s="8" t="s">
        <v>33</v>
      </c>
      <c r="AG7" s="8" t="s">
        <v>34</v>
      </c>
      <c r="AH7" s="8" t="s">
        <v>35</v>
      </c>
      <c r="AI7" s="8" t="s">
        <v>36</v>
      </c>
      <c r="AJ7" s="8" t="s">
        <v>37</v>
      </c>
      <c r="AK7" s="8" t="s">
        <v>38</v>
      </c>
    </row>
    <row r="8" spans="1:37">
      <c r="A8" s="2" t="s">
        <v>110</v>
      </c>
      <c r="B8" s="13">
        <f>IF(H8 = 0, "--", W8 / H8)</f>
        <v>777</v>
      </c>
      <c r="C8" s="14">
        <f>IF(H8 = 0, 0, Z8 / H8)</f>
        <v>1577.7619047619</v>
      </c>
      <c r="D8" s="14">
        <f>IF(I8 = 0, 0, AA8 / I8)</f>
        <v>1543.3797468354</v>
      </c>
      <c r="E8" s="14">
        <f>IF(I8 = 0, 0, AD8 / I8)</f>
        <v>1305.309046673</v>
      </c>
      <c r="F8" s="13">
        <f>H8 + G8</f>
        <v>105</v>
      </c>
      <c r="G8" s="13">
        <v>0.0</v>
      </c>
      <c r="H8" s="13">
        <v>105.0</v>
      </c>
      <c r="I8" s="13">
        <f>L8 + N8 + M8</f>
        <v>79</v>
      </c>
      <c r="J8" s="13">
        <f>O8 + P8</f>
        <v>26</v>
      </c>
      <c r="K8" s="13">
        <v>24.0</v>
      </c>
      <c r="L8" s="13">
        <v>73.0</v>
      </c>
      <c r="M8" s="13">
        <v>0.0</v>
      </c>
      <c r="N8" s="13">
        <v>6.0</v>
      </c>
      <c r="O8" s="13">
        <f>AE8 + AF8</f>
        <v>8</v>
      </c>
      <c r="P8" s="13">
        <f>AG8 + AH8</f>
        <v>18</v>
      </c>
      <c r="Q8" s="15">
        <f>IF(H8 = 0, "--", I8 / H8)</f>
        <v>0.75238095238095</v>
      </c>
      <c r="R8" s="15">
        <f>IF(H8 = 0, "--", AI8 / H8)</f>
        <v>0.82857142857143</v>
      </c>
      <c r="S8" s="15">
        <f>IF(H8 = 0, "--", AK8 / H8)</f>
        <v>0.77142857142857</v>
      </c>
      <c r="T8" s="15">
        <f>IF(H8 = 0, "--", AJ8 / H8)</f>
        <v>0.22857142857143</v>
      </c>
      <c r="V8" s="14">
        <f>IF(H8 = 0, 0, X8 / H8)</f>
        <v>1545.7428571429</v>
      </c>
      <c r="W8" s="13">
        <v>81585.0</v>
      </c>
      <c r="X8" s="13">
        <v>162303.0</v>
      </c>
      <c r="Y8" s="13">
        <v>128057.54</v>
      </c>
      <c r="Z8" s="13">
        <v>165665.0</v>
      </c>
      <c r="AA8" s="13">
        <v>121927.0</v>
      </c>
      <c r="AB8" s="13">
        <v>6130.54</v>
      </c>
      <c r="AC8" s="13">
        <v>103721.74200916</v>
      </c>
      <c r="AD8" s="13">
        <v>103119.41468717</v>
      </c>
      <c r="AE8" s="13">
        <v>8.0</v>
      </c>
      <c r="AF8" s="13">
        <v>0.0</v>
      </c>
      <c r="AG8" s="13">
        <v>15.0</v>
      </c>
      <c r="AH8" s="13">
        <v>3.0</v>
      </c>
      <c r="AI8" s="13">
        <f>L8 + M8 + O8 + N8</f>
        <v>87</v>
      </c>
      <c r="AJ8" s="13">
        <f>P8 + N8</f>
        <v>24</v>
      </c>
      <c r="AK8" s="13">
        <f>L8 + M8 + O8</f>
        <v>81</v>
      </c>
    </row>
    <row r="9" spans="1:37">
      <c r="A9" s="2" t="s">
        <v>111</v>
      </c>
      <c r="B9" s="13">
        <f>IF(H9 = 0, "--", W9 / H9)</f>
        <v>776</v>
      </c>
      <c r="C9" s="14">
        <f>IF(H9 = 0, 0, Z9 / H9)</f>
        <v>1591.2272727273</v>
      </c>
      <c r="D9" s="14">
        <f>IF(I9 = 0, 0, AA9 / I9)</f>
        <v>1566.2</v>
      </c>
      <c r="E9" s="14">
        <f>IF(I9 = 0, 0, AD9 / I9)</f>
        <v>1327.6808657306</v>
      </c>
      <c r="F9" s="13">
        <f>H9 + G9</f>
        <v>22</v>
      </c>
      <c r="G9" s="13">
        <v>0.0</v>
      </c>
      <c r="H9" s="13">
        <v>22.0</v>
      </c>
      <c r="I9" s="13">
        <f>L9 + N9 + M9</f>
        <v>15</v>
      </c>
      <c r="J9" s="13">
        <f>O9 + P9</f>
        <v>7</v>
      </c>
      <c r="K9" s="13">
        <v>8.0</v>
      </c>
      <c r="L9" s="13">
        <v>14.0</v>
      </c>
      <c r="M9" s="13">
        <v>0.0</v>
      </c>
      <c r="N9" s="13">
        <v>1.0</v>
      </c>
      <c r="O9" s="13">
        <f>AE9 + AF9</f>
        <v>0</v>
      </c>
      <c r="P9" s="13">
        <f>AG9 + AH9</f>
        <v>7</v>
      </c>
      <c r="Q9" s="15">
        <f>IF(H9 = 0, "--", I9 / H9)</f>
        <v>0.68181818181818</v>
      </c>
      <c r="R9" s="15">
        <f>IF(H9 = 0, "--", AI9 / H9)</f>
        <v>0.68181818181818</v>
      </c>
      <c r="S9" s="15">
        <f>IF(H9 = 0, "--", AK9 / H9)</f>
        <v>0.63636363636364</v>
      </c>
      <c r="T9" s="15">
        <f>IF(H9 = 0, "--", AJ9 / H9)</f>
        <v>0.36363636363636</v>
      </c>
      <c r="V9" s="14">
        <f>IF(H9 = 0, 0, X9 / H9)</f>
        <v>1599.7727272727</v>
      </c>
      <c r="W9" s="13">
        <v>17072.0</v>
      </c>
      <c r="X9" s="13">
        <v>35195.0</v>
      </c>
      <c r="Y9" s="13">
        <v>24927.79</v>
      </c>
      <c r="Z9" s="13">
        <v>35007.0</v>
      </c>
      <c r="AA9" s="13">
        <v>23493.0</v>
      </c>
      <c r="AB9" s="13">
        <v>1434.79</v>
      </c>
      <c r="AC9" s="13">
        <v>20012.81717033</v>
      </c>
      <c r="AD9" s="13">
        <v>19915.212985958</v>
      </c>
      <c r="AE9" s="13">
        <v>0.0</v>
      </c>
      <c r="AF9" s="13">
        <v>0.0</v>
      </c>
      <c r="AG9" s="13">
        <v>5.0</v>
      </c>
      <c r="AH9" s="13">
        <v>2.0</v>
      </c>
      <c r="AI9" s="13">
        <f>L9 + M9 + O9 + N9</f>
        <v>15</v>
      </c>
      <c r="AJ9" s="13">
        <f>P9 + N9</f>
        <v>8</v>
      </c>
      <c r="AK9" s="13">
        <f>L9 + M9 + O9</f>
        <v>14</v>
      </c>
    </row>
    <row r="10" spans="1:37">
      <c r="A10" s="2" t="s">
        <v>112</v>
      </c>
      <c r="B10" s="13">
        <f>IF(H10 = 0, "--", W10 / H10)</f>
        <v>760</v>
      </c>
      <c r="C10" s="14">
        <f>IF(H10 = 0, 0, Z10 / H10)</f>
        <v>1589.25</v>
      </c>
      <c r="D10" s="14">
        <f>IF(I10 = 0, 0, AA10 / I10)</f>
        <v>1532.7142857143</v>
      </c>
      <c r="E10" s="14">
        <f>IF(I10 = 0, 0, AD10 / I10)</f>
        <v>1302.2972823129</v>
      </c>
      <c r="F10" s="13">
        <f>H10 + G10</f>
        <v>20</v>
      </c>
      <c r="G10" s="13">
        <v>0.0</v>
      </c>
      <c r="H10" s="13">
        <v>20.0</v>
      </c>
      <c r="I10" s="13">
        <f>L10 + N10 + M10</f>
        <v>7</v>
      </c>
      <c r="J10" s="13">
        <f>O10 + P10</f>
        <v>13</v>
      </c>
      <c r="K10" s="13">
        <v>9.0</v>
      </c>
      <c r="L10" s="13">
        <v>6.0</v>
      </c>
      <c r="M10" s="13">
        <v>0.0</v>
      </c>
      <c r="N10" s="13">
        <v>1.0</v>
      </c>
      <c r="O10" s="13">
        <f>AE10 + AF10</f>
        <v>5</v>
      </c>
      <c r="P10" s="13">
        <f>AG10 + AH10</f>
        <v>8</v>
      </c>
      <c r="Q10" s="15">
        <f>IF(H10 = 0, "--", I10 / H10)</f>
        <v>0.35</v>
      </c>
      <c r="R10" s="15">
        <f>IF(H10 = 0, "--", AI10 / H10)</f>
        <v>0.6</v>
      </c>
      <c r="S10" s="15">
        <f>IF(H10 = 0, "--", AK10 / H10)</f>
        <v>0.55</v>
      </c>
      <c r="T10" s="15">
        <f>IF(H10 = 0, "--", AJ10 / H10)</f>
        <v>0.45</v>
      </c>
      <c r="V10" s="14">
        <f>IF(H10 = 0, 0, X10 / H10)</f>
        <v>1476.8</v>
      </c>
      <c r="W10" s="13">
        <v>15200.0</v>
      </c>
      <c r="X10" s="13">
        <v>29536.0</v>
      </c>
      <c r="Y10" s="13">
        <v>11384.1</v>
      </c>
      <c r="Z10" s="13">
        <v>31785.0</v>
      </c>
      <c r="AA10" s="13">
        <v>10729.0</v>
      </c>
      <c r="AB10" s="13">
        <v>655.1</v>
      </c>
      <c r="AC10" s="13">
        <v>9262.9744761905</v>
      </c>
      <c r="AD10" s="13">
        <v>9116.0809761905</v>
      </c>
      <c r="AE10" s="13">
        <v>5.0</v>
      </c>
      <c r="AF10" s="13">
        <v>0.0</v>
      </c>
      <c r="AG10" s="13">
        <v>8.0</v>
      </c>
      <c r="AH10" s="13">
        <v>0.0</v>
      </c>
      <c r="AI10" s="13">
        <f>L10 + M10 + O10 + N10</f>
        <v>12</v>
      </c>
      <c r="AJ10" s="13">
        <f>P10 + N10</f>
        <v>9</v>
      </c>
      <c r="AK10" s="13">
        <f>L10 + M10 + O10</f>
        <v>11</v>
      </c>
    </row>
    <row r="11" spans="1:37">
      <c r="A11" s="2" t="s">
        <v>113</v>
      </c>
      <c r="B11" s="13">
        <f>IF(H11 = 0, "--", W11 / H11)</f>
        <v>900</v>
      </c>
      <c r="C11" s="14">
        <f>IF(H11 = 0, 0, Z11 / H11)</f>
        <v>1681.25</v>
      </c>
      <c r="D11" s="14">
        <f>IF(I11 = 0, 0, AA11 / I11)</f>
        <v>1686.8571428571</v>
      </c>
      <c r="E11" s="14">
        <f>IF(I11 = 0, 0, AD11 / I11)</f>
        <v>1443.8370136054</v>
      </c>
      <c r="F11" s="13">
        <f>H11 + G11</f>
        <v>8</v>
      </c>
      <c r="G11" s="13">
        <v>0.0</v>
      </c>
      <c r="H11" s="13">
        <v>8.0</v>
      </c>
      <c r="I11" s="13">
        <f>L11 + N11 + M11</f>
        <v>7</v>
      </c>
      <c r="J11" s="13">
        <f>O11 + P11</f>
        <v>1</v>
      </c>
      <c r="K11" s="13">
        <v>0.0</v>
      </c>
      <c r="L11" s="13">
        <v>7.0</v>
      </c>
      <c r="M11" s="13">
        <v>0.0</v>
      </c>
      <c r="N11" s="13">
        <v>0.0</v>
      </c>
      <c r="O11" s="13">
        <f>AE11 + AF11</f>
        <v>1</v>
      </c>
      <c r="P11" s="13">
        <f>AG11 + AH11</f>
        <v>0</v>
      </c>
      <c r="Q11" s="15">
        <f>IF(H11 = 0, "--", I11 / H11)</f>
        <v>0.875</v>
      </c>
      <c r="R11" s="15">
        <f>IF(H11 = 0, "--", AI11 / H11)</f>
        <v>1</v>
      </c>
      <c r="S11" s="15">
        <f>IF(H11 = 0, "--", AK11 / H11)</f>
        <v>1</v>
      </c>
      <c r="T11" s="15">
        <f>IF(H11 = 0, "--", AJ11 / H11)</f>
        <v>0</v>
      </c>
      <c r="V11" s="14">
        <f>IF(H11 = 0, 0, X11 / H11)</f>
        <v>1680</v>
      </c>
      <c r="W11" s="13">
        <v>7200.0</v>
      </c>
      <c r="X11" s="13">
        <v>13440.0</v>
      </c>
      <c r="Y11" s="13">
        <v>12452.58</v>
      </c>
      <c r="Z11" s="13">
        <v>13450.0</v>
      </c>
      <c r="AA11" s="13">
        <v>11808.0</v>
      </c>
      <c r="AB11" s="13">
        <v>644.58</v>
      </c>
      <c r="AC11" s="13">
        <v>10035.261380952</v>
      </c>
      <c r="AD11" s="13">
        <v>10106.859095238</v>
      </c>
      <c r="AE11" s="13">
        <v>1.0</v>
      </c>
      <c r="AF11" s="13">
        <v>0.0</v>
      </c>
      <c r="AG11" s="13">
        <v>0.0</v>
      </c>
      <c r="AH11" s="13">
        <v>0.0</v>
      </c>
      <c r="AI11" s="13">
        <f>L11 + M11 + O11 + N11</f>
        <v>8</v>
      </c>
      <c r="AJ11" s="13">
        <f>P11 + N11</f>
        <v>0</v>
      </c>
      <c r="AK11" s="13">
        <f>L11 + M11 + O11</f>
        <v>8</v>
      </c>
    </row>
    <row r="12" spans="1:37">
      <c r="A12" s="2" t="s">
        <v>115</v>
      </c>
      <c r="B12" s="13">
        <f>IF(H12 = 0, "--", W12 / H12)</f>
        <v>1059</v>
      </c>
      <c r="C12" s="14">
        <f>IF(H12 = 0, 0, Z12 / H12)</f>
        <v>1860.6363636364</v>
      </c>
      <c r="D12" s="14">
        <f>IF(I12 = 0, 0, AA12 / I12)</f>
        <v>1806.1764705882</v>
      </c>
      <c r="E12" s="14">
        <f>IF(I12 = 0, 0, AD12 / I12)</f>
        <v>1493.9427997199</v>
      </c>
      <c r="F12" s="13">
        <f>H12 + G12</f>
        <v>33</v>
      </c>
      <c r="G12" s="13">
        <v>0.0</v>
      </c>
      <c r="H12" s="13">
        <v>33.0</v>
      </c>
      <c r="I12" s="13">
        <f>L12 + N12 + M12</f>
        <v>17</v>
      </c>
      <c r="J12" s="13">
        <f>O12 + P12</f>
        <v>16</v>
      </c>
      <c r="K12" s="13">
        <v>5.0</v>
      </c>
      <c r="L12" s="13">
        <v>17.0</v>
      </c>
      <c r="M12" s="13">
        <v>0.0</v>
      </c>
      <c r="N12" s="13">
        <v>0.0</v>
      </c>
      <c r="O12" s="13">
        <f>AE12 + AF12</f>
        <v>11</v>
      </c>
      <c r="P12" s="13">
        <f>AG12 + AH12</f>
        <v>5</v>
      </c>
      <c r="Q12" s="15">
        <f>IF(H12 = 0, "--", I12 / H12)</f>
        <v>0.51515151515152</v>
      </c>
      <c r="R12" s="15">
        <f>IF(H12 = 0, "--", AI12 / H12)</f>
        <v>0.84848484848485</v>
      </c>
      <c r="S12" s="15">
        <f>IF(H12 = 0, "--", AK12 / H12)</f>
        <v>0.84848484848485</v>
      </c>
      <c r="T12" s="15">
        <f>IF(H12 = 0, "--", AJ12 / H12)</f>
        <v>0.15151515151515</v>
      </c>
      <c r="V12" s="14">
        <f>IF(H12 = 0, 0, X12 / H12)</f>
        <v>1710.7575757576</v>
      </c>
      <c r="W12" s="13">
        <v>34947.0</v>
      </c>
      <c r="X12" s="13">
        <v>56455.0</v>
      </c>
      <c r="Y12" s="13">
        <v>32537.2</v>
      </c>
      <c r="Z12" s="13">
        <v>61401.0</v>
      </c>
      <c r="AA12" s="13">
        <v>30705.0</v>
      </c>
      <c r="AB12" s="13">
        <v>1832.2</v>
      </c>
      <c r="AC12" s="13">
        <v>25395.199428571</v>
      </c>
      <c r="AD12" s="13">
        <v>25397.027595238</v>
      </c>
      <c r="AE12" s="13">
        <v>11.0</v>
      </c>
      <c r="AF12" s="13">
        <v>0.0</v>
      </c>
      <c r="AG12" s="13">
        <v>5.0</v>
      </c>
      <c r="AH12" s="13">
        <v>0.0</v>
      </c>
      <c r="AI12" s="13">
        <f>L12 + M12 + O12 + N12</f>
        <v>28</v>
      </c>
      <c r="AJ12" s="13">
        <f>P12 + N12</f>
        <v>5</v>
      </c>
      <c r="AK12" s="13">
        <f>L12 + M12 + O12</f>
        <v>28</v>
      </c>
    </row>
    <row r="13" spans="1:37">
      <c r="A13" s="2" t="s">
        <v>127</v>
      </c>
      <c r="B13" s="13">
        <f>IF(H13 = 0, "--", W13 / H13)</f>
        <v>1107</v>
      </c>
      <c r="C13" s="14">
        <f>IF(H13 = 0, 0, Z13 / H13)</f>
        <v>2230.5</v>
      </c>
      <c r="D13" s="14">
        <f>IF(I13 = 0, 0, AA13 / I13)</f>
        <v>1758</v>
      </c>
      <c r="E13" s="14">
        <f>IF(I13 = 0, 0, AD13 / I13)</f>
        <v>1762.8833333333</v>
      </c>
      <c r="F13" s="13">
        <f>H13 + G13</f>
        <v>2</v>
      </c>
      <c r="G13" s="13">
        <v>0.0</v>
      </c>
      <c r="H13" s="13">
        <v>2.0</v>
      </c>
      <c r="I13" s="13">
        <f>L13 + N13 + M13</f>
        <v>1</v>
      </c>
      <c r="J13" s="13">
        <f>O13 + P13</f>
        <v>1</v>
      </c>
      <c r="K13" s="13">
        <v>1.0</v>
      </c>
      <c r="L13" s="13">
        <v>1.0</v>
      </c>
      <c r="M13" s="13">
        <v>0.0</v>
      </c>
      <c r="N13" s="13">
        <v>0.0</v>
      </c>
      <c r="O13" s="13">
        <f>AE13 + AF13</f>
        <v>0</v>
      </c>
      <c r="P13" s="13">
        <f>AG13 + AH13</f>
        <v>1</v>
      </c>
      <c r="Q13" s="15">
        <f>IF(H13 = 0, "--", I13 / H13)</f>
        <v>0.5</v>
      </c>
      <c r="R13" s="15">
        <f>IF(H13 = 0, "--", AI13 / H13)</f>
        <v>0.5</v>
      </c>
      <c r="S13" s="15">
        <f>IF(H13 = 0, "--", AK13 / H13)</f>
        <v>0.5</v>
      </c>
      <c r="T13" s="15">
        <f>IF(H13 = 0, "--", AJ13 / H13)</f>
        <v>0.5</v>
      </c>
      <c r="V13" s="14">
        <f>IF(H13 = 0, 0, X13 / H13)</f>
        <v>1673.5</v>
      </c>
      <c r="W13" s="13">
        <v>2214.0</v>
      </c>
      <c r="X13" s="13">
        <v>3347.0</v>
      </c>
      <c r="Y13" s="13">
        <v>1920.56</v>
      </c>
      <c r="Z13" s="13">
        <v>4461.0</v>
      </c>
      <c r="AA13" s="13">
        <v>1758.0</v>
      </c>
      <c r="AB13" s="13">
        <v>162.56</v>
      </c>
      <c r="AC13" s="13">
        <v>1758.0</v>
      </c>
      <c r="AD13" s="13">
        <v>1762.8833333333</v>
      </c>
      <c r="AE13" s="13">
        <v>0.0</v>
      </c>
      <c r="AF13" s="13">
        <v>0.0</v>
      </c>
      <c r="AG13" s="13">
        <v>1.0</v>
      </c>
      <c r="AH13" s="13">
        <v>0.0</v>
      </c>
      <c r="AI13" s="13">
        <f>L13 + M13 + O13 + N13</f>
        <v>1</v>
      </c>
      <c r="AJ13" s="13">
        <f>P13 + N13</f>
        <v>1</v>
      </c>
      <c r="AK13" s="13">
        <f>L13 + M13 + O13</f>
        <v>1</v>
      </c>
    </row>
    <row r="14" spans="1:37">
      <c r="A14" s="2" t="s">
        <v>116</v>
      </c>
      <c r="B14" s="13">
        <f>IF(H14 = 0, "--", W14 / H14)</f>
        <v>1098</v>
      </c>
      <c r="C14" s="14">
        <f>IF(H14 = 0, 0, Z14 / H14)</f>
        <v>1904.5263157895</v>
      </c>
      <c r="D14" s="14">
        <f>IF(I14 = 0, 0, AA14 / I14)</f>
        <v>1868.7727272727</v>
      </c>
      <c r="E14" s="14">
        <f>IF(I14 = 0, 0, AD14 / I14)</f>
        <v>1543.8887056277</v>
      </c>
      <c r="F14" s="13">
        <f>H14 + G14</f>
        <v>38</v>
      </c>
      <c r="G14" s="13">
        <v>0.0</v>
      </c>
      <c r="H14" s="13">
        <v>38.0</v>
      </c>
      <c r="I14" s="13">
        <f>L14 + N14 + M14</f>
        <v>22</v>
      </c>
      <c r="J14" s="13">
        <f>O14 + P14</f>
        <v>16</v>
      </c>
      <c r="K14" s="13">
        <v>13.0</v>
      </c>
      <c r="L14" s="13">
        <v>21.0</v>
      </c>
      <c r="M14" s="13">
        <v>0.0</v>
      </c>
      <c r="N14" s="13">
        <v>1.0</v>
      </c>
      <c r="O14" s="13">
        <f>AE14 + AF14</f>
        <v>4</v>
      </c>
      <c r="P14" s="13">
        <f>AG14 + AH14</f>
        <v>12</v>
      </c>
      <c r="Q14" s="15">
        <f>IF(H14 = 0, "--", I14 / H14)</f>
        <v>0.57894736842105</v>
      </c>
      <c r="R14" s="15">
        <f>IF(H14 = 0, "--", AI14 / H14)</f>
        <v>0.68421052631579</v>
      </c>
      <c r="S14" s="15">
        <f>IF(H14 = 0, "--", AK14 / H14)</f>
        <v>0.65789473684211</v>
      </c>
      <c r="T14" s="15">
        <f>IF(H14 = 0, "--", AJ14 / H14)</f>
        <v>0.34210526315789</v>
      </c>
      <c r="V14" s="14">
        <f>IF(H14 = 0, 0, X14 / H14)</f>
        <v>1808.1052631579</v>
      </c>
      <c r="W14" s="13">
        <v>41724.0</v>
      </c>
      <c r="X14" s="13">
        <v>68708.0</v>
      </c>
      <c r="Y14" s="13">
        <v>43409.87</v>
      </c>
      <c r="Z14" s="13">
        <v>72372.0</v>
      </c>
      <c r="AA14" s="13">
        <v>41113.0</v>
      </c>
      <c r="AB14" s="13">
        <v>2296.87</v>
      </c>
      <c r="AC14" s="13">
        <v>34211.412857143</v>
      </c>
      <c r="AD14" s="13">
        <v>33965.55152381</v>
      </c>
      <c r="AE14" s="13">
        <v>4.0</v>
      </c>
      <c r="AF14" s="13">
        <v>0.0</v>
      </c>
      <c r="AG14" s="13">
        <v>10.0</v>
      </c>
      <c r="AH14" s="13">
        <v>2.0</v>
      </c>
      <c r="AI14" s="13">
        <f>L14 + M14 + O14 + N14</f>
        <v>26</v>
      </c>
      <c r="AJ14" s="13">
        <f>P14 + N14</f>
        <v>13</v>
      </c>
      <c r="AK14" s="13">
        <f>L14 + M14 + O14</f>
        <v>25</v>
      </c>
    </row>
    <row r="15" spans="1:37">
      <c r="A15" s="2" t="s">
        <v>128</v>
      </c>
      <c r="B15" s="13">
        <f>IF(H15 = 0, "--", W15 / H15)</f>
        <v>1112</v>
      </c>
      <c r="C15" s="14">
        <f>IF(H15 = 0, 0, Z15 / H15)</f>
        <v>1827.3333333333</v>
      </c>
      <c r="D15" s="14">
        <f>IF(I15 = 0, 0, AA15 / I15)</f>
        <v>1819</v>
      </c>
      <c r="E15" s="14">
        <f>IF(I15 = 0, 0, AD15 / I15)</f>
        <v>1576.4666666667</v>
      </c>
      <c r="F15" s="13">
        <f>H15 + G15</f>
        <v>3</v>
      </c>
      <c r="G15" s="13">
        <v>0.0</v>
      </c>
      <c r="H15" s="13">
        <v>3.0</v>
      </c>
      <c r="I15" s="13">
        <f>L15 + N15 + M15</f>
        <v>1</v>
      </c>
      <c r="J15" s="13">
        <f>O15 + P15</f>
        <v>2</v>
      </c>
      <c r="K15" s="13">
        <v>1.0</v>
      </c>
      <c r="L15" s="13">
        <v>1.0</v>
      </c>
      <c r="M15" s="13">
        <v>0.0</v>
      </c>
      <c r="N15" s="13">
        <v>0.0</v>
      </c>
      <c r="O15" s="13">
        <f>AE15 + AF15</f>
        <v>1</v>
      </c>
      <c r="P15" s="13">
        <f>AG15 + AH15</f>
        <v>1</v>
      </c>
      <c r="Q15" s="15">
        <f>IF(H15 = 0, "--", I15 / H15)</f>
        <v>0.33333333333333</v>
      </c>
      <c r="R15" s="15">
        <f>IF(H15 = 0, "--", AI15 / H15)</f>
        <v>0.66666666666667</v>
      </c>
      <c r="S15" s="15">
        <f>IF(H15 = 0, "--", AK15 / H15)</f>
        <v>0.66666666666667</v>
      </c>
      <c r="T15" s="15">
        <f>IF(H15 = 0, "--", AJ15 / H15)</f>
        <v>0.33333333333333</v>
      </c>
      <c r="V15" s="14">
        <f>IF(H15 = 0, 0, X15 / H15)</f>
        <v>1685.3333333333</v>
      </c>
      <c r="W15" s="13">
        <v>3336.0</v>
      </c>
      <c r="X15" s="13">
        <v>5056.0</v>
      </c>
      <c r="Y15" s="13">
        <v>1568.2</v>
      </c>
      <c r="Z15" s="13">
        <v>5482.0</v>
      </c>
      <c r="AA15" s="13">
        <v>1819.0</v>
      </c>
      <c r="AB15" s="13">
        <v>-250.8</v>
      </c>
      <c r="AC15" s="13">
        <v>1576.4666666667</v>
      </c>
      <c r="AD15" s="13">
        <v>1576.4666666667</v>
      </c>
      <c r="AE15" s="13">
        <v>1.0</v>
      </c>
      <c r="AF15" s="13">
        <v>0.0</v>
      </c>
      <c r="AG15" s="13">
        <v>1.0</v>
      </c>
      <c r="AH15" s="13">
        <v>0.0</v>
      </c>
      <c r="AI15" s="13">
        <f>L15 + M15 + O15 + N15</f>
        <v>2</v>
      </c>
      <c r="AJ15" s="13">
        <f>P15 + N15</f>
        <v>1</v>
      </c>
      <c r="AK15" s="13">
        <f>L15 + M15 + O15</f>
        <v>2</v>
      </c>
    </row>
    <row r="16" spans="1:37">
      <c r="A16" s="2" t="s">
        <v>129</v>
      </c>
      <c r="B16" s="13">
        <f>IF(H16 = 0, "--", W16 / H16)</f>
        <v>1123</v>
      </c>
      <c r="C16" s="14">
        <f>IF(H16 = 0, 0, Z16 / H16)</f>
        <v>1877.3333333333</v>
      </c>
      <c r="D16" s="14">
        <f>IF(I16 = 0, 0, AA16 / I16)</f>
        <v>1869</v>
      </c>
      <c r="E16" s="14">
        <f>IF(I16 = 0, 0, AD16 / I16)</f>
        <v>1510.775</v>
      </c>
      <c r="F16" s="13">
        <f>H16 + G16</f>
        <v>3</v>
      </c>
      <c r="G16" s="13">
        <v>0.0</v>
      </c>
      <c r="H16" s="13">
        <v>3.0</v>
      </c>
      <c r="I16" s="13">
        <f>L16 + N16 + M16</f>
        <v>1</v>
      </c>
      <c r="J16" s="13">
        <f>O16 + P16</f>
        <v>2</v>
      </c>
      <c r="K16" s="13">
        <v>1.0</v>
      </c>
      <c r="L16" s="13">
        <v>0.0</v>
      </c>
      <c r="M16" s="13">
        <v>0.0</v>
      </c>
      <c r="N16" s="13">
        <v>1.0</v>
      </c>
      <c r="O16" s="13">
        <f>AE16 + AF16</f>
        <v>2</v>
      </c>
      <c r="P16" s="13">
        <f>AG16 + AH16</f>
        <v>0</v>
      </c>
      <c r="Q16" s="15">
        <f>IF(H16 = 0, "--", I16 / H16)</f>
        <v>0.33333333333333</v>
      </c>
      <c r="R16" s="15">
        <f>IF(H16 = 0, "--", AI16 / H16)</f>
        <v>1</v>
      </c>
      <c r="S16" s="15">
        <f>IF(H16 = 0, "--", AK16 / H16)</f>
        <v>0.66666666666667</v>
      </c>
      <c r="T16" s="15">
        <f>IF(H16 = 0, "--", AJ16 / H16)</f>
        <v>0.33333333333333</v>
      </c>
      <c r="V16" s="14">
        <f>IF(H16 = 0, 0, X16 / H16)</f>
        <v>1673.3333333333</v>
      </c>
      <c r="W16" s="13">
        <v>3369.0</v>
      </c>
      <c r="X16" s="13">
        <v>5020.0</v>
      </c>
      <c r="Y16" s="13">
        <v>1925.93</v>
      </c>
      <c r="Z16" s="13">
        <v>5632.0</v>
      </c>
      <c r="AA16" s="13">
        <v>1869.0</v>
      </c>
      <c r="AB16" s="13">
        <v>56.93</v>
      </c>
      <c r="AC16" s="13">
        <v>1510.775</v>
      </c>
      <c r="AD16" s="13">
        <v>1510.775</v>
      </c>
      <c r="AE16" s="13">
        <v>2.0</v>
      </c>
      <c r="AF16" s="13">
        <v>0.0</v>
      </c>
      <c r="AG16" s="13">
        <v>0.0</v>
      </c>
      <c r="AH16" s="13">
        <v>0.0</v>
      </c>
      <c r="AI16" s="13">
        <f>L16 + M16 + O16 + N16</f>
        <v>3</v>
      </c>
      <c r="AJ16" s="13">
        <f>P16 + N16</f>
        <v>1</v>
      </c>
      <c r="AK16" s="13">
        <f>L16 + M16 + O16</f>
        <v>2</v>
      </c>
    </row>
    <row r="17" spans="1:37">
      <c r="A17" s="2" t="s">
        <v>117</v>
      </c>
      <c r="B17" s="13">
        <f>IF(H17 = 0, "--", W17 / H17)</f>
        <v>1171</v>
      </c>
      <c r="C17" s="14">
        <f>IF(H17 = 0, 0, Z17 / H17)</f>
        <v>1954.25</v>
      </c>
      <c r="D17" s="14">
        <f>IF(I17 = 0, 0, AA17 / I17)</f>
        <v>1910.8571428571</v>
      </c>
      <c r="E17" s="14">
        <f>IF(I17 = 0, 0, AD17 / I17)</f>
        <v>1593.3530204082</v>
      </c>
      <c r="F17" s="13">
        <f>H17 + G17</f>
        <v>8</v>
      </c>
      <c r="G17" s="13">
        <v>0.0</v>
      </c>
      <c r="H17" s="13">
        <v>8.0</v>
      </c>
      <c r="I17" s="13">
        <f>L17 + N17 + M17</f>
        <v>7</v>
      </c>
      <c r="J17" s="13">
        <f>O17 + P17</f>
        <v>1</v>
      </c>
      <c r="K17" s="13">
        <v>1.0</v>
      </c>
      <c r="L17" s="13">
        <v>7.0</v>
      </c>
      <c r="M17" s="13">
        <v>0.0</v>
      </c>
      <c r="N17" s="13">
        <v>0.0</v>
      </c>
      <c r="O17" s="13">
        <f>AE17 + AF17</f>
        <v>0</v>
      </c>
      <c r="P17" s="13">
        <f>AG17 + AH17</f>
        <v>1</v>
      </c>
      <c r="Q17" s="15">
        <f>IF(H17 = 0, "--", I17 / H17)</f>
        <v>0.875</v>
      </c>
      <c r="R17" s="15">
        <f>IF(H17 = 0, "--", AI17 / H17)</f>
        <v>0.875</v>
      </c>
      <c r="S17" s="15">
        <f>IF(H17 = 0, "--", AK17 / H17)</f>
        <v>0.875</v>
      </c>
      <c r="T17" s="15">
        <f>IF(H17 = 0, "--", AJ17 / H17)</f>
        <v>0.125</v>
      </c>
      <c r="V17" s="14">
        <f>IF(H17 = 0, 0, X17 / H17)</f>
        <v>1911.25</v>
      </c>
      <c r="W17" s="13">
        <v>9368.0</v>
      </c>
      <c r="X17" s="13">
        <v>15290.0</v>
      </c>
      <c r="Y17" s="13">
        <v>13821.48</v>
      </c>
      <c r="Z17" s="13">
        <v>15634.0</v>
      </c>
      <c r="AA17" s="13">
        <v>13376.0</v>
      </c>
      <c r="AB17" s="13">
        <v>445.48</v>
      </c>
      <c r="AC17" s="13">
        <v>11163.482025641</v>
      </c>
      <c r="AD17" s="13">
        <v>11153.471142857</v>
      </c>
      <c r="AE17" s="13">
        <v>0.0</v>
      </c>
      <c r="AF17" s="13">
        <v>0.0</v>
      </c>
      <c r="AG17" s="13">
        <v>1.0</v>
      </c>
      <c r="AH17" s="13">
        <v>0.0</v>
      </c>
      <c r="AI17" s="13">
        <f>L17 + M17 + O17 + N17</f>
        <v>7</v>
      </c>
      <c r="AJ17" s="13">
        <f>P17 + N17</f>
        <v>1</v>
      </c>
      <c r="AK17" s="13">
        <f>L17 + M17 + O17</f>
        <v>7</v>
      </c>
    </row>
    <row r="18" spans="1:37">
      <c r="A18" s="2" t="s">
        <v>118</v>
      </c>
      <c r="B18" s="13">
        <f>IF(H18 = 0, "--", W18 / H18)</f>
        <v>1055</v>
      </c>
      <c r="C18" s="14">
        <f>IF(H18 = 0, 0, Z18 / H18)</f>
        <v>1866.5344827586</v>
      </c>
      <c r="D18" s="14">
        <f>IF(I18 = 0, 0, AA18 / I18)</f>
        <v>1782.0810810811</v>
      </c>
      <c r="E18" s="14">
        <f>IF(I18 = 0, 0, AD18 / I18)</f>
        <v>1440.8221818615</v>
      </c>
      <c r="F18" s="13">
        <f>H18 + G18</f>
        <v>58</v>
      </c>
      <c r="G18" s="13">
        <v>0.0</v>
      </c>
      <c r="H18" s="13">
        <v>58.0</v>
      </c>
      <c r="I18" s="13">
        <f>L18 + N18 + M18</f>
        <v>37</v>
      </c>
      <c r="J18" s="13">
        <f>O18 + P18</f>
        <v>21</v>
      </c>
      <c r="K18" s="13">
        <v>15.0</v>
      </c>
      <c r="L18" s="13">
        <v>34.0</v>
      </c>
      <c r="M18" s="13">
        <v>0.0</v>
      </c>
      <c r="N18" s="13">
        <v>3.0</v>
      </c>
      <c r="O18" s="13">
        <f>AE18 + AF18</f>
        <v>9</v>
      </c>
      <c r="P18" s="13">
        <f>AG18 + AH18</f>
        <v>12</v>
      </c>
      <c r="Q18" s="15">
        <f>IF(H18 = 0, "--", I18 / H18)</f>
        <v>0.63793103448276</v>
      </c>
      <c r="R18" s="15">
        <f>IF(H18 = 0, "--", AI18 / H18)</f>
        <v>0.79310344827586</v>
      </c>
      <c r="S18" s="15">
        <f>IF(H18 = 0, "--", AK18 / H18)</f>
        <v>0.74137931034483</v>
      </c>
      <c r="T18" s="15">
        <f>IF(H18 = 0, "--", AJ18 / H18)</f>
        <v>0.25862068965517</v>
      </c>
      <c r="V18" s="14">
        <f>IF(H18 = 0, 0, X18 / H18)</f>
        <v>1741.6896551724</v>
      </c>
      <c r="W18" s="13">
        <v>61190.0</v>
      </c>
      <c r="X18" s="13">
        <v>101018.0</v>
      </c>
      <c r="Y18" s="13">
        <v>68649.19</v>
      </c>
      <c r="Z18" s="13">
        <v>108259.0</v>
      </c>
      <c r="AA18" s="13">
        <v>65937.0</v>
      </c>
      <c r="AB18" s="13">
        <v>2712.19</v>
      </c>
      <c r="AC18" s="13">
        <v>54898.588423077</v>
      </c>
      <c r="AD18" s="13">
        <v>53310.420728877</v>
      </c>
      <c r="AE18" s="13">
        <v>9.0</v>
      </c>
      <c r="AF18" s="13">
        <v>0.0</v>
      </c>
      <c r="AG18" s="13">
        <v>10.0</v>
      </c>
      <c r="AH18" s="13">
        <v>2.0</v>
      </c>
      <c r="AI18" s="13">
        <f>L18 + M18 + O18 + N18</f>
        <v>46</v>
      </c>
      <c r="AJ18" s="13">
        <f>P18 + N18</f>
        <v>15</v>
      </c>
      <c r="AK18" s="13">
        <f>L18 + M18 + O18</f>
        <v>43</v>
      </c>
    </row>
    <row r="19" spans="1:37">
      <c r="A19" s="2" t="s">
        <v>123</v>
      </c>
      <c r="B19" s="13">
        <f>IF(H19 = 0, "--", W19 / H19)</f>
        <v>1426</v>
      </c>
      <c r="C19" s="14">
        <f>IF(H19 = 0, 0, Z19 / H19)</f>
        <v>2402.25</v>
      </c>
      <c r="D19" s="14">
        <f>IF(I19 = 0, 0, AA19 / I19)</f>
        <v>2373.9090909091</v>
      </c>
      <c r="E19" s="14">
        <f>IF(I19 = 0, 0, AD19 / I19)</f>
        <v>1944.722025641</v>
      </c>
      <c r="F19" s="13">
        <f>H19 + G19</f>
        <v>16</v>
      </c>
      <c r="G19" s="13">
        <v>0.0</v>
      </c>
      <c r="H19" s="13">
        <v>16.0</v>
      </c>
      <c r="I19" s="13">
        <f>L19 + N19 + M19</f>
        <v>11</v>
      </c>
      <c r="J19" s="13">
        <f>O19 + P19</f>
        <v>5</v>
      </c>
      <c r="K19" s="13">
        <v>4.0</v>
      </c>
      <c r="L19" s="13">
        <v>11.0</v>
      </c>
      <c r="M19" s="13">
        <v>0.0</v>
      </c>
      <c r="N19" s="13">
        <v>0.0</v>
      </c>
      <c r="O19" s="13">
        <f>AE19 + AF19</f>
        <v>1</v>
      </c>
      <c r="P19" s="13">
        <f>AG19 + AH19</f>
        <v>4</v>
      </c>
      <c r="Q19" s="15">
        <f>IF(H19 = 0, "--", I19 / H19)</f>
        <v>0.6875</v>
      </c>
      <c r="R19" s="15">
        <f>IF(H19 = 0, "--", AI19 / H19)</f>
        <v>0.75</v>
      </c>
      <c r="S19" s="15">
        <f>IF(H19 = 0, "--", AK19 / H19)</f>
        <v>0.75</v>
      </c>
      <c r="T19" s="15">
        <f>IF(H19 = 0, "--", AJ19 / H19)</f>
        <v>0.25</v>
      </c>
      <c r="V19" s="14">
        <f>IF(H19 = 0, 0, X19 / H19)</f>
        <v>2346.5</v>
      </c>
      <c r="W19" s="13">
        <v>22816.0</v>
      </c>
      <c r="X19" s="13">
        <v>37544.0</v>
      </c>
      <c r="Y19" s="13">
        <v>27874.19</v>
      </c>
      <c r="Z19" s="13">
        <v>38436.0</v>
      </c>
      <c r="AA19" s="13">
        <v>26113.0</v>
      </c>
      <c r="AB19" s="13">
        <v>1761.19</v>
      </c>
      <c r="AC19" s="13">
        <v>21404.160102564</v>
      </c>
      <c r="AD19" s="13">
        <v>21391.942282051</v>
      </c>
      <c r="AE19" s="13">
        <v>1.0</v>
      </c>
      <c r="AF19" s="13">
        <v>0.0</v>
      </c>
      <c r="AG19" s="13">
        <v>4.0</v>
      </c>
      <c r="AH19" s="13">
        <v>0.0</v>
      </c>
      <c r="AI19" s="13">
        <f>L19 + M19 + O19 + N19</f>
        <v>12</v>
      </c>
      <c r="AJ19" s="13">
        <f>P19 + N19</f>
        <v>4</v>
      </c>
      <c r="AK19" s="13">
        <f>L19 + M19 + O19</f>
        <v>12</v>
      </c>
    </row>
    <row r="20" spans="1:37">
      <c r="A20" s="2" t="s">
        <v>130</v>
      </c>
      <c r="B20" s="13">
        <f>IF(H20 = 0, "--", W20 / H20)</f>
        <v>1500</v>
      </c>
      <c r="C20" s="14">
        <f>IF(H20 = 0, 0, Z20 / H20)</f>
        <v>2394</v>
      </c>
      <c r="D20" s="14">
        <f>IF(I20 = 0, 0, AA20 / I20)</f>
        <v>2393.25</v>
      </c>
      <c r="E20" s="14">
        <f>IF(I20 = 0, 0, AD20 / I20)</f>
        <v>1925.9333571429</v>
      </c>
      <c r="F20" s="13">
        <f>H20 + G20</f>
        <v>7</v>
      </c>
      <c r="G20" s="13">
        <v>0.0</v>
      </c>
      <c r="H20" s="13">
        <v>7.0</v>
      </c>
      <c r="I20" s="13">
        <f>L20 + N20 + M20</f>
        <v>4</v>
      </c>
      <c r="J20" s="13">
        <f>O20 + P20</f>
        <v>3</v>
      </c>
      <c r="K20" s="13">
        <v>3.0</v>
      </c>
      <c r="L20" s="13">
        <v>4.0</v>
      </c>
      <c r="M20" s="13">
        <v>0.0</v>
      </c>
      <c r="N20" s="13">
        <v>0.0</v>
      </c>
      <c r="O20" s="13">
        <f>AE20 + AF20</f>
        <v>0</v>
      </c>
      <c r="P20" s="13">
        <f>AG20 + AH20</f>
        <v>3</v>
      </c>
      <c r="Q20" s="15">
        <f>IF(H20 = 0, "--", I20 / H20)</f>
        <v>0.57142857142857</v>
      </c>
      <c r="R20" s="15">
        <f>IF(H20 = 0, "--", AI20 / H20)</f>
        <v>0.57142857142857</v>
      </c>
      <c r="S20" s="15">
        <f>IF(H20 = 0, "--", AK20 / H20)</f>
        <v>0.57142857142857</v>
      </c>
      <c r="T20" s="15">
        <f>IF(H20 = 0, "--", AJ20 / H20)</f>
        <v>0.42857142857143</v>
      </c>
      <c r="V20" s="14">
        <f>IF(H20 = 0, 0, X20 / H20)</f>
        <v>2494.1428571429</v>
      </c>
      <c r="W20" s="13">
        <v>10500.0</v>
      </c>
      <c r="X20" s="13">
        <v>17459.0</v>
      </c>
      <c r="Y20" s="13">
        <v>9996.72</v>
      </c>
      <c r="Z20" s="13">
        <v>16758.0</v>
      </c>
      <c r="AA20" s="13">
        <v>9573.0</v>
      </c>
      <c r="AB20" s="13">
        <v>423.72</v>
      </c>
      <c r="AC20" s="13">
        <v>7719.6834285714</v>
      </c>
      <c r="AD20" s="13">
        <v>7703.7334285714</v>
      </c>
      <c r="AE20" s="13">
        <v>0.0</v>
      </c>
      <c r="AF20" s="13">
        <v>0.0</v>
      </c>
      <c r="AG20" s="13">
        <v>3.0</v>
      </c>
      <c r="AH20" s="13">
        <v>0.0</v>
      </c>
      <c r="AI20" s="13">
        <f>L20 + M20 + O20 + N20</f>
        <v>4</v>
      </c>
      <c r="AJ20" s="13">
        <f>P20 + N20</f>
        <v>3</v>
      </c>
      <c r="AK20" s="13">
        <f>L20 + M20 + O20</f>
        <v>4</v>
      </c>
    </row>
    <row r="21" spans="1:37">
      <c r="A21" s="2" t="s">
        <v>131</v>
      </c>
      <c r="B21" s="13">
        <f>IF(H21 = 0, "--", W21 / H21)</f>
        <v>1551</v>
      </c>
      <c r="C21" s="14">
        <f>IF(H21 = 0, 0, Z21 / H21)</f>
        <v>2700.5</v>
      </c>
      <c r="D21" s="14">
        <f>IF(I21 = 0, 0, AA21 / I21)</f>
        <v>2687.5</v>
      </c>
      <c r="E21" s="14">
        <f>IF(I21 = 0, 0, AD21 / I21)</f>
        <v>2515.82</v>
      </c>
      <c r="F21" s="13">
        <f>H21 + G21</f>
        <v>2</v>
      </c>
      <c r="G21" s="13">
        <v>0.0</v>
      </c>
      <c r="H21" s="13">
        <v>2.0</v>
      </c>
      <c r="I21" s="13">
        <f>L21 + N21 + M21</f>
        <v>2</v>
      </c>
      <c r="J21" s="13">
        <f>O21 + P21</f>
        <v>0</v>
      </c>
      <c r="K21" s="13">
        <v>0.0</v>
      </c>
      <c r="L21" s="13">
        <v>2.0</v>
      </c>
      <c r="M21" s="13">
        <v>0.0</v>
      </c>
      <c r="N21" s="13">
        <v>0.0</v>
      </c>
      <c r="O21" s="13">
        <f>AE21 + AF21</f>
        <v>0</v>
      </c>
      <c r="P21" s="13">
        <f>AG21 + AH21</f>
        <v>0</v>
      </c>
      <c r="Q21" s="15">
        <f>IF(H21 = 0, "--", I21 / H21)</f>
        <v>1</v>
      </c>
      <c r="R21" s="15">
        <f>IF(H21 = 0, "--", AI21 / H21)</f>
        <v>1</v>
      </c>
      <c r="S21" s="15">
        <f>IF(H21 = 0, "--", AK21 / H21)</f>
        <v>1</v>
      </c>
      <c r="T21" s="15">
        <f>IF(H21 = 0, "--", AJ21 / H21)</f>
        <v>0</v>
      </c>
      <c r="V21" s="14">
        <f>IF(H21 = 0, 0, X21 / H21)</f>
        <v>2689.5</v>
      </c>
      <c r="W21" s="13">
        <v>3102.0</v>
      </c>
      <c r="X21" s="13">
        <v>5379.0</v>
      </c>
      <c r="Y21" s="13">
        <v>2772.0</v>
      </c>
      <c r="Z21" s="13">
        <v>5401.0</v>
      </c>
      <c r="AA21" s="13">
        <v>5375.0</v>
      </c>
      <c r="AB21" s="13">
        <v>-2603.0</v>
      </c>
      <c r="AC21" s="13">
        <v>5044.2</v>
      </c>
      <c r="AD21" s="13">
        <v>5031.64</v>
      </c>
      <c r="AE21" s="13">
        <v>0.0</v>
      </c>
      <c r="AF21" s="13">
        <v>0.0</v>
      </c>
      <c r="AG21" s="13">
        <v>0.0</v>
      </c>
      <c r="AH21" s="13">
        <v>0.0</v>
      </c>
      <c r="AI21" s="13">
        <f>L21 + M21 + O21 + N21</f>
        <v>2</v>
      </c>
      <c r="AJ21" s="13">
        <f>P21 + N21</f>
        <v>0</v>
      </c>
      <c r="AK21" s="13">
        <f>L21 + M21 + O21</f>
        <v>2</v>
      </c>
    </row>
    <row r="22" spans="1:37">
      <c r="A22" s="2" t="s">
        <v>124</v>
      </c>
      <c r="B22" s="13">
        <f>IF(H22 = 0, "--", W22 / H22)</f>
        <v>603</v>
      </c>
      <c r="C22" s="14">
        <f>IF(H22 = 0, 0, Z22 / H22)</f>
        <v>1307.3333333333</v>
      </c>
      <c r="D22" s="14">
        <f>IF(I22 = 0, 0, AA22 / I22)</f>
        <v>1318.6666666667</v>
      </c>
      <c r="E22" s="14">
        <f>IF(I22 = 0, 0, AD22 / I22)</f>
        <v>1149.240952381</v>
      </c>
      <c r="F22" s="13">
        <f>H22 + G22</f>
        <v>6</v>
      </c>
      <c r="G22" s="13">
        <v>0.0</v>
      </c>
      <c r="H22" s="13">
        <v>6.0</v>
      </c>
      <c r="I22" s="13">
        <f>L22 + N22 + M22</f>
        <v>6</v>
      </c>
      <c r="J22" s="13">
        <f>O22 + P22</f>
        <v>0</v>
      </c>
      <c r="K22" s="13">
        <v>0.0</v>
      </c>
      <c r="L22" s="13">
        <v>6.0</v>
      </c>
      <c r="M22" s="13">
        <v>0.0</v>
      </c>
      <c r="N22" s="13">
        <v>0.0</v>
      </c>
      <c r="O22" s="13">
        <f>AE22 + AF22</f>
        <v>0</v>
      </c>
      <c r="P22" s="13">
        <f>AG22 + AH22</f>
        <v>0</v>
      </c>
      <c r="Q22" s="15">
        <f>IF(H22 = 0, "--", I22 / H22)</f>
        <v>1</v>
      </c>
      <c r="R22" s="15">
        <f>IF(H22 = 0, "--", AI22 / H22)</f>
        <v>1</v>
      </c>
      <c r="S22" s="15">
        <f>IF(H22 = 0, "--", AK22 / H22)</f>
        <v>1</v>
      </c>
      <c r="T22" s="15">
        <f>IF(H22 = 0, "--", AJ22 / H22)</f>
        <v>0</v>
      </c>
      <c r="V22" s="14">
        <f>IF(H22 = 0, 0, X22 / H22)</f>
        <v>1320</v>
      </c>
      <c r="W22" s="13">
        <v>3618.0</v>
      </c>
      <c r="X22" s="13">
        <v>7920.0</v>
      </c>
      <c r="Y22" s="13">
        <v>8421.44</v>
      </c>
      <c r="Z22" s="13">
        <v>7844.0</v>
      </c>
      <c r="AA22" s="13">
        <v>7912.0</v>
      </c>
      <c r="AB22" s="13">
        <v>509.44</v>
      </c>
      <c r="AC22" s="13">
        <v>6869.2673333333</v>
      </c>
      <c r="AD22" s="13">
        <v>6895.4457142857</v>
      </c>
      <c r="AE22" s="13">
        <v>0.0</v>
      </c>
      <c r="AF22" s="13">
        <v>0.0</v>
      </c>
      <c r="AG22" s="13">
        <v>0.0</v>
      </c>
      <c r="AH22" s="13">
        <v>0.0</v>
      </c>
      <c r="AI22" s="13">
        <f>L22 + M22 + O22 + N22</f>
        <v>6</v>
      </c>
      <c r="AJ22" s="13">
        <f>P22 + N22</f>
        <v>0</v>
      </c>
      <c r="AK22" s="13">
        <f>L22 + M22 + O22</f>
        <v>6</v>
      </c>
    </row>
    <row r="23" spans="1:37">
      <c r="A23" s="9" t="s">
        <v>50</v>
      </c>
      <c r="B23" s="10">
        <f>IF(H23 = 0, "--", W23 / H23)</f>
        <v>958.43202416918</v>
      </c>
      <c r="C23" s="11">
        <f>IF(H23 = 0, 0, Z23 / H23)</f>
        <v>1775.1873111782</v>
      </c>
      <c r="D23" s="11">
        <f>IF(I23 = 0, 0, AA23 / I23)</f>
        <v>1721.2304147465</v>
      </c>
      <c r="E23" s="11">
        <f>IF(I23 = 0, 0, AD23 / I23)</f>
        <v>1437.5895168675</v>
      </c>
      <c r="F23" s="10">
        <f>H23 + G23</f>
        <v>331</v>
      </c>
      <c r="G23" s="10">
        <f>SUM(G8:G22)</f>
        <v>0</v>
      </c>
      <c r="H23" s="10">
        <f>SUM(H8:H22)</f>
        <v>331</v>
      </c>
      <c r="I23" s="10">
        <f>L23 + N23 + M23</f>
        <v>217</v>
      </c>
      <c r="J23" s="10">
        <f>O23 + P23</f>
        <v>114</v>
      </c>
      <c r="K23" s="10">
        <f>SUM(K8:K22)</f>
        <v>85</v>
      </c>
      <c r="L23" s="10">
        <f>SUM(L8:L22)</f>
        <v>204</v>
      </c>
      <c r="M23" s="10">
        <f>SUM(M8:M22)</f>
        <v>0</v>
      </c>
      <c r="N23" s="10">
        <f>SUM(N8:N22)</f>
        <v>13</v>
      </c>
      <c r="O23" s="10">
        <f>AE23 + AF23</f>
        <v>42</v>
      </c>
      <c r="P23" s="10">
        <f>AG23 + AH23</f>
        <v>72</v>
      </c>
      <c r="Q23" s="12">
        <f>IF(H23 = 0, "--", I23 / H23)</f>
        <v>0.65558912386707</v>
      </c>
      <c r="R23" s="12">
        <f>IF(H23 = 0, "--", AI23 / H23)</f>
        <v>0.78247734138973</v>
      </c>
      <c r="S23" s="12">
        <f>IF(H23 = 0, "--", AK23 / H23)</f>
        <v>0.74320241691843</v>
      </c>
      <c r="T23" s="12">
        <f>IF(H23 = 0, "--", AJ23 / H23)</f>
        <v>0.25679758308157</v>
      </c>
      <c r="V23" s="11">
        <f>IF(H23 = 0, 0, X23 / H23)</f>
        <v>1702.9305135952</v>
      </c>
      <c r="W23" s="10">
        <f>SUM(W8:W22)</f>
        <v>317241</v>
      </c>
      <c r="X23" s="10">
        <f>SUM(X8:X22)</f>
        <v>563670</v>
      </c>
      <c r="Y23" s="10">
        <f>SUM(Y8:Y22)</f>
        <v>389718.79</v>
      </c>
      <c r="Z23" s="10">
        <f>SUM(Z8:Z22)</f>
        <v>587587</v>
      </c>
      <c r="AA23" s="10">
        <f>SUM(AA8:AA22)</f>
        <v>373507</v>
      </c>
      <c r="AB23" s="10">
        <f>SUM(AB8:AB22)</f>
        <v>16211.79</v>
      </c>
      <c r="AC23" s="10">
        <f>SUM(AC8:AC22)</f>
        <v>314584.0303022</v>
      </c>
      <c r="AD23" s="10">
        <f>SUM(AD8:AD22)</f>
        <v>311956.92516025</v>
      </c>
      <c r="AE23" s="10">
        <f>SUM(AE8:AE22)</f>
        <v>42</v>
      </c>
      <c r="AF23" s="10">
        <f>SUM(AF8:AF22)</f>
        <v>0</v>
      </c>
      <c r="AG23" s="10">
        <f>SUM(AG8:AG22)</f>
        <v>63</v>
      </c>
      <c r="AH23" s="10">
        <f>SUM(AH8:AH22)</f>
        <v>9</v>
      </c>
      <c r="AI23" s="10">
        <f>L23 + M23 + O23 + N23</f>
        <v>259</v>
      </c>
      <c r="AJ23" s="10">
        <f>P23 + N23</f>
        <v>85</v>
      </c>
      <c r="AK23" s="10">
        <f>L23 + M23 + O23</f>
        <v>246</v>
      </c>
    </row>
    <row r="25" spans="1:37">
      <c r="A25" s="1" t="s">
        <v>51</v>
      </c>
    </row>
    <row r="26" spans="1:37">
      <c r="A26" s="3" t="s">
        <v>4</v>
      </c>
      <c r="B26" s="4" t="s">
        <v>10</v>
      </c>
      <c r="C26" s="4" t="s">
        <v>52</v>
      </c>
      <c r="D26" s="4" t="s">
        <v>53</v>
      </c>
      <c r="E26" s="4" t="s">
        <v>54</v>
      </c>
      <c r="F26" s="4" t="s">
        <v>55</v>
      </c>
      <c r="G26" s="4" t="s">
        <v>56</v>
      </c>
      <c r="H26" s="4" t="s">
        <v>57</v>
      </c>
      <c r="I26" s="4" t="s">
        <v>58</v>
      </c>
      <c r="J26" s="4" t="s">
        <v>60</v>
      </c>
      <c r="K26" s="4" t="s">
        <v>61</v>
      </c>
      <c r="L26" s="4" t="s">
        <v>62</v>
      </c>
      <c r="M26" s="4" t="s">
        <v>21</v>
      </c>
      <c r="V26" s="8" t="s">
        <v>59</v>
      </c>
    </row>
    <row r="27" spans="1:37">
      <c r="A27" s="2" t="s">
        <v>110</v>
      </c>
      <c r="B27" s="13">
        <v>105.0</v>
      </c>
      <c r="C27" s="13">
        <v>6.0</v>
      </c>
      <c r="D27" s="13">
        <v>1.0</v>
      </c>
      <c r="E27" s="13">
        <v>0.0</v>
      </c>
      <c r="F27" s="13">
        <v>5.0</v>
      </c>
      <c r="G27" s="13">
        <v>0.0</v>
      </c>
      <c r="H27" s="13">
        <v>5.0</v>
      </c>
      <c r="I27" s="13">
        <v>3.0</v>
      </c>
      <c r="J27" s="13">
        <v>0.0</v>
      </c>
      <c r="K27" s="13">
        <v>0.0</v>
      </c>
      <c r="L27" s="13">
        <v>0.0</v>
      </c>
      <c r="M27" s="13">
        <v>8.0</v>
      </c>
      <c r="V27" s="13">
        <v>1.0</v>
      </c>
    </row>
    <row r="28" spans="1:37">
      <c r="A28" s="2" t="s">
        <v>111</v>
      </c>
      <c r="B28" s="13">
        <v>22.0</v>
      </c>
      <c r="C28" s="13">
        <v>0.0</v>
      </c>
      <c r="D28" s="13">
        <v>0.0</v>
      </c>
      <c r="E28" s="13">
        <v>0.0</v>
      </c>
      <c r="F28" s="13">
        <v>0.0</v>
      </c>
      <c r="G28" s="13">
        <v>0.0</v>
      </c>
      <c r="H28" s="13">
        <v>1.0</v>
      </c>
      <c r="I28" s="13">
        <v>0.0</v>
      </c>
      <c r="J28" s="13">
        <v>0.0</v>
      </c>
      <c r="K28" s="13">
        <v>0.0</v>
      </c>
      <c r="L28" s="13">
        <v>0.0</v>
      </c>
      <c r="M28" s="13">
        <v>0.0</v>
      </c>
      <c r="V28" s="13">
        <v>0.0</v>
      </c>
    </row>
    <row r="29" spans="1:37">
      <c r="A29" s="2" t="s">
        <v>112</v>
      </c>
      <c r="B29" s="13">
        <v>20.0</v>
      </c>
      <c r="C29" s="13">
        <v>1.0</v>
      </c>
      <c r="D29" s="13">
        <v>0.0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4.0</v>
      </c>
      <c r="V29" s="13">
        <v>0.0</v>
      </c>
    </row>
    <row r="30" spans="1:37">
      <c r="A30" s="2" t="s">
        <v>113</v>
      </c>
      <c r="B30" s="13">
        <v>8.0</v>
      </c>
      <c r="C30" s="13">
        <v>2.0</v>
      </c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3">
        <v>1.0</v>
      </c>
      <c r="V30" s="13">
        <v>0.0</v>
      </c>
    </row>
    <row r="31" spans="1:37">
      <c r="A31" s="2" t="s">
        <v>115</v>
      </c>
      <c r="B31" s="13">
        <v>33.0</v>
      </c>
      <c r="C31" s="13">
        <v>3.0</v>
      </c>
      <c r="D31" s="13">
        <v>0.0</v>
      </c>
      <c r="E31" s="13">
        <v>0.0</v>
      </c>
      <c r="F31" s="13">
        <v>1.0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3">
        <v>7.0</v>
      </c>
      <c r="V31" s="13">
        <v>0.0</v>
      </c>
    </row>
    <row r="32" spans="1:37">
      <c r="A32" s="2" t="s">
        <v>127</v>
      </c>
      <c r="B32" s="13">
        <v>2.0</v>
      </c>
      <c r="C32" s="13">
        <v>1.0</v>
      </c>
      <c r="D32" s="13">
        <v>0.0</v>
      </c>
      <c r="E32" s="13">
        <v>0.0</v>
      </c>
      <c r="F32" s="13">
        <v>0.0</v>
      </c>
      <c r="G32" s="13">
        <v>0.0</v>
      </c>
      <c r="H32" s="13">
        <v>0.0</v>
      </c>
      <c r="I32" s="13">
        <v>1.0</v>
      </c>
      <c r="J32" s="13">
        <v>0.0</v>
      </c>
      <c r="K32" s="13">
        <v>0.0</v>
      </c>
      <c r="L32" s="13">
        <v>0.0</v>
      </c>
      <c r="M32" s="13">
        <v>1.0</v>
      </c>
      <c r="V32" s="13">
        <v>0.0</v>
      </c>
    </row>
    <row r="33" spans="1:37">
      <c r="A33" s="2" t="s">
        <v>116</v>
      </c>
      <c r="B33" s="13">
        <v>38.0</v>
      </c>
      <c r="C33" s="13">
        <v>3.0</v>
      </c>
      <c r="D33" s="13">
        <v>0.0</v>
      </c>
      <c r="E33" s="13">
        <v>0.0</v>
      </c>
      <c r="F33" s="13">
        <v>2.0</v>
      </c>
      <c r="G33" s="13">
        <v>0.0</v>
      </c>
      <c r="H33" s="13">
        <v>2.0</v>
      </c>
      <c r="I33" s="13">
        <v>2.0</v>
      </c>
      <c r="J33" s="13">
        <v>0.0</v>
      </c>
      <c r="K33" s="13">
        <v>1.0</v>
      </c>
      <c r="L33" s="13">
        <v>0.0</v>
      </c>
      <c r="M33" s="13">
        <v>4.0</v>
      </c>
      <c r="V33" s="13">
        <v>0.0</v>
      </c>
    </row>
    <row r="34" spans="1:37">
      <c r="A34" s="2" t="s">
        <v>128</v>
      </c>
      <c r="B34" s="13">
        <v>3.0</v>
      </c>
      <c r="C34" s="13">
        <v>0.0</v>
      </c>
      <c r="D34" s="13">
        <v>0.0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3">
        <v>0.0</v>
      </c>
      <c r="V34" s="13">
        <v>0.0</v>
      </c>
    </row>
    <row r="35" spans="1:37">
      <c r="A35" s="2" t="s">
        <v>129</v>
      </c>
      <c r="B35" s="13">
        <v>3.0</v>
      </c>
      <c r="C35" s="13">
        <v>0.0</v>
      </c>
      <c r="D35" s="13">
        <v>0.0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V35" s="13">
        <v>0.0</v>
      </c>
    </row>
    <row r="36" spans="1:37">
      <c r="A36" s="2" t="s">
        <v>117</v>
      </c>
      <c r="B36" s="13">
        <v>8.0</v>
      </c>
      <c r="C36" s="13">
        <v>1.0</v>
      </c>
      <c r="D36" s="13">
        <v>0.0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3">
        <v>1.0</v>
      </c>
      <c r="V36" s="13">
        <v>0.0</v>
      </c>
    </row>
    <row r="37" spans="1:37">
      <c r="A37" s="2" t="s">
        <v>118</v>
      </c>
      <c r="B37" s="13">
        <v>58.0</v>
      </c>
      <c r="C37" s="13">
        <v>2.0</v>
      </c>
      <c r="D37" s="13">
        <v>0.0</v>
      </c>
      <c r="E37" s="13">
        <v>0.0</v>
      </c>
      <c r="F37" s="13">
        <v>2.0</v>
      </c>
      <c r="G37" s="13">
        <v>0.0</v>
      </c>
      <c r="H37" s="13">
        <v>1.0</v>
      </c>
      <c r="I37" s="13">
        <v>0.0</v>
      </c>
      <c r="J37" s="13">
        <v>0.0</v>
      </c>
      <c r="K37" s="13">
        <v>0.0</v>
      </c>
      <c r="L37" s="13">
        <v>0.0</v>
      </c>
      <c r="M37" s="13">
        <v>3.0</v>
      </c>
      <c r="V37" s="13">
        <v>0.0</v>
      </c>
    </row>
    <row r="38" spans="1:37">
      <c r="A38" s="2" t="s">
        <v>123</v>
      </c>
      <c r="B38" s="13">
        <v>16.0</v>
      </c>
      <c r="C38" s="13">
        <v>2.0</v>
      </c>
      <c r="D38" s="13">
        <v>0.0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3">
        <v>0.0</v>
      </c>
      <c r="K38" s="13">
        <v>0.0</v>
      </c>
      <c r="L38" s="13">
        <v>0.0</v>
      </c>
      <c r="M38" s="13">
        <v>0.0</v>
      </c>
      <c r="V38" s="13">
        <v>0.0</v>
      </c>
    </row>
    <row r="39" spans="1:37">
      <c r="A39" s="2" t="s">
        <v>130</v>
      </c>
      <c r="B39" s="13">
        <v>7.0</v>
      </c>
      <c r="C39" s="13">
        <v>2.0</v>
      </c>
      <c r="D39" s="13">
        <v>0.0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  <c r="L39" s="13">
        <v>0.0</v>
      </c>
      <c r="M39" s="13">
        <v>1.0</v>
      </c>
      <c r="V39" s="13">
        <v>0.0</v>
      </c>
    </row>
    <row r="40" spans="1:37">
      <c r="A40" s="2" t="s">
        <v>131</v>
      </c>
      <c r="B40" s="13">
        <v>2.0</v>
      </c>
      <c r="C40" s="13">
        <v>0.0</v>
      </c>
      <c r="D40" s="13">
        <v>0.0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  <c r="L40" s="13">
        <v>0.0</v>
      </c>
      <c r="M40" s="13">
        <v>0.0</v>
      </c>
      <c r="V40" s="13">
        <v>0.0</v>
      </c>
    </row>
    <row r="41" spans="1:37">
      <c r="A41" s="2" t="s">
        <v>124</v>
      </c>
      <c r="B41" s="13">
        <v>6.0</v>
      </c>
      <c r="C41" s="13">
        <v>0.0</v>
      </c>
      <c r="D41" s="13">
        <v>0.0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  <c r="L41" s="13">
        <v>0.0</v>
      </c>
      <c r="M41" s="13">
        <v>0.0</v>
      </c>
      <c r="V41" s="13">
        <v>0.0</v>
      </c>
    </row>
    <row r="42" spans="1:37">
      <c r="A42" s="9" t="s">
        <v>50</v>
      </c>
      <c r="B42" s="10">
        <f>SUM(B27:B41)</f>
        <v>331</v>
      </c>
      <c r="C42" s="10">
        <f>SUM(C27:C41)</f>
        <v>23</v>
      </c>
      <c r="D42" s="10">
        <f>SUM(D27:D41)</f>
        <v>1</v>
      </c>
      <c r="E42" s="10">
        <f>SUM(E27:E41)</f>
        <v>0</v>
      </c>
      <c r="F42" s="10">
        <f>SUM(F27:F41)</f>
        <v>10</v>
      </c>
      <c r="G42" s="10">
        <f>SUM(G27:G41)</f>
        <v>0</v>
      </c>
      <c r="H42" s="10">
        <f>SUM(H27:H41)</f>
        <v>9</v>
      </c>
      <c r="I42" s="10">
        <f>SUM(I27:I41)</f>
        <v>6</v>
      </c>
      <c r="J42" s="10">
        <f>SUM(J27:J41)</f>
        <v>0</v>
      </c>
      <c r="K42" s="10">
        <f>SUM(K27:K41)</f>
        <v>1</v>
      </c>
      <c r="L42" s="10">
        <f>SUM(L27:L41)</f>
        <v>0</v>
      </c>
      <c r="M42" s="10">
        <f>SUM(M27:M41)</f>
        <v>30</v>
      </c>
    </row>
    <row r="44" spans="1:37">
      <c r="A44" s="1" t="s">
        <v>63</v>
      </c>
    </row>
    <row r="45" spans="1:37">
      <c r="C45" s="16" t="s">
        <v>64</v>
      </c>
      <c r="K45" s="16" t="s">
        <v>65</v>
      </c>
      <c r="O45" s="16" t="s">
        <v>66</v>
      </c>
    </row>
    <row r="46" spans="1:37">
      <c r="A46" s="3" t="s">
        <v>4</v>
      </c>
      <c r="B46" s="4" t="s">
        <v>67</v>
      </c>
      <c r="C46" s="4" t="s">
        <v>68</v>
      </c>
      <c r="D46" s="4" t="s">
        <v>69</v>
      </c>
      <c r="E46" s="4" t="s">
        <v>70</v>
      </c>
      <c r="F46" s="4" t="s">
        <v>71</v>
      </c>
      <c r="G46" s="4" t="s">
        <v>72</v>
      </c>
      <c r="H46" s="4" t="s">
        <v>73</v>
      </c>
      <c r="I46" s="4" t="s">
        <v>74</v>
      </c>
      <c r="J46" s="4" t="s">
        <v>75</v>
      </c>
      <c r="K46" s="4" t="s">
        <v>76</v>
      </c>
      <c r="L46" s="4" t="s">
        <v>77</v>
      </c>
      <c r="M46" s="4" t="s">
        <v>78</v>
      </c>
      <c r="N46" s="4" t="s">
        <v>79</v>
      </c>
      <c r="O46" s="4" t="s">
        <v>80</v>
      </c>
    </row>
    <row r="47" spans="1:37">
      <c r="A47" s="2" t="s">
        <v>110</v>
      </c>
      <c r="B47" s="13">
        <v>17.0</v>
      </c>
      <c r="C47" s="13">
        <v>0.0</v>
      </c>
      <c r="D47" s="13">
        <v>4.0</v>
      </c>
      <c r="E47" s="13">
        <v>5.0</v>
      </c>
      <c r="F47" s="13">
        <v>6.0</v>
      </c>
      <c r="G47" s="13">
        <v>0.0</v>
      </c>
      <c r="H47" s="13">
        <v>0.0</v>
      </c>
      <c r="I47" s="13">
        <v>0.0</v>
      </c>
      <c r="J47" s="13">
        <v>2.0</v>
      </c>
      <c r="K47" s="13">
        <v>73.0</v>
      </c>
      <c r="L47" s="13">
        <v>180.0</v>
      </c>
      <c r="M47" s="13">
        <v>0.0</v>
      </c>
      <c r="N47" s="13">
        <v>46.0</v>
      </c>
      <c r="O47" s="13">
        <v>12.0</v>
      </c>
    </row>
    <row r="48" spans="1:37">
      <c r="A48" s="2" t="s">
        <v>111</v>
      </c>
      <c r="B48" s="13">
        <v>2.0</v>
      </c>
      <c r="C48" s="13">
        <v>1.0</v>
      </c>
      <c r="D48" s="13">
        <v>1.0</v>
      </c>
      <c r="E48" s="13">
        <v>0.0</v>
      </c>
      <c r="F48" s="13">
        <v>0.0</v>
      </c>
      <c r="G48" s="13">
        <v>0.0</v>
      </c>
      <c r="H48" s="13">
        <v>0.0</v>
      </c>
      <c r="I48" s="13">
        <v>0.0</v>
      </c>
      <c r="J48" s="13">
        <v>0.0</v>
      </c>
      <c r="K48" s="13">
        <v>5.0</v>
      </c>
      <c r="L48" s="13">
        <v>11.0</v>
      </c>
      <c r="M48" s="13">
        <v>0.0</v>
      </c>
      <c r="N48" s="13">
        <v>10.0</v>
      </c>
      <c r="O48" s="13">
        <v>1.0</v>
      </c>
    </row>
    <row r="49" spans="1:37">
      <c r="A49" s="2" t="s">
        <v>112</v>
      </c>
      <c r="B49" s="13">
        <v>14.0</v>
      </c>
      <c r="C49" s="13">
        <v>2.0</v>
      </c>
      <c r="D49" s="13">
        <v>6.0</v>
      </c>
      <c r="E49" s="13">
        <v>4.0</v>
      </c>
      <c r="F49" s="13">
        <v>2.0</v>
      </c>
      <c r="G49" s="13">
        <v>0.0</v>
      </c>
      <c r="H49" s="13">
        <v>0.0</v>
      </c>
      <c r="I49" s="13">
        <v>0.0</v>
      </c>
      <c r="J49" s="13">
        <v>0.0</v>
      </c>
      <c r="K49" s="13">
        <v>49.0</v>
      </c>
      <c r="L49" s="13">
        <v>113.0</v>
      </c>
      <c r="M49" s="13">
        <v>0.0</v>
      </c>
      <c r="N49" s="13">
        <v>16.0</v>
      </c>
      <c r="O49" s="13">
        <v>3.0</v>
      </c>
    </row>
    <row r="50" spans="1:37">
      <c r="A50" s="2" t="s">
        <v>113</v>
      </c>
      <c r="B50" s="13">
        <v>2.0</v>
      </c>
      <c r="C50" s="13">
        <v>0.0</v>
      </c>
      <c r="D50" s="13">
        <v>1.0</v>
      </c>
      <c r="E50" s="13">
        <v>1.0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6.0</v>
      </c>
      <c r="L50" s="13">
        <v>9.0</v>
      </c>
      <c r="M50" s="13">
        <v>0.0</v>
      </c>
      <c r="N50" s="13">
        <v>2.0</v>
      </c>
      <c r="O50" s="13">
        <v>2.0</v>
      </c>
    </row>
    <row r="51" spans="1:37">
      <c r="A51" s="2" t="s">
        <v>115</v>
      </c>
      <c r="B51" s="13">
        <v>22.0</v>
      </c>
      <c r="C51" s="13">
        <v>2.0</v>
      </c>
      <c r="D51" s="13">
        <v>3.0</v>
      </c>
      <c r="E51" s="13">
        <v>8.0</v>
      </c>
      <c r="F51" s="13">
        <v>7.0</v>
      </c>
      <c r="G51" s="13">
        <v>0.0</v>
      </c>
      <c r="H51" s="13">
        <v>1.0</v>
      </c>
      <c r="I51" s="13">
        <v>0.0</v>
      </c>
      <c r="J51" s="13">
        <v>1.0</v>
      </c>
      <c r="K51" s="13">
        <v>112.0</v>
      </c>
      <c r="L51" s="13">
        <v>150.0</v>
      </c>
      <c r="M51" s="13">
        <v>0.0</v>
      </c>
      <c r="N51" s="13">
        <v>44.0</v>
      </c>
      <c r="O51" s="13">
        <v>14.0</v>
      </c>
    </row>
    <row r="52" spans="1:37">
      <c r="A52" s="2" t="s">
        <v>127</v>
      </c>
      <c r="B52" s="13">
        <v>4.0</v>
      </c>
      <c r="C52" s="13">
        <v>0.0</v>
      </c>
      <c r="D52" s="13">
        <v>1.0</v>
      </c>
      <c r="E52" s="13">
        <v>3.0</v>
      </c>
      <c r="F52" s="13">
        <v>0.0</v>
      </c>
      <c r="G52" s="13">
        <v>0.0</v>
      </c>
      <c r="H52" s="13">
        <v>0.0</v>
      </c>
      <c r="I52" s="13">
        <v>0.0</v>
      </c>
      <c r="J52" s="13">
        <v>0.0</v>
      </c>
      <c r="K52" s="13">
        <v>10.0</v>
      </c>
      <c r="L52" s="13">
        <v>12.0</v>
      </c>
      <c r="M52" s="13">
        <v>0.0</v>
      </c>
      <c r="N52" s="13">
        <v>4.0</v>
      </c>
      <c r="O52" s="13">
        <v>1.0</v>
      </c>
    </row>
    <row r="53" spans="1:37">
      <c r="A53" s="2" t="s">
        <v>116</v>
      </c>
      <c r="B53" s="13">
        <v>6.0</v>
      </c>
      <c r="C53" s="13">
        <v>0.0</v>
      </c>
      <c r="D53" s="13">
        <v>2.0</v>
      </c>
      <c r="E53" s="13">
        <v>2.0</v>
      </c>
      <c r="F53" s="13">
        <v>2.0</v>
      </c>
      <c r="G53" s="13">
        <v>0.0</v>
      </c>
      <c r="H53" s="13">
        <v>0.0</v>
      </c>
      <c r="I53" s="13">
        <v>0.0</v>
      </c>
      <c r="J53" s="13">
        <v>0.0</v>
      </c>
      <c r="K53" s="13">
        <v>56.0</v>
      </c>
      <c r="L53" s="13">
        <v>50.0</v>
      </c>
      <c r="M53" s="13">
        <v>0.0</v>
      </c>
      <c r="N53" s="13">
        <v>49.0</v>
      </c>
      <c r="O53" s="13">
        <v>4.0</v>
      </c>
    </row>
    <row r="54" spans="1:37">
      <c r="A54" s="2" t="s">
        <v>128</v>
      </c>
      <c r="B54" s="13">
        <v>3.0</v>
      </c>
      <c r="C54" s="13">
        <v>0.0</v>
      </c>
      <c r="D54" s="13">
        <v>0.0</v>
      </c>
      <c r="E54" s="13">
        <v>3.0</v>
      </c>
      <c r="F54" s="13">
        <v>0.0</v>
      </c>
      <c r="G54" s="13">
        <v>0.0</v>
      </c>
      <c r="H54" s="13">
        <v>0.0</v>
      </c>
      <c r="I54" s="13">
        <v>0.0</v>
      </c>
      <c r="J54" s="13">
        <v>0.0</v>
      </c>
      <c r="K54" s="13">
        <v>16.0</v>
      </c>
      <c r="L54" s="13">
        <v>13.0</v>
      </c>
      <c r="M54" s="13">
        <v>0.0</v>
      </c>
      <c r="N54" s="13">
        <v>4.0</v>
      </c>
      <c r="O54" s="13">
        <v>0.0</v>
      </c>
    </row>
    <row r="55" spans="1:37">
      <c r="A55" s="2" t="s">
        <v>129</v>
      </c>
      <c r="B55" s="13">
        <v>2.0</v>
      </c>
      <c r="C55" s="13">
        <v>1.0</v>
      </c>
      <c r="D55" s="13">
        <v>1.0</v>
      </c>
      <c r="E55" s="13">
        <v>0.0</v>
      </c>
      <c r="F55" s="13">
        <v>0.0</v>
      </c>
      <c r="G55" s="13">
        <v>0.0</v>
      </c>
      <c r="H55" s="13">
        <v>0.0</v>
      </c>
      <c r="I55" s="13">
        <v>0.0</v>
      </c>
      <c r="J55" s="13">
        <v>0.0</v>
      </c>
      <c r="K55" s="13">
        <v>15.0</v>
      </c>
      <c r="L55" s="13">
        <v>20.0</v>
      </c>
      <c r="M55" s="13">
        <v>0.0</v>
      </c>
      <c r="N55" s="13">
        <v>5.0</v>
      </c>
      <c r="O55" s="13">
        <v>2.0</v>
      </c>
    </row>
    <row r="56" spans="1:37">
      <c r="A56" s="2" t="s">
        <v>117</v>
      </c>
      <c r="B56" s="13">
        <v>1.0</v>
      </c>
      <c r="C56" s="13">
        <v>0.0</v>
      </c>
      <c r="D56" s="13">
        <v>0.0</v>
      </c>
      <c r="E56" s="13">
        <v>1.0</v>
      </c>
      <c r="F56" s="13">
        <v>0.0</v>
      </c>
      <c r="G56" s="13">
        <v>0.0</v>
      </c>
      <c r="H56" s="13">
        <v>0.0</v>
      </c>
      <c r="I56" s="13">
        <v>0.0</v>
      </c>
      <c r="J56" s="13">
        <v>0.0</v>
      </c>
      <c r="K56" s="13">
        <v>4.0</v>
      </c>
      <c r="L56" s="13">
        <v>0.0</v>
      </c>
      <c r="M56" s="13">
        <v>0.0</v>
      </c>
      <c r="N56" s="13">
        <v>3.0</v>
      </c>
      <c r="O56" s="13">
        <v>0.0</v>
      </c>
    </row>
    <row r="57" spans="1:37">
      <c r="A57" s="2" t="s">
        <v>118</v>
      </c>
      <c r="B57" s="13">
        <v>25.0</v>
      </c>
      <c r="C57" s="13">
        <v>1.0</v>
      </c>
      <c r="D57" s="13">
        <v>4.0</v>
      </c>
      <c r="E57" s="13">
        <v>11.0</v>
      </c>
      <c r="F57" s="13">
        <v>8.0</v>
      </c>
      <c r="G57" s="13">
        <v>0.0</v>
      </c>
      <c r="H57" s="13">
        <v>0.0</v>
      </c>
      <c r="I57" s="13">
        <v>0.0</v>
      </c>
      <c r="J57" s="13">
        <v>1.0</v>
      </c>
      <c r="K57" s="13">
        <v>83.0</v>
      </c>
      <c r="L57" s="13">
        <v>113.0</v>
      </c>
      <c r="M57" s="13">
        <v>0.0</v>
      </c>
      <c r="N57" s="13">
        <v>64.0</v>
      </c>
      <c r="O57" s="13">
        <v>9.0</v>
      </c>
    </row>
    <row r="58" spans="1:37">
      <c r="A58" s="2" t="s">
        <v>123</v>
      </c>
      <c r="B58" s="13">
        <v>3.0</v>
      </c>
      <c r="C58" s="13">
        <v>0.0</v>
      </c>
      <c r="D58" s="13">
        <v>2.0</v>
      </c>
      <c r="E58" s="13">
        <v>1.0</v>
      </c>
      <c r="F58" s="13">
        <v>0.0</v>
      </c>
      <c r="G58" s="13">
        <v>0.0</v>
      </c>
      <c r="H58" s="13">
        <v>0.0</v>
      </c>
      <c r="I58" s="13">
        <v>0.0</v>
      </c>
      <c r="J58" s="13">
        <v>0.0</v>
      </c>
      <c r="K58" s="13">
        <v>11.0</v>
      </c>
      <c r="L58" s="13">
        <v>20.0</v>
      </c>
      <c r="M58" s="13">
        <v>0.0</v>
      </c>
      <c r="N58" s="13">
        <v>31.0</v>
      </c>
      <c r="O58" s="13">
        <v>1.0</v>
      </c>
    </row>
    <row r="59" spans="1:37">
      <c r="A59" s="2" t="s">
        <v>130</v>
      </c>
      <c r="B59" s="13">
        <v>2.0</v>
      </c>
      <c r="C59" s="13">
        <v>0.0</v>
      </c>
      <c r="D59" s="13">
        <v>1.0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1.0</v>
      </c>
      <c r="K59" s="13">
        <v>11.0</v>
      </c>
      <c r="L59" s="13">
        <v>9.0</v>
      </c>
      <c r="M59" s="13">
        <v>0.0</v>
      </c>
      <c r="N59" s="13">
        <v>3.0</v>
      </c>
      <c r="O59" s="13">
        <v>0.0</v>
      </c>
    </row>
    <row r="60" spans="1:37">
      <c r="A60" s="2" t="s">
        <v>124</v>
      </c>
      <c r="B60" s="13">
        <v>1.0</v>
      </c>
      <c r="C60" s="13">
        <v>0.0</v>
      </c>
      <c r="D60" s="13">
        <v>1.0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0.0</v>
      </c>
      <c r="K60" s="13">
        <v>1.0</v>
      </c>
      <c r="L60" s="13">
        <v>1.0</v>
      </c>
      <c r="M60" s="13">
        <v>0.0</v>
      </c>
      <c r="N60" s="13">
        <v>0.0</v>
      </c>
      <c r="O60" s="13">
        <v>0.0</v>
      </c>
    </row>
    <row r="61" spans="1:37">
      <c r="A61" s="2" t="s">
        <v>81</v>
      </c>
      <c r="B61" s="13">
        <v>150.0</v>
      </c>
      <c r="C61" s="13">
        <v>5.0</v>
      </c>
      <c r="D61" s="13">
        <v>53.0</v>
      </c>
      <c r="E61" s="13">
        <v>16.0</v>
      </c>
      <c r="F61" s="13">
        <v>24.0</v>
      </c>
      <c r="G61" s="13">
        <v>0.0</v>
      </c>
      <c r="H61" s="13">
        <v>1.0</v>
      </c>
      <c r="I61" s="13">
        <v>1.0</v>
      </c>
      <c r="J61" s="13">
        <v>50.0</v>
      </c>
      <c r="K61" s="13">
        <v>519.0</v>
      </c>
      <c r="L61" s="13">
        <v>281.0</v>
      </c>
      <c r="M61" s="13">
        <v>0.0</v>
      </c>
      <c r="N61" s="13">
        <v>293.0</v>
      </c>
      <c r="O61" s="13">
        <v>35.0</v>
      </c>
    </row>
    <row r="62" spans="1:37">
      <c r="A62" s="9" t="s">
        <v>50</v>
      </c>
      <c r="B62" s="10">
        <f>SUM(B47:B61)</f>
        <v>254</v>
      </c>
      <c r="C62" s="10">
        <f>SUM(C47:C61)</f>
        <v>12</v>
      </c>
      <c r="D62" s="10">
        <f>SUM(D47:D61)</f>
        <v>80</v>
      </c>
      <c r="E62" s="10">
        <f>SUM(E47:E61)</f>
        <v>55</v>
      </c>
      <c r="F62" s="10">
        <f>SUM(F47:F61)</f>
        <v>49</v>
      </c>
      <c r="G62" s="10">
        <f>SUM(G47:G61)</f>
        <v>0</v>
      </c>
      <c r="H62" s="10">
        <f>SUM(H47:H61)</f>
        <v>2</v>
      </c>
      <c r="I62" s="10">
        <f>SUM(I47:I61)</f>
        <v>1</v>
      </c>
      <c r="J62" s="10">
        <f>SUM(J47:J61)</f>
        <v>55</v>
      </c>
      <c r="K62" s="10">
        <f>SUM(K47:K61)</f>
        <v>971</v>
      </c>
      <c r="L62" s="10">
        <f>SUM(L47:L61)</f>
        <v>982</v>
      </c>
      <c r="M62" s="10">
        <f>SUM(M47:M61)</f>
        <v>0</v>
      </c>
      <c r="N62" s="10">
        <f>SUM(N47:N61)</f>
        <v>574</v>
      </c>
      <c r="O62" s="10">
        <f>SUM(O47:O61)</f>
        <v>84</v>
      </c>
    </row>
    <row r="64" spans="1:37">
      <c r="A64" s="1" t="s">
        <v>82</v>
      </c>
    </row>
    <row r="65" spans="1:37">
      <c r="B65" s="16" t="s">
        <v>83</v>
      </c>
      <c r="H65" s="16" t="s">
        <v>84</v>
      </c>
    </row>
    <row r="66" spans="1:37">
      <c r="A66" s="3" t="s">
        <v>4</v>
      </c>
      <c r="B66" s="4" t="s">
        <v>85</v>
      </c>
      <c r="C66" s="4" t="s">
        <v>86</v>
      </c>
      <c r="D66" s="4" t="s">
        <v>87</v>
      </c>
      <c r="E66" s="4" t="s">
        <v>88</v>
      </c>
      <c r="F66" s="4" t="s">
        <v>89</v>
      </c>
      <c r="G66" s="4" t="s">
        <v>90</v>
      </c>
      <c r="H66" s="4" t="s">
        <v>85</v>
      </c>
      <c r="I66" s="4" t="s">
        <v>87</v>
      </c>
      <c r="J66" s="4" t="s">
        <v>89</v>
      </c>
    </row>
    <row r="67" spans="1:37">
      <c r="A67" s="2" t="s">
        <v>110</v>
      </c>
      <c r="B67" s="13">
        <v>9.0</v>
      </c>
      <c r="C67" s="13">
        <v>0.0</v>
      </c>
      <c r="D67" s="13">
        <v>1.0</v>
      </c>
      <c r="E67" s="13">
        <v>1.0</v>
      </c>
      <c r="F67" s="13">
        <v>7.0</v>
      </c>
      <c r="G67" s="13">
        <v>0.0</v>
      </c>
      <c r="H67" s="13">
        <v>8.0</v>
      </c>
      <c r="I67" s="13">
        <v>0.0</v>
      </c>
      <c r="J67" s="13">
        <v>8.0</v>
      </c>
    </row>
    <row r="68" spans="1:37">
      <c r="A68" s="2" t="s">
        <v>112</v>
      </c>
      <c r="B68" s="13">
        <v>5.0</v>
      </c>
      <c r="C68" s="13">
        <v>0.0</v>
      </c>
      <c r="D68" s="13">
        <v>0.0</v>
      </c>
      <c r="E68" s="13">
        <v>1.0</v>
      </c>
      <c r="F68" s="13">
        <v>4.0</v>
      </c>
      <c r="G68" s="13">
        <v>0.0</v>
      </c>
      <c r="H68" s="13">
        <v>4.0</v>
      </c>
      <c r="I68" s="13">
        <v>0.0</v>
      </c>
      <c r="J68" s="13">
        <v>4.0</v>
      </c>
    </row>
    <row r="69" spans="1:37">
      <c r="A69" s="2" t="s">
        <v>113</v>
      </c>
      <c r="B69" s="13">
        <v>2.0</v>
      </c>
      <c r="C69" s="13">
        <v>0.0</v>
      </c>
      <c r="D69" s="13">
        <v>0.0</v>
      </c>
      <c r="E69" s="13">
        <v>0.0</v>
      </c>
      <c r="F69" s="13">
        <v>2.0</v>
      </c>
      <c r="G69" s="13">
        <v>0.0</v>
      </c>
      <c r="H69" s="13">
        <v>1.0</v>
      </c>
      <c r="I69" s="13">
        <v>0.0</v>
      </c>
      <c r="J69" s="13">
        <v>1.0</v>
      </c>
    </row>
    <row r="70" spans="1:37">
      <c r="A70" s="2" t="s">
        <v>115</v>
      </c>
      <c r="B70" s="13">
        <v>14.0</v>
      </c>
      <c r="C70" s="13">
        <v>0.0</v>
      </c>
      <c r="D70" s="13">
        <v>0.0</v>
      </c>
      <c r="E70" s="13">
        <v>2.0</v>
      </c>
      <c r="F70" s="13">
        <v>9.0</v>
      </c>
      <c r="G70" s="13">
        <v>0.0</v>
      </c>
      <c r="H70" s="13">
        <v>7.0</v>
      </c>
      <c r="I70" s="13">
        <v>0.0</v>
      </c>
      <c r="J70" s="13">
        <v>7.0</v>
      </c>
    </row>
    <row r="71" spans="1:37">
      <c r="A71" s="2" t="s">
        <v>127</v>
      </c>
      <c r="B71" s="13">
        <v>3.0</v>
      </c>
      <c r="C71" s="13">
        <v>0.0</v>
      </c>
      <c r="D71" s="13">
        <v>0.0</v>
      </c>
      <c r="E71" s="13">
        <v>2.0</v>
      </c>
      <c r="F71" s="13">
        <v>1.0</v>
      </c>
      <c r="G71" s="13">
        <v>0.0</v>
      </c>
      <c r="H71" s="13">
        <v>1.0</v>
      </c>
      <c r="I71" s="13">
        <v>0.0</v>
      </c>
      <c r="J71" s="13">
        <v>1.0</v>
      </c>
    </row>
    <row r="72" spans="1:37">
      <c r="A72" s="2" t="s">
        <v>116</v>
      </c>
      <c r="B72" s="13">
        <v>5.0</v>
      </c>
      <c r="C72" s="13">
        <v>0.0</v>
      </c>
      <c r="D72" s="13">
        <v>0.0</v>
      </c>
      <c r="E72" s="13">
        <v>0.0</v>
      </c>
      <c r="F72" s="13">
        <v>4.0</v>
      </c>
      <c r="G72" s="13">
        <v>0.0</v>
      </c>
      <c r="H72" s="13">
        <v>4.0</v>
      </c>
      <c r="I72" s="13">
        <v>0.0</v>
      </c>
      <c r="J72" s="13">
        <v>4.0</v>
      </c>
    </row>
    <row r="73" spans="1:37">
      <c r="A73" s="2" t="s">
        <v>128</v>
      </c>
      <c r="B73" s="13">
        <v>1.0</v>
      </c>
      <c r="C73" s="13">
        <v>0.0</v>
      </c>
      <c r="D73" s="13">
        <v>0.0</v>
      </c>
      <c r="E73" s="13">
        <v>0.0</v>
      </c>
      <c r="F73" s="13">
        <v>1.0</v>
      </c>
      <c r="G73" s="13">
        <v>0.0</v>
      </c>
      <c r="H73" s="13">
        <v>1.0</v>
      </c>
      <c r="I73" s="13">
        <v>0.0</v>
      </c>
      <c r="J73" s="13">
        <v>0.0</v>
      </c>
    </row>
    <row r="74" spans="1:37">
      <c r="A74" s="2" t="s">
        <v>129</v>
      </c>
      <c r="B74" s="13">
        <v>2.0</v>
      </c>
      <c r="C74" s="13">
        <v>0.0</v>
      </c>
      <c r="D74" s="13">
        <v>0.0</v>
      </c>
      <c r="E74" s="13">
        <v>0.0</v>
      </c>
      <c r="F74" s="13">
        <v>1.0</v>
      </c>
      <c r="G74" s="13">
        <v>0.0</v>
      </c>
      <c r="H74" s="13">
        <v>1.0</v>
      </c>
      <c r="I74" s="13">
        <v>0.0</v>
      </c>
      <c r="J74" s="13">
        <v>1.0</v>
      </c>
    </row>
    <row r="75" spans="1:37">
      <c r="A75" s="2" t="s">
        <v>117</v>
      </c>
      <c r="B75" s="13">
        <v>1.0</v>
      </c>
      <c r="C75" s="13">
        <v>0.0</v>
      </c>
      <c r="D75" s="13">
        <v>0.0</v>
      </c>
      <c r="E75" s="13">
        <v>1.0</v>
      </c>
      <c r="F75" s="13">
        <v>1.0</v>
      </c>
      <c r="G75" s="13">
        <v>0.0</v>
      </c>
      <c r="H75" s="13">
        <v>1.0</v>
      </c>
      <c r="I75" s="13">
        <v>0.0</v>
      </c>
      <c r="J75" s="13">
        <v>1.0</v>
      </c>
    </row>
    <row r="76" spans="1:37">
      <c r="A76" s="2" t="s">
        <v>118</v>
      </c>
      <c r="B76" s="13">
        <v>12.0</v>
      </c>
      <c r="C76" s="13">
        <v>1.0</v>
      </c>
      <c r="D76" s="13">
        <v>1.0</v>
      </c>
      <c r="E76" s="13">
        <v>4.0</v>
      </c>
      <c r="F76" s="13">
        <v>4.0</v>
      </c>
      <c r="G76" s="13">
        <v>0.0</v>
      </c>
      <c r="H76" s="13">
        <v>3.0</v>
      </c>
      <c r="I76" s="13">
        <v>0.0</v>
      </c>
      <c r="J76" s="13">
        <v>3.0</v>
      </c>
    </row>
    <row r="77" spans="1:37">
      <c r="A77" s="2" t="s">
        <v>123</v>
      </c>
      <c r="B77" s="13">
        <v>1.0</v>
      </c>
      <c r="C77" s="13">
        <v>0.0</v>
      </c>
      <c r="D77" s="13">
        <v>0.0</v>
      </c>
      <c r="E77" s="13">
        <v>0.0</v>
      </c>
      <c r="F77" s="13">
        <v>1.0</v>
      </c>
      <c r="G77" s="13">
        <v>1.0</v>
      </c>
      <c r="H77" s="13">
        <v>1.0</v>
      </c>
      <c r="I77" s="13">
        <v>0.0</v>
      </c>
      <c r="J77" s="13">
        <v>0.0</v>
      </c>
    </row>
    <row r="78" spans="1:37">
      <c r="A78" s="2" t="s">
        <v>130</v>
      </c>
      <c r="B78" s="13">
        <v>1.0</v>
      </c>
      <c r="C78" s="13">
        <v>0.0</v>
      </c>
      <c r="D78" s="13">
        <v>0.0</v>
      </c>
      <c r="E78" s="13">
        <v>0.0</v>
      </c>
      <c r="F78" s="13">
        <v>1.0</v>
      </c>
      <c r="G78" s="13">
        <v>0.0</v>
      </c>
      <c r="H78" s="13">
        <v>1.0</v>
      </c>
      <c r="I78" s="13">
        <v>0.0</v>
      </c>
      <c r="J78" s="13">
        <v>1.0</v>
      </c>
    </row>
    <row r="79" spans="1:37">
      <c r="A79" s="9" t="s">
        <v>50</v>
      </c>
      <c r="B79" s="10">
        <f>SUM(B67:B78)</f>
        <v>56</v>
      </c>
      <c r="C79" s="10">
        <f>SUM(C67:C78)</f>
        <v>1</v>
      </c>
      <c r="D79" s="10">
        <f>SUM(D67:D78)</f>
        <v>2</v>
      </c>
      <c r="E79" s="10">
        <f>SUM(E67:E78)</f>
        <v>11</v>
      </c>
      <c r="F79" s="10">
        <f>SUM(F67:F78)</f>
        <v>36</v>
      </c>
      <c r="G79" s="10">
        <f>SUM(G67:G78)</f>
        <v>1</v>
      </c>
      <c r="H79" s="10">
        <f>SUM(H67:H78)</f>
        <v>33</v>
      </c>
      <c r="I79" s="10">
        <f>SUM(I67:I78)</f>
        <v>0</v>
      </c>
      <c r="J79" s="10">
        <f>SUM(J67:J78)</f>
        <v>31</v>
      </c>
    </row>
    <row r="81" spans="1:37">
      <c r="A81" s="1" t="s">
        <v>91</v>
      </c>
    </row>
    <row r="82" spans="1:37">
      <c r="A82" s="3" t="s">
        <v>92</v>
      </c>
      <c r="B82" s="4" t="s">
        <v>19</v>
      </c>
      <c r="C82" s="4" t="s">
        <v>20</v>
      </c>
      <c r="D82" s="4" t="s">
        <v>93</v>
      </c>
      <c r="E82" s="7" t="s">
        <v>95</v>
      </c>
      <c r="V82" s="8" t="s">
        <v>94</v>
      </c>
    </row>
    <row r="83" spans="1:37">
      <c r="A83" s="2" t="s">
        <v>96</v>
      </c>
      <c r="B83" s="13">
        <v>42.0</v>
      </c>
      <c r="C83" s="13">
        <v>63.0</v>
      </c>
      <c r="D83" s="13">
        <f>B83 + C83</f>
        <v>105</v>
      </c>
      <c r="E83" s="15">
        <f>IF(0 = V83, 0, D83 / V83)</f>
        <v>0.92105263157895</v>
      </c>
      <c r="V83" s="13">
        <v>114.0</v>
      </c>
    </row>
    <row r="84" spans="1:37">
      <c r="A84" s="2" t="s">
        <v>97</v>
      </c>
      <c r="B84" s="13">
        <v>0.0</v>
      </c>
      <c r="C84" s="13">
        <v>9.0</v>
      </c>
      <c r="D84" s="13">
        <f>B84 + C84</f>
        <v>9</v>
      </c>
      <c r="E84" s="15">
        <f>IF(0 = V84, 0, D84 / V84)</f>
        <v>0.078947368421053</v>
      </c>
      <c r="V84" s="13">
        <v>114.0</v>
      </c>
    </row>
    <row r="85" spans="1:37">
      <c r="A85" s="9" t="s">
        <v>50</v>
      </c>
      <c r="B85" s="10">
        <f>SUM(B83:B84)</f>
        <v>42</v>
      </c>
      <c r="C85" s="10">
        <f>SUM(C83:C84)</f>
        <v>72</v>
      </c>
      <c r="D85" s="10">
        <f>SUM(D83:D84)</f>
        <v>114</v>
      </c>
    </row>
  </sheetData>
  <mergeCells>
    <mergeCell ref="A45:B45"/>
    <mergeCell ref="C45:J45"/>
    <mergeCell ref="K45:N45"/>
    <mergeCell ref="O45:O45"/>
    <mergeCell ref="A65:A65"/>
    <mergeCell ref="B65:G65"/>
    <mergeCell ref="H65:J65"/>
  </mergeCells>
  <printOptions gridLines="false" gridLinesSet="true" horizontalCentered="true"/>
  <pageMargins left="0.5" right="0.5" top="0.5" bottom="0.5" header="0.25" footer="0.25"/>
  <pageSetup paperSize="1" orientation="landscape" scale="100" fitToHeight="0" fitToWidth="1" pageOrder="downThenOver"/>
  <headerFooter differentOddEven="false" differentFirst="false" scaleWithDoc="true" alignWithMargins="true">
    <oddHeader>&amp;L 02 - RISE - Box Score</oddHeader>
    <oddFooter>&amp;L Page &amp;P of &amp;N &amp;R &amp;I Box Score 4.0 generated04/30/2026 at 11:35am EDT&amp;I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K38"/>
  <sheetViews>
    <sheetView tabSelected="0" workbookViewId="0" showGridLines="true" showRowColHeaders="1">
      <selection activeCell="E36" sqref="E36:E37"/>
    </sheetView>
  </sheetViews>
  <sheetFormatPr defaultRowHeight="14.4" outlineLevelRow="0" outlineLevelCol="0"/>
  <cols>
    <col min="1" max="1" width="22.142857142857" customWidth="true" style="0"/>
    <col min="2" max="2" width="22.142857142857" customWidth="true" style="0"/>
    <col min="3" max="3" width="22.142857142857" customWidth="true" style="0"/>
    <col min="4" max="4" width="22.142857142857" customWidth="true" style="0"/>
    <col min="5" max="5" width="22.142857142857" customWidth="true" style="0"/>
    <col min="6" max="6" width="20.714285714286" customWidth="true" style="0"/>
    <col min="7" max="7" width="20.714285714286" customWidth="true" style="0"/>
    <col min="8" max="8" width="21" customWidth="true" style="0"/>
    <col min="9" max="9" width="21.428571428571" customWidth="true" style="0"/>
    <col min="10" max="10" width="20.714285714286" customWidth="true" style="0"/>
    <col min="11" max="11" width="18.571428571429" customWidth="true" style="0"/>
    <col min="12" max="12" width="18.571428571429" customWidth="true" style="0"/>
    <col min="13" max="13" width="18.571428571429" customWidth="true" style="0"/>
    <col min="14" max="14" width="18.571428571429" customWidth="true" style="0"/>
    <col min="15" max="15" width="18.142857142857" customWidth="true" style="0"/>
    <col min="16" max="16" width="22.857142857143" customWidth="true" style="0"/>
    <col min="17" max="17" width="23.571428571429" customWidth="true" style="0"/>
    <col min="18" max="18" width="23.571428571429" customWidth="true" style="0"/>
    <col min="19" max="19" width="23.571428571429" customWidth="true" style="0"/>
    <col min="20" max="20" width="23.571428571429" customWidth="true" style="0"/>
    <col min="22" max="22" width="14.428571428571" hidden="true" customWidth="true" style="0"/>
    <col min="23" max="23" width="17.428571428571" hidden="true" customWidth="true" style="0"/>
    <col min="24" max="24" width="17.428571428571" hidden="true" customWidth="true" style="0"/>
    <col min="25" max="25" width="17.428571428571" hidden="true" customWidth="true" style="0"/>
    <col min="26" max="26" width="17.428571428571" hidden="true" customWidth="true" style="0"/>
    <col min="27" max="27" width="17.428571428571" hidden="true" customWidth="true" style="0"/>
    <col min="28" max="28" width="17.428571428571" hidden="true" customWidth="true" style="0"/>
    <col min="29" max="29" width="17.428571428571" hidden="true" customWidth="true" style="0"/>
    <col min="30" max="30" width="17.428571428571" hidden="true" customWidth="true" style="0"/>
    <col min="31" max="31" width="17.428571428571" hidden="true" customWidth="true" style="0"/>
    <col min="32" max="32" width="17.428571428571" hidden="true" customWidth="true" style="0"/>
    <col min="33" max="33" width="17.428571428571" hidden="true" customWidth="true" style="0"/>
    <col min="34" max="34" width="17.428571428571" hidden="true" customWidth="true" style="0"/>
    <col min="35" max="35" width="17.428571428571" hidden="true" customWidth="true" style="0"/>
    <col min="36" max="36" width="17.428571428571" hidden="true" customWidth="true" style="0"/>
    <col min="37" max="37" width="17.428571428571" hidden="true" customWidth="true" style="0"/>
  </cols>
  <sheetData>
    <row r="2" spans="1:37">
      <c r="A2" s="1" t="s">
        <v>0</v>
      </c>
    </row>
    <row r="3" spans="1:37">
      <c r="A3" s="2" t="s">
        <v>132</v>
      </c>
    </row>
    <row r="4" spans="1:37">
      <c r="A4" s="2" t="s">
        <v>2</v>
      </c>
    </row>
    <row r="6" spans="1:37">
      <c r="A6" s="1" t="s">
        <v>3</v>
      </c>
    </row>
    <row r="7" spans="1:37">
      <c r="A7" s="3" t="s">
        <v>4</v>
      </c>
      <c r="B7" s="4" t="s">
        <v>5</v>
      </c>
      <c r="C7" s="5" t="s">
        <v>6</v>
      </c>
      <c r="D7" s="5" t="s">
        <v>8</v>
      </c>
      <c r="E7" s="5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7" t="s">
        <v>13</v>
      </c>
      <c r="R7" s="7" t="s">
        <v>21</v>
      </c>
      <c r="S7" s="7" t="s">
        <v>22</v>
      </c>
      <c r="T7" s="7" t="s">
        <v>23</v>
      </c>
      <c r="V7" s="6" t="s">
        <v>7</v>
      </c>
      <c r="W7" s="8" t="s">
        <v>24</v>
      </c>
      <c r="X7" s="8" t="s">
        <v>25</v>
      </c>
      <c r="Y7" s="8" t="s">
        <v>26</v>
      </c>
      <c r="Z7" s="8" t="s">
        <v>27</v>
      </c>
      <c r="AA7" s="8" t="s">
        <v>28</v>
      </c>
      <c r="AB7" s="8" t="s">
        <v>29</v>
      </c>
      <c r="AC7" s="8" t="s">
        <v>30</v>
      </c>
      <c r="AD7" s="8" t="s">
        <v>31</v>
      </c>
      <c r="AE7" s="8" t="s">
        <v>32</v>
      </c>
      <c r="AF7" s="8" t="s">
        <v>33</v>
      </c>
      <c r="AG7" s="8" t="s">
        <v>34</v>
      </c>
      <c r="AH7" s="8" t="s">
        <v>35</v>
      </c>
      <c r="AI7" s="8" t="s">
        <v>36</v>
      </c>
      <c r="AJ7" s="8" t="s">
        <v>37</v>
      </c>
      <c r="AK7" s="8" t="s">
        <v>38</v>
      </c>
    </row>
    <row r="8" spans="1:37">
      <c r="A8" s="2" t="s">
        <v>115</v>
      </c>
      <c r="B8" s="13">
        <f>IF(H8 = 0, "--", W8 / H8)</f>
        <v>1442</v>
      </c>
      <c r="C8" s="14">
        <f>IF(H8 = 0, 0, Z8 / H8)</f>
        <v>2181</v>
      </c>
      <c r="D8" s="14">
        <f>IF(I8 = 0, 0, AA8 / I8)</f>
        <v>1970.2</v>
      </c>
      <c r="E8" s="14">
        <f>IF(I8 = 0, 0, AD8 / I8)</f>
        <v>1845.585008954</v>
      </c>
      <c r="F8" s="13">
        <f>H8 + G8</f>
        <v>56</v>
      </c>
      <c r="G8" s="13">
        <v>0.0</v>
      </c>
      <c r="H8" s="13">
        <v>56.0</v>
      </c>
      <c r="I8" s="13">
        <f>L8 + N8 + M8</f>
        <v>45</v>
      </c>
      <c r="J8" s="13">
        <f>O8 + P8</f>
        <v>11</v>
      </c>
      <c r="K8" s="13">
        <v>11.0</v>
      </c>
      <c r="L8" s="13">
        <v>41.0</v>
      </c>
      <c r="M8" s="13">
        <v>1.0</v>
      </c>
      <c r="N8" s="13">
        <v>3.0</v>
      </c>
      <c r="O8" s="13">
        <f>AE8 + AF8</f>
        <v>3</v>
      </c>
      <c r="P8" s="13">
        <f>AG8 + AH8</f>
        <v>8</v>
      </c>
      <c r="Q8" s="15">
        <f>IF(H8 = 0, "--", I8 / H8)</f>
        <v>0.80357142857143</v>
      </c>
      <c r="R8" s="15">
        <f>IF(H8 = 0, "--", AI8 / H8)</f>
        <v>0.85714285714286</v>
      </c>
      <c r="S8" s="15">
        <f>IF(H8 = 0, "--", AK8 / H8)</f>
        <v>0.80357142857143</v>
      </c>
      <c r="T8" s="15">
        <f>IF(H8 = 0, "--", AJ8 / H8)</f>
        <v>0.19642857142857</v>
      </c>
      <c r="V8" s="14">
        <f>IF(H8 = 0, 0, X8 / H8)</f>
        <v>2130.5535714286</v>
      </c>
      <c r="W8" s="13">
        <v>80752.0</v>
      </c>
      <c r="X8" s="13">
        <v>119311.0</v>
      </c>
      <c r="Y8" s="13">
        <v>93653.8</v>
      </c>
      <c r="Z8" s="13">
        <v>122136.0</v>
      </c>
      <c r="AA8" s="13">
        <v>88659.0</v>
      </c>
      <c r="AB8" s="13">
        <v>4994.8</v>
      </c>
      <c r="AC8" s="13">
        <v>83068.705128205</v>
      </c>
      <c r="AD8" s="13">
        <v>83051.32540293</v>
      </c>
      <c r="AE8" s="13">
        <v>2.0</v>
      </c>
      <c r="AF8" s="13">
        <v>1.0</v>
      </c>
      <c r="AG8" s="13">
        <v>8.0</v>
      </c>
      <c r="AH8" s="13">
        <v>0.0</v>
      </c>
      <c r="AI8" s="13">
        <f>L8 + M8 + O8 + N8</f>
        <v>48</v>
      </c>
      <c r="AJ8" s="13">
        <f>P8 + N8</f>
        <v>11</v>
      </c>
      <c r="AK8" s="13">
        <f>L8 + M8 + O8</f>
        <v>45</v>
      </c>
    </row>
    <row r="9" spans="1:37">
      <c r="A9" s="2" t="s">
        <v>123</v>
      </c>
      <c r="B9" s="13">
        <f>IF(H9 = 0, "--", W9 / H9)</f>
        <v>1785</v>
      </c>
      <c r="C9" s="14">
        <f>IF(H9 = 0, 0, Z9 / H9)</f>
        <v>2626</v>
      </c>
      <c r="D9" s="14">
        <f>IF(I9 = 0, 0, AA9 / I9)</f>
        <v>2237.2258064516</v>
      </c>
      <c r="E9" s="14">
        <f>IF(I9 = 0, 0, AD9 / I9)</f>
        <v>2090.3034363071</v>
      </c>
      <c r="F9" s="13">
        <f>H9 + G9</f>
        <v>166</v>
      </c>
      <c r="G9" s="13">
        <v>0.0</v>
      </c>
      <c r="H9" s="13">
        <v>166.0</v>
      </c>
      <c r="I9" s="13">
        <f>L9 + N9 + M9</f>
        <v>124</v>
      </c>
      <c r="J9" s="13">
        <f>O9 + P9</f>
        <v>42</v>
      </c>
      <c r="K9" s="13">
        <v>37.0</v>
      </c>
      <c r="L9" s="13">
        <v>119.0</v>
      </c>
      <c r="M9" s="13">
        <v>0.0</v>
      </c>
      <c r="N9" s="13">
        <v>5.0</v>
      </c>
      <c r="O9" s="13">
        <f>AE9 + AF9</f>
        <v>10</v>
      </c>
      <c r="P9" s="13">
        <f>AG9 + AH9</f>
        <v>32</v>
      </c>
      <c r="Q9" s="15">
        <f>IF(H9 = 0, "--", I9 / H9)</f>
        <v>0.74698795180723</v>
      </c>
      <c r="R9" s="15">
        <f>IF(H9 = 0, "--", AI9 / H9)</f>
        <v>0.80722891566265</v>
      </c>
      <c r="S9" s="15">
        <f>IF(H9 = 0, "--", AK9 / H9)</f>
        <v>0.77710843373494</v>
      </c>
      <c r="T9" s="15">
        <f>IF(H9 = 0, "--", AJ9 / H9)</f>
        <v>0.22289156626506</v>
      </c>
      <c r="V9" s="14">
        <f>IF(H9 = 0, 0, X9 / H9)</f>
        <v>2418.0240963855</v>
      </c>
      <c r="W9" s="13">
        <v>296310.0</v>
      </c>
      <c r="X9" s="13">
        <v>401392.0</v>
      </c>
      <c r="Y9" s="13">
        <v>288922.29</v>
      </c>
      <c r="Z9" s="13">
        <v>435916.0</v>
      </c>
      <c r="AA9" s="13">
        <v>277416.0</v>
      </c>
      <c r="AB9" s="13">
        <v>11506.29</v>
      </c>
      <c r="AC9" s="13">
        <v>259443.31831502</v>
      </c>
      <c r="AD9" s="13">
        <v>259197.62610208</v>
      </c>
      <c r="AE9" s="13">
        <v>8.0</v>
      </c>
      <c r="AF9" s="13">
        <v>2.0</v>
      </c>
      <c r="AG9" s="13">
        <v>28.0</v>
      </c>
      <c r="AH9" s="13">
        <v>4.0</v>
      </c>
      <c r="AI9" s="13">
        <f>L9 + M9 + O9 + N9</f>
        <v>134</v>
      </c>
      <c r="AJ9" s="13">
        <f>P9 + N9</f>
        <v>37</v>
      </c>
      <c r="AK9" s="13">
        <f>L9 + M9 + O9</f>
        <v>129</v>
      </c>
    </row>
    <row r="10" spans="1:37">
      <c r="A10" s="9" t="s">
        <v>50</v>
      </c>
      <c r="B10" s="10">
        <f>IF(H10 = 0, "--", W10 / H10)</f>
        <v>1698.4774774775</v>
      </c>
      <c r="C10" s="11">
        <f>IF(H10 = 0, 0, Z10 / H10)</f>
        <v>2513.7477477477</v>
      </c>
      <c r="D10" s="11">
        <f>IF(I10 = 0, 0, AA10 / I10)</f>
        <v>2166.124260355</v>
      </c>
      <c r="E10" s="11">
        <f>IF(I10 = 0, 0, AD10 / I10)</f>
        <v>2025.1417248817</v>
      </c>
      <c r="F10" s="10">
        <f>H10 + G10</f>
        <v>222</v>
      </c>
      <c r="G10" s="10">
        <f>SUM(G8:G9)</f>
        <v>0</v>
      </c>
      <c r="H10" s="10">
        <f>SUM(H8:H9)</f>
        <v>222</v>
      </c>
      <c r="I10" s="10">
        <f>L10 + N10 + M10</f>
        <v>169</v>
      </c>
      <c r="J10" s="10">
        <f>O10 + P10</f>
        <v>53</v>
      </c>
      <c r="K10" s="10">
        <f>SUM(K8:K9)</f>
        <v>48</v>
      </c>
      <c r="L10" s="10">
        <f>SUM(L8:L9)</f>
        <v>160</v>
      </c>
      <c r="M10" s="10">
        <f>SUM(M8:M9)</f>
        <v>1</v>
      </c>
      <c r="N10" s="10">
        <f>SUM(N8:N9)</f>
        <v>8</v>
      </c>
      <c r="O10" s="10">
        <f>AE10 + AF10</f>
        <v>13</v>
      </c>
      <c r="P10" s="10">
        <f>AG10 + AH10</f>
        <v>40</v>
      </c>
      <c r="Q10" s="12">
        <f>IF(H10 = 0, "--", I10 / H10)</f>
        <v>0.76126126126126</v>
      </c>
      <c r="R10" s="12">
        <f>IF(H10 = 0, "--", AI10 / H10)</f>
        <v>0.81981981981982</v>
      </c>
      <c r="S10" s="12">
        <f>IF(H10 = 0, "--", AK10 / H10)</f>
        <v>0.78378378378378</v>
      </c>
      <c r="T10" s="12">
        <f>IF(H10 = 0, "--", AJ10 / H10)</f>
        <v>0.21621621621622</v>
      </c>
      <c r="V10" s="11">
        <f>IF(H10 = 0, 0, X10 / H10)</f>
        <v>2345.509009009</v>
      </c>
      <c r="W10" s="10">
        <f>SUM(W8:W9)</f>
        <v>377062</v>
      </c>
      <c r="X10" s="10">
        <f>SUM(X8:X9)</f>
        <v>520703</v>
      </c>
      <c r="Y10" s="10">
        <f>SUM(Y8:Y9)</f>
        <v>382576.09</v>
      </c>
      <c r="Z10" s="10">
        <f>SUM(Z8:Z9)</f>
        <v>558052</v>
      </c>
      <c r="AA10" s="10">
        <f>SUM(AA8:AA9)</f>
        <v>366075</v>
      </c>
      <c r="AB10" s="10">
        <f>SUM(AB8:AB9)</f>
        <v>16501.09</v>
      </c>
      <c r="AC10" s="10">
        <f>SUM(AC8:AC9)</f>
        <v>342512.02344322</v>
      </c>
      <c r="AD10" s="10">
        <f>SUM(AD8:AD9)</f>
        <v>342248.95150502</v>
      </c>
      <c r="AE10" s="10">
        <f>SUM(AE8:AE9)</f>
        <v>10</v>
      </c>
      <c r="AF10" s="10">
        <f>SUM(AF8:AF9)</f>
        <v>3</v>
      </c>
      <c r="AG10" s="10">
        <f>SUM(AG8:AG9)</f>
        <v>36</v>
      </c>
      <c r="AH10" s="10">
        <f>SUM(AH8:AH9)</f>
        <v>4</v>
      </c>
      <c r="AI10" s="10">
        <f>L10 + M10 + O10 + N10</f>
        <v>182</v>
      </c>
      <c r="AJ10" s="10">
        <f>P10 + N10</f>
        <v>48</v>
      </c>
      <c r="AK10" s="10">
        <f>L10 + M10 + O10</f>
        <v>174</v>
      </c>
    </row>
    <row r="12" spans="1:37">
      <c r="A12" s="1" t="s">
        <v>51</v>
      </c>
    </row>
    <row r="13" spans="1:37">
      <c r="A13" s="3" t="s">
        <v>4</v>
      </c>
      <c r="B13" s="4" t="s">
        <v>10</v>
      </c>
      <c r="C13" s="4" t="s">
        <v>52</v>
      </c>
      <c r="D13" s="4" t="s">
        <v>53</v>
      </c>
      <c r="E13" s="4" t="s">
        <v>54</v>
      </c>
      <c r="F13" s="4" t="s">
        <v>55</v>
      </c>
      <c r="G13" s="4" t="s">
        <v>56</v>
      </c>
      <c r="H13" s="4" t="s">
        <v>57</v>
      </c>
      <c r="I13" s="4" t="s">
        <v>58</v>
      </c>
      <c r="J13" s="4" t="s">
        <v>60</v>
      </c>
      <c r="K13" s="4" t="s">
        <v>61</v>
      </c>
      <c r="L13" s="4" t="s">
        <v>62</v>
      </c>
      <c r="M13" s="4" t="s">
        <v>21</v>
      </c>
      <c r="V13" s="8" t="s">
        <v>59</v>
      </c>
    </row>
    <row r="14" spans="1:37">
      <c r="A14" s="2" t="s">
        <v>115</v>
      </c>
      <c r="B14" s="13">
        <v>56.0</v>
      </c>
      <c r="C14" s="13">
        <v>2.0</v>
      </c>
      <c r="D14" s="13">
        <v>0.0</v>
      </c>
      <c r="E14" s="13">
        <v>0.0</v>
      </c>
      <c r="F14" s="13">
        <v>0.0</v>
      </c>
      <c r="G14" s="13">
        <v>0.0</v>
      </c>
      <c r="H14" s="13">
        <v>1.0</v>
      </c>
      <c r="I14" s="13">
        <v>0.0</v>
      </c>
      <c r="J14" s="13">
        <v>0.0</v>
      </c>
      <c r="K14" s="13">
        <v>0.0</v>
      </c>
      <c r="L14" s="13">
        <v>0.0</v>
      </c>
      <c r="M14" s="13">
        <v>3.0</v>
      </c>
      <c r="V14" s="13">
        <v>1.0</v>
      </c>
    </row>
    <row r="15" spans="1:37">
      <c r="A15" s="2" t="s">
        <v>123</v>
      </c>
      <c r="B15" s="13">
        <v>166.0</v>
      </c>
      <c r="C15" s="13">
        <v>8.0</v>
      </c>
      <c r="D15" s="13">
        <v>0.0</v>
      </c>
      <c r="E15" s="13">
        <v>0.0</v>
      </c>
      <c r="F15" s="13">
        <v>4.0</v>
      </c>
      <c r="G15" s="13">
        <v>0.0</v>
      </c>
      <c r="H15" s="13">
        <v>4.0</v>
      </c>
      <c r="I15" s="13">
        <v>3.0</v>
      </c>
      <c r="J15" s="13">
        <v>0.0</v>
      </c>
      <c r="K15" s="13">
        <v>0.0</v>
      </c>
      <c r="L15" s="13">
        <v>0.0</v>
      </c>
      <c r="M15" s="13">
        <v>10.0</v>
      </c>
      <c r="V15" s="13">
        <v>3.0</v>
      </c>
    </row>
    <row r="16" spans="1:37">
      <c r="A16" s="9" t="s">
        <v>50</v>
      </c>
      <c r="B16" s="10">
        <f>SUM(B14:B15)</f>
        <v>222</v>
      </c>
      <c r="C16" s="10">
        <f>SUM(C14:C15)</f>
        <v>10</v>
      </c>
      <c r="D16" s="10">
        <f>SUM(D14:D15)</f>
        <v>0</v>
      </c>
      <c r="E16" s="10">
        <f>SUM(E14:E15)</f>
        <v>0</v>
      </c>
      <c r="F16" s="10">
        <f>SUM(F14:F15)</f>
        <v>4</v>
      </c>
      <c r="G16" s="10">
        <f>SUM(G14:G15)</f>
        <v>0</v>
      </c>
      <c r="H16" s="10">
        <f>SUM(H14:H15)</f>
        <v>5</v>
      </c>
      <c r="I16" s="10">
        <f>SUM(I14:I15)</f>
        <v>3</v>
      </c>
      <c r="J16" s="10">
        <f>SUM(J14:J15)</f>
        <v>0</v>
      </c>
      <c r="K16" s="10">
        <f>SUM(K14:K15)</f>
        <v>0</v>
      </c>
      <c r="L16" s="10">
        <f>SUM(L14:L15)</f>
        <v>0</v>
      </c>
      <c r="M16" s="10">
        <f>SUM(M14:M15)</f>
        <v>13</v>
      </c>
    </row>
    <row r="18" spans="1:37">
      <c r="A18" s="1" t="s">
        <v>63</v>
      </c>
    </row>
    <row r="19" spans="1:37">
      <c r="C19" s="16" t="s">
        <v>64</v>
      </c>
      <c r="K19" s="16" t="s">
        <v>65</v>
      </c>
      <c r="O19" s="16" t="s">
        <v>66</v>
      </c>
    </row>
    <row r="20" spans="1:37">
      <c r="A20" s="3" t="s">
        <v>4</v>
      </c>
      <c r="B20" s="4" t="s">
        <v>67</v>
      </c>
      <c r="C20" s="4" t="s">
        <v>68</v>
      </c>
      <c r="D20" s="4" t="s">
        <v>69</v>
      </c>
      <c r="E20" s="4" t="s">
        <v>70</v>
      </c>
      <c r="F20" s="4" t="s">
        <v>71</v>
      </c>
      <c r="G20" s="4" t="s">
        <v>72</v>
      </c>
      <c r="H20" s="4" t="s">
        <v>73</v>
      </c>
      <c r="I20" s="4" t="s">
        <v>74</v>
      </c>
      <c r="J20" s="4" t="s">
        <v>75</v>
      </c>
      <c r="K20" s="4" t="s">
        <v>76</v>
      </c>
      <c r="L20" s="4" t="s">
        <v>77</v>
      </c>
      <c r="M20" s="4" t="s">
        <v>78</v>
      </c>
      <c r="N20" s="4" t="s">
        <v>79</v>
      </c>
      <c r="O20" s="4" t="s">
        <v>80</v>
      </c>
    </row>
    <row r="21" spans="1:37">
      <c r="A21" s="2" t="s">
        <v>115</v>
      </c>
      <c r="B21" s="13">
        <v>14.0</v>
      </c>
      <c r="C21" s="13">
        <v>0.0</v>
      </c>
      <c r="D21" s="13">
        <v>6.0</v>
      </c>
      <c r="E21" s="13">
        <v>4.0</v>
      </c>
      <c r="F21" s="13">
        <v>2.0</v>
      </c>
      <c r="G21" s="13">
        <v>0.0</v>
      </c>
      <c r="H21" s="13">
        <v>0.0</v>
      </c>
      <c r="I21" s="13">
        <v>0.0</v>
      </c>
      <c r="J21" s="13">
        <v>2.0</v>
      </c>
      <c r="K21" s="13">
        <v>157.0</v>
      </c>
      <c r="L21" s="13">
        <v>64.0</v>
      </c>
      <c r="M21" s="13">
        <v>0.0</v>
      </c>
      <c r="N21" s="13">
        <v>57.0</v>
      </c>
      <c r="O21" s="13">
        <v>4.0</v>
      </c>
    </row>
    <row r="22" spans="1:37">
      <c r="A22" s="2" t="s">
        <v>123</v>
      </c>
      <c r="B22" s="13">
        <v>30.0</v>
      </c>
      <c r="C22" s="13">
        <v>0.0</v>
      </c>
      <c r="D22" s="13">
        <v>3.0</v>
      </c>
      <c r="E22" s="13">
        <v>17.0</v>
      </c>
      <c r="F22" s="13">
        <v>2.0</v>
      </c>
      <c r="G22" s="13">
        <v>0.0</v>
      </c>
      <c r="H22" s="13">
        <v>0.0</v>
      </c>
      <c r="I22" s="13">
        <v>0.0</v>
      </c>
      <c r="J22" s="13">
        <v>8.0</v>
      </c>
      <c r="K22" s="13">
        <v>257.0</v>
      </c>
      <c r="L22" s="13">
        <v>174.0</v>
      </c>
      <c r="M22" s="13">
        <v>0.0</v>
      </c>
      <c r="N22" s="13">
        <v>198.0</v>
      </c>
      <c r="O22" s="13">
        <v>13.0</v>
      </c>
    </row>
    <row r="23" spans="1:37">
      <c r="A23" s="2" t="s">
        <v>81</v>
      </c>
      <c r="B23" s="13">
        <v>127.0</v>
      </c>
      <c r="C23" s="13">
        <v>0.0</v>
      </c>
      <c r="D23" s="13">
        <v>23.0</v>
      </c>
      <c r="E23" s="13">
        <v>15.0</v>
      </c>
      <c r="F23" s="13">
        <v>27.0</v>
      </c>
      <c r="G23" s="13">
        <v>0.0</v>
      </c>
      <c r="H23" s="13">
        <v>0.0</v>
      </c>
      <c r="I23" s="13">
        <v>0.0</v>
      </c>
      <c r="J23" s="13">
        <v>62.0</v>
      </c>
      <c r="K23" s="13">
        <v>733.0</v>
      </c>
      <c r="L23" s="13">
        <v>170.0</v>
      </c>
      <c r="M23" s="13">
        <v>0.0</v>
      </c>
      <c r="N23" s="13">
        <v>204.0</v>
      </c>
      <c r="O23" s="13">
        <v>42.0</v>
      </c>
    </row>
    <row r="24" spans="1:37">
      <c r="A24" s="9" t="s">
        <v>50</v>
      </c>
      <c r="B24" s="10">
        <f>SUM(B21:B23)</f>
        <v>171</v>
      </c>
      <c r="C24" s="10">
        <f>SUM(C21:C23)</f>
        <v>0</v>
      </c>
      <c r="D24" s="10">
        <f>SUM(D21:D23)</f>
        <v>32</v>
      </c>
      <c r="E24" s="10">
        <f>SUM(E21:E23)</f>
        <v>36</v>
      </c>
      <c r="F24" s="10">
        <f>SUM(F21:F23)</f>
        <v>31</v>
      </c>
      <c r="G24" s="10">
        <f>SUM(G21:G23)</f>
        <v>0</v>
      </c>
      <c r="H24" s="10">
        <f>SUM(H21:H23)</f>
        <v>0</v>
      </c>
      <c r="I24" s="10">
        <f>SUM(I21:I23)</f>
        <v>0</v>
      </c>
      <c r="J24" s="10">
        <f>SUM(J21:J23)</f>
        <v>72</v>
      </c>
      <c r="K24" s="10">
        <f>SUM(K21:K23)</f>
        <v>1147</v>
      </c>
      <c r="L24" s="10">
        <f>SUM(L21:L23)</f>
        <v>408</v>
      </c>
      <c r="M24" s="10">
        <f>SUM(M21:M23)</f>
        <v>0</v>
      </c>
      <c r="N24" s="10">
        <f>SUM(N21:N23)</f>
        <v>459</v>
      </c>
      <c r="O24" s="10">
        <f>SUM(O21:O23)</f>
        <v>59</v>
      </c>
    </row>
    <row r="26" spans="1:37">
      <c r="A26" s="1" t="s">
        <v>82</v>
      </c>
    </row>
    <row r="27" spans="1:37">
      <c r="B27" s="16" t="s">
        <v>83</v>
      </c>
      <c r="H27" s="16" t="s">
        <v>84</v>
      </c>
    </row>
    <row r="28" spans="1:37">
      <c r="A28" s="3" t="s">
        <v>4</v>
      </c>
      <c r="B28" s="4" t="s">
        <v>85</v>
      </c>
      <c r="C28" s="4" t="s">
        <v>86</v>
      </c>
      <c r="D28" s="4" t="s">
        <v>87</v>
      </c>
      <c r="E28" s="4" t="s">
        <v>88</v>
      </c>
      <c r="F28" s="4" t="s">
        <v>89</v>
      </c>
      <c r="G28" s="4" t="s">
        <v>90</v>
      </c>
      <c r="H28" s="4" t="s">
        <v>85</v>
      </c>
      <c r="I28" s="4" t="s">
        <v>87</v>
      </c>
      <c r="J28" s="4" t="s">
        <v>89</v>
      </c>
    </row>
    <row r="29" spans="1:37">
      <c r="A29" s="2" t="s">
        <v>115</v>
      </c>
      <c r="B29" s="13">
        <v>1.0</v>
      </c>
      <c r="C29" s="13">
        <v>1.0</v>
      </c>
      <c r="D29" s="13">
        <v>0.0</v>
      </c>
      <c r="E29" s="13">
        <v>0.0</v>
      </c>
      <c r="F29" s="13">
        <v>3.0</v>
      </c>
      <c r="G29" s="13">
        <v>1.0</v>
      </c>
      <c r="H29" s="13">
        <v>3.0</v>
      </c>
      <c r="I29" s="13">
        <v>0.0</v>
      </c>
      <c r="J29" s="13">
        <v>3.0</v>
      </c>
    </row>
    <row r="30" spans="1:37">
      <c r="A30" s="2" t="s">
        <v>123</v>
      </c>
      <c r="B30" s="13">
        <v>9.0</v>
      </c>
      <c r="C30" s="13">
        <v>0.0</v>
      </c>
      <c r="D30" s="13">
        <v>0.0</v>
      </c>
      <c r="E30" s="13">
        <v>3.0</v>
      </c>
      <c r="F30" s="13">
        <v>10.0</v>
      </c>
      <c r="G30" s="13">
        <v>1.0</v>
      </c>
      <c r="H30" s="13">
        <v>10.0</v>
      </c>
      <c r="I30" s="13">
        <v>0.0</v>
      </c>
      <c r="J30" s="13">
        <v>11.0</v>
      </c>
    </row>
    <row r="31" spans="1:37">
      <c r="A31" s="2" t="s">
        <v>81</v>
      </c>
      <c r="B31" s="13">
        <v>1.0</v>
      </c>
      <c r="C31" s="13">
        <v>0.0</v>
      </c>
      <c r="D31" s="13">
        <v>1.0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</row>
    <row r="32" spans="1:37">
      <c r="A32" s="9" t="s">
        <v>50</v>
      </c>
      <c r="B32" s="10">
        <f>SUM(B29:B31)</f>
        <v>11</v>
      </c>
      <c r="C32" s="10">
        <f>SUM(C29:C31)</f>
        <v>1</v>
      </c>
      <c r="D32" s="10">
        <f>SUM(D29:D31)</f>
        <v>1</v>
      </c>
      <c r="E32" s="10">
        <f>SUM(E29:E31)</f>
        <v>3</v>
      </c>
      <c r="F32" s="10">
        <f>SUM(F29:F31)</f>
        <v>13</v>
      </c>
      <c r="G32" s="10">
        <f>SUM(G29:G31)</f>
        <v>2</v>
      </c>
      <c r="H32" s="10">
        <f>SUM(H29:H31)</f>
        <v>13</v>
      </c>
      <c r="I32" s="10">
        <f>SUM(I29:I31)</f>
        <v>0</v>
      </c>
      <c r="J32" s="10">
        <f>SUM(J29:J31)</f>
        <v>14</v>
      </c>
    </row>
    <row r="34" spans="1:37">
      <c r="A34" s="1" t="s">
        <v>91</v>
      </c>
    </row>
    <row r="35" spans="1:37">
      <c r="A35" s="3" t="s">
        <v>92</v>
      </c>
      <c r="B35" s="4" t="s">
        <v>19</v>
      </c>
      <c r="C35" s="4" t="s">
        <v>20</v>
      </c>
      <c r="D35" s="4" t="s">
        <v>93</v>
      </c>
      <c r="E35" s="7" t="s">
        <v>95</v>
      </c>
      <c r="V35" s="8" t="s">
        <v>94</v>
      </c>
    </row>
    <row r="36" spans="1:37">
      <c r="A36" s="2" t="s">
        <v>96</v>
      </c>
      <c r="B36" s="13">
        <v>10.0</v>
      </c>
      <c r="C36" s="13">
        <v>36.0</v>
      </c>
      <c r="D36" s="13">
        <f>B36 + C36</f>
        <v>46</v>
      </c>
      <c r="E36" s="15">
        <f>IF(0 = V36, 0, D36 / V36)</f>
        <v>0.86792452830189</v>
      </c>
      <c r="V36" s="13">
        <v>53.0</v>
      </c>
    </row>
    <row r="37" spans="1:37">
      <c r="A37" s="2" t="s">
        <v>97</v>
      </c>
      <c r="B37" s="13">
        <v>3.0</v>
      </c>
      <c r="C37" s="13">
        <v>4.0</v>
      </c>
      <c r="D37" s="13">
        <f>B37 + C37</f>
        <v>7</v>
      </c>
      <c r="E37" s="15">
        <f>IF(0 = V37, 0, D37 / V37)</f>
        <v>0.13207547169811</v>
      </c>
      <c r="V37" s="13">
        <v>53.0</v>
      </c>
    </row>
    <row r="38" spans="1:37">
      <c r="A38" s="9" t="s">
        <v>50</v>
      </c>
      <c r="B38" s="10">
        <f>SUM(B36:B37)</f>
        <v>13</v>
      </c>
      <c r="C38" s="10">
        <f>SUM(C36:C37)</f>
        <v>40</v>
      </c>
      <c r="D38" s="10">
        <f>SUM(D36:D37)</f>
        <v>53</v>
      </c>
    </row>
  </sheetData>
  <mergeCells>
    <mergeCell ref="A19:B19"/>
    <mergeCell ref="C19:J19"/>
    <mergeCell ref="K19:N19"/>
    <mergeCell ref="O19:O19"/>
    <mergeCell ref="A27:A27"/>
    <mergeCell ref="B27:G27"/>
    <mergeCell ref="H27:J27"/>
  </mergeCells>
  <printOptions gridLines="false" gridLinesSet="true" horizontalCentered="true"/>
  <pageMargins left="0.5" right="0.5" top="0.5" bottom="0.5" header="0.25" footer="0.25"/>
  <pageSetup paperSize="1" orientation="landscape" scale="100" fitToHeight="0" fitToWidth="1" pageOrder="downThenOver"/>
  <headerFooter differentOddEven="false" differentFirst="false" scaleWithDoc="true" alignWithMargins="true">
    <oddHeader>&amp;L 02 - RISE - Box Score</oddHeader>
    <oddFooter>&amp;L Page &amp;P of &amp;N &amp;R &amp;I Box Score 4.0 generated04/30/2026 at 11:35am EDT&amp;I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K104"/>
  <sheetViews>
    <sheetView tabSelected="0" workbookViewId="0" showGridLines="true" showRowColHeaders="1">
      <selection activeCell="E102" sqref="E102:E103"/>
    </sheetView>
  </sheetViews>
  <sheetFormatPr defaultRowHeight="14.4" outlineLevelRow="0" outlineLevelCol="0"/>
  <cols>
    <col min="1" max="1" width="22.142857142857" customWidth="true" style="0"/>
    <col min="2" max="2" width="22.142857142857" customWidth="true" style="0"/>
    <col min="3" max="3" width="22.142857142857" customWidth="true" style="0"/>
    <col min="4" max="4" width="22.142857142857" customWidth="true" style="0"/>
    <col min="5" max="5" width="22.142857142857" customWidth="true" style="0"/>
    <col min="6" max="6" width="20.714285714286" customWidth="true" style="0"/>
    <col min="7" max="7" width="20.714285714286" customWidth="true" style="0"/>
    <col min="8" max="8" width="21" customWidth="true" style="0"/>
    <col min="9" max="9" width="21.428571428571" customWidth="true" style="0"/>
    <col min="10" max="10" width="20.714285714286" customWidth="true" style="0"/>
    <col min="11" max="11" width="18.571428571429" customWidth="true" style="0"/>
    <col min="12" max="12" width="18.571428571429" customWidth="true" style="0"/>
    <col min="13" max="13" width="18.571428571429" customWidth="true" style="0"/>
    <col min="14" max="14" width="18.571428571429" customWidth="true" style="0"/>
    <col min="15" max="15" width="18.142857142857" customWidth="true" style="0"/>
    <col min="16" max="16" width="22.857142857143" customWidth="true" style="0"/>
    <col min="17" max="17" width="23.571428571429" customWidth="true" style="0"/>
    <col min="18" max="18" width="23.571428571429" customWidth="true" style="0"/>
    <col min="19" max="19" width="23.571428571429" customWidth="true" style="0"/>
    <col min="20" max="20" width="23.571428571429" customWidth="true" style="0"/>
    <col min="22" max="22" width="14.428571428571" hidden="true" customWidth="true" style="0"/>
    <col min="23" max="23" width="17.428571428571" hidden="true" customWidth="true" style="0"/>
    <col min="24" max="24" width="17.428571428571" hidden="true" customWidth="true" style="0"/>
    <col min="25" max="25" width="17.428571428571" hidden="true" customWidth="true" style="0"/>
    <col min="26" max="26" width="17.428571428571" hidden="true" customWidth="true" style="0"/>
    <col min="27" max="27" width="17.428571428571" hidden="true" customWidth="true" style="0"/>
    <col min="28" max="28" width="17.428571428571" hidden="true" customWidth="true" style="0"/>
    <col min="29" max="29" width="17.428571428571" hidden="true" customWidth="true" style="0"/>
    <col min="30" max="30" width="17.428571428571" hidden="true" customWidth="true" style="0"/>
    <col min="31" max="31" width="17.428571428571" hidden="true" customWidth="true" style="0"/>
    <col min="32" max="32" width="17.428571428571" hidden="true" customWidth="true" style="0"/>
    <col min="33" max="33" width="17.428571428571" hidden="true" customWidth="true" style="0"/>
    <col min="34" max="34" width="17.428571428571" hidden="true" customWidth="true" style="0"/>
    <col min="35" max="35" width="17.428571428571" hidden="true" customWidth="true" style="0"/>
    <col min="36" max="36" width="17.428571428571" hidden="true" customWidth="true" style="0"/>
    <col min="37" max="37" width="17.428571428571" hidden="true" customWidth="true" style="0"/>
  </cols>
  <sheetData>
    <row r="2" spans="1:37">
      <c r="A2" s="1" t="s">
        <v>0</v>
      </c>
    </row>
    <row r="3" spans="1:37">
      <c r="A3" s="2" t="s">
        <v>133</v>
      </c>
    </row>
    <row r="4" spans="1:37">
      <c r="A4" s="2" t="s">
        <v>2</v>
      </c>
    </row>
    <row r="6" spans="1:37">
      <c r="A6" s="1" t="s">
        <v>3</v>
      </c>
    </row>
    <row r="7" spans="1:37">
      <c r="A7" s="3" t="s">
        <v>4</v>
      </c>
      <c r="B7" s="4" t="s">
        <v>5</v>
      </c>
      <c r="C7" s="5" t="s">
        <v>6</v>
      </c>
      <c r="D7" s="5" t="s">
        <v>8</v>
      </c>
      <c r="E7" s="5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7" t="s">
        <v>13</v>
      </c>
      <c r="R7" s="7" t="s">
        <v>21</v>
      </c>
      <c r="S7" s="7" t="s">
        <v>22</v>
      </c>
      <c r="T7" s="7" t="s">
        <v>23</v>
      </c>
      <c r="V7" s="6" t="s">
        <v>7</v>
      </c>
      <c r="W7" s="8" t="s">
        <v>24</v>
      </c>
      <c r="X7" s="8" t="s">
        <v>25</v>
      </c>
      <c r="Y7" s="8" t="s">
        <v>26</v>
      </c>
      <c r="Z7" s="8" t="s">
        <v>27</v>
      </c>
      <c r="AA7" s="8" t="s">
        <v>28</v>
      </c>
      <c r="AB7" s="8" t="s">
        <v>29</v>
      </c>
      <c r="AC7" s="8" t="s">
        <v>30</v>
      </c>
      <c r="AD7" s="8" t="s">
        <v>31</v>
      </c>
      <c r="AE7" s="8" t="s">
        <v>32</v>
      </c>
      <c r="AF7" s="8" t="s">
        <v>33</v>
      </c>
      <c r="AG7" s="8" t="s">
        <v>34</v>
      </c>
      <c r="AH7" s="8" t="s">
        <v>35</v>
      </c>
      <c r="AI7" s="8" t="s">
        <v>36</v>
      </c>
      <c r="AJ7" s="8" t="s">
        <v>37</v>
      </c>
      <c r="AK7" s="8" t="s">
        <v>38</v>
      </c>
    </row>
    <row r="8" spans="1:37">
      <c r="A8" s="2" t="s">
        <v>110</v>
      </c>
      <c r="B8" s="13">
        <f>IF(H8 = 0, "--", W8 / H8)</f>
        <v>675</v>
      </c>
      <c r="C8" s="14">
        <f>IF(H8 = 0, 0, Z8 / H8)</f>
        <v>1850</v>
      </c>
      <c r="D8" s="14">
        <f>IF(I8 = 0, 0, AA8 / I8)</f>
        <v>1767</v>
      </c>
      <c r="E8" s="14">
        <f>IF(I8 = 0, 0, AD8 / I8)</f>
        <v>1767</v>
      </c>
      <c r="F8" s="13">
        <f>H8 + G8</f>
        <v>16</v>
      </c>
      <c r="G8" s="13">
        <v>0.0</v>
      </c>
      <c r="H8" s="13">
        <v>16.0</v>
      </c>
      <c r="I8" s="13">
        <f>L8 + N8 + M8</f>
        <v>2</v>
      </c>
      <c r="J8" s="13">
        <f>O8 + P8</f>
        <v>14</v>
      </c>
      <c r="K8" s="13">
        <v>13.0</v>
      </c>
      <c r="L8" s="13">
        <v>2.0</v>
      </c>
      <c r="M8" s="13">
        <v>0.0</v>
      </c>
      <c r="N8" s="13">
        <v>0.0</v>
      </c>
      <c r="O8" s="13">
        <f>AE8 + AF8</f>
        <v>1</v>
      </c>
      <c r="P8" s="13">
        <f>AG8 + AH8</f>
        <v>13</v>
      </c>
      <c r="Q8" s="15">
        <f>IF(H8 = 0, "--", I8 / H8)</f>
        <v>0.125</v>
      </c>
      <c r="R8" s="15">
        <f>IF(H8 = 0, "--", AI8 / H8)</f>
        <v>0.1875</v>
      </c>
      <c r="S8" s="15">
        <f>IF(H8 = 0, "--", AK8 / H8)</f>
        <v>0.1875</v>
      </c>
      <c r="T8" s="15">
        <f>IF(H8 = 0, "--", AJ8 / H8)</f>
        <v>0.8125</v>
      </c>
      <c r="V8" s="14">
        <f>IF(H8 = 0, 0, X8 / H8)</f>
        <v>1750.0625</v>
      </c>
      <c r="W8" s="13">
        <v>10800.0</v>
      </c>
      <c r="X8" s="13">
        <v>28001.0</v>
      </c>
      <c r="Y8" s="13">
        <v>0.0</v>
      </c>
      <c r="Z8" s="13">
        <v>29600.0</v>
      </c>
      <c r="AA8" s="13">
        <v>3534.0</v>
      </c>
      <c r="AB8" s="13">
        <v>-3534.0</v>
      </c>
      <c r="AC8" s="13">
        <v>3534.0</v>
      </c>
      <c r="AD8" s="13">
        <v>3534.0</v>
      </c>
      <c r="AE8" s="13">
        <v>1.0</v>
      </c>
      <c r="AF8" s="13">
        <v>0.0</v>
      </c>
      <c r="AG8" s="13">
        <v>13.0</v>
      </c>
      <c r="AH8" s="13">
        <v>0.0</v>
      </c>
      <c r="AI8" s="13">
        <f>L8 + M8 + O8 + N8</f>
        <v>3</v>
      </c>
      <c r="AJ8" s="13">
        <f>P8 + N8</f>
        <v>13</v>
      </c>
      <c r="AK8" s="13">
        <f>L8 + M8 + O8</f>
        <v>3</v>
      </c>
    </row>
    <row r="9" spans="1:37">
      <c r="A9" s="2" t="s">
        <v>134</v>
      </c>
      <c r="B9" s="13">
        <f>IF(H9 = 0, "--", W9 / H9)</f>
        <v>675</v>
      </c>
      <c r="C9" s="14">
        <f>IF(H9 = 0, 0, Z9 / H9)</f>
        <v>1850</v>
      </c>
      <c r="D9" s="14">
        <f>IF(I9 = 0, 0, AA9 / I9)</f>
        <v>0</v>
      </c>
      <c r="E9" s="14">
        <f>IF(I9 = 0, 0, AD9 / I9)</f>
        <v>0</v>
      </c>
      <c r="F9" s="13">
        <f>H9 + G9</f>
        <v>38</v>
      </c>
      <c r="G9" s="13">
        <v>0.0</v>
      </c>
      <c r="H9" s="13">
        <v>38.0</v>
      </c>
      <c r="I9" s="13">
        <f>L9 + N9 + M9</f>
        <v>0</v>
      </c>
      <c r="J9" s="13">
        <f>O9 + P9</f>
        <v>38</v>
      </c>
      <c r="K9" s="13">
        <v>38.0</v>
      </c>
      <c r="L9" s="13">
        <v>0.0</v>
      </c>
      <c r="M9" s="13">
        <v>0.0</v>
      </c>
      <c r="N9" s="13">
        <v>0.0</v>
      </c>
      <c r="O9" s="13">
        <f>AE9 + AF9</f>
        <v>0</v>
      </c>
      <c r="P9" s="13">
        <f>AG9 + AH9</f>
        <v>38</v>
      </c>
      <c r="Q9" s="15">
        <f>IF(H9 = 0, "--", I9 / H9)</f>
        <v>0</v>
      </c>
      <c r="R9" s="15">
        <f>IF(H9 = 0, "--", AI9 / H9)</f>
        <v>0</v>
      </c>
      <c r="S9" s="15">
        <f>IF(H9 = 0, "--", AK9 / H9)</f>
        <v>0</v>
      </c>
      <c r="T9" s="15">
        <f>IF(H9 = 0, "--", AJ9 / H9)</f>
        <v>1</v>
      </c>
      <c r="V9" s="14">
        <f>IF(H9 = 0, 0, X9 / H9)</f>
        <v>1702.8684210526</v>
      </c>
      <c r="W9" s="13">
        <v>25650.0</v>
      </c>
      <c r="X9" s="13">
        <v>64709.0</v>
      </c>
      <c r="Y9" s="13">
        <v>0.0</v>
      </c>
      <c r="Z9" s="13">
        <v>70300.0</v>
      </c>
      <c r="AA9" s="13">
        <v>0.0</v>
      </c>
      <c r="AB9" s="13">
        <v>0.0</v>
      </c>
      <c r="AC9" s="13">
        <v>0.0</v>
      </c>
      <c r="AD9" s="13">
        <v>0.0</v>
      </c>
      <c r="AE9" s="13">
        <v>0.0</v>
      </c>
      <c r="AF9" s="13">
        <v>0.0</v>
      </c>
      <c r="AG9" s="13">
        <v>38.0</v>
      </c>
      <c r="AH9" s="13">
        <v>0.0</v>
      </c>
      <c r="AI9" s="13">
        <f>L9 + M9 + O9 + N9</f>
        <v>0</v>
      </c>
      <c r="AJ9" s="13">
        <f>P9 + N9</f>
        <v>38</v>
      </c>
      <c r="AK9" s="13">
        <f>L9 + M9 + O9</f>
        <v>0</v>
      </c>
    </row>
    <row r="10" spans="1:37">
      <c r="A10" s="2" t="s">
        <v>111</v>
      </c>
      <c r="B10" s="13">
        <f>IF(H10 = 0, "--", W10 / H10)</f>
        <v>749</v>
      </c>
      <c r="C10" s="14">
        <f>IF(H10 = 0, 0, Z10 / H10)</f>
        <v>1999</v>
      </c>
      <c r="D10" s="14">
        <f>IF(I10 = 0, 0, AA10 / I10)</f>
        <v>1891</v>
      </c>
      <c r="E10" s="14">
        <f>IF(I10 = 0, 0, AD10 / I10)</f>
        <v>1720.5327111111</v>
      </c>
      <c r="F10" s="13">
        <f>H10 + G10</f>
        <v>11</v>
      </c>
      <c r="G10" s="13">
        <v>0.0</v>
      </c>
      <c r="H10" s="13">
        <v>11.0</v>
      </c>
      <c r="I10" s="13">
        <f>L10 + N10 + M10</f>
        <v>2</v>
      </c>
      <c r="J10" s="13">
        <f>O10 + P10</f>
        <v>9</v>
      </c>
      <c r="K10" s="13">
        <v>8.0</v>
      </c>
      <c r="L10" s="13">
        <v>2.0</v>
      </c>
      <c r="M10" s="13">
        <v>0.0</v>
      </c>
      <c r="N10" s="13">
        <v>0.0</v>
      </c>
      <c r="O10" s="13">
        <f>AE10 + AF10</f>
        <v>1</v>
      </c>
      <c r="P10" s="13">
        <f>AG10 + AH10</f>
        <v>8</v>
      </c>
      <c r="Q10" s="15">
        <f>IF(H10 = 0, "--", I10 / H10)</f>
        <v>0.18181818181818</v>
      </c>
      <c r="R10" s="15">
        <f>IF(H10 = 0, "--", AI10 / H10)</f>
        <v>0.27272727272727</v>
      </c>
      <c r="S10" s="15">
        <f>IF(H10 = 0, "--", AK10 / H10)</f>
        <v>0.27272727272727</v>
      </c>
      <c r="T10" s="15">
        <f>IF(H10 = 0, "--", AJ10 / H10)</f>
        <v>0.72727272727273</v>
      </c>
      <c r="V10" s="14">
        <f>IF(H10 = 0, 0, X10 / H10)</f>
        <v>1834.5454545455</v>
      </c>
      <c r="W10" s="13">
        <v>8239.0</v>
      </c>
      <c r="X10" s="13">
        <v>20180.0</v>
      </c>
      <c r="Y10" s="13">
        <v>2052.76</v>
      </c>
      <c r="Z10" s="13">
        <v>21989.0</v>
      </c>
      <c r="AA10" s="13">
        <v>3782.0</v>
      </c>
      <c r="AB10" s="13">
        <v>-1729.24</v>
      </c>
      <c r="AC10" s="13">
        <v>3477.6</v>
      </c>
      <c r="AD10" s="13">
        <v>3441.0654222222</v>
      </c>
      <c r="AE10" s="13">
        <v>1.0</v>
      </c>
      <c r="AF10" s="13">
        <v>0.0</v>
      </c>
      <c r="AG10" s="13">
        <v>8.0</v>
      </c>
      <c r="AH10" s="13">
        <v>0.0</v>
      </c>
      <c r="AI10" s="13">
        <f>L10 + M10 + O10 + N10</f>
        <v>3</v>
      </c>
      <c r="AJ10" s="13">
        <f>P10 + N10</f>
        <v>8</v>
      </c>
      <c r="AK10" s="13">
        <f>L10 + M10 + O10</f>
        <v>3</v>
      </c>
    </row>
    <row r="11" spans="1:37">
      <c r="A11" s="2" t="s">
        <v>135</v>
      </c>
      <c r="B11" s="13">
        <f>IF(H11 = 0, "--", W11 / H11)</f>
        <v>749</v>
      </c>
      <c r="C11" s="14">
        <f>IF(H11 = 0, 0, Z11 / H11)</f>
        <v>1999</v>
      </c>
      <c r="D11" s="14">
        <f>IF(I11 = 0, 0, AA11 / I11)</f>
        <v>0</v>
      </c>
      <c r="E11" s="14">
        <f>IF(I11 = 0, 0, AD11 / I11)</f>
        <v>0</v>
      </c>
      <c r="F11" s="13">
        <f>H11 + G11</f>
        <v>28</v>
      </c>
      <c r="G11" s="13">
        <v>0.0</v>
      </c>
      <c r="H11" s="13">
        <v>28.0</v>
      </c>
      <c r="I11" s="13">
        <f>L11 + N11 + M11</f>
        <v>0</v>
      </c>
      <c r="J11" s="13">
        <f>O11 + P11</f>
        <v>28</v>
      </c>
      <c r="K11" s="13">
        <v>28.0</v>
      </c>
      <c r="L11" s="13">
        <v>0.0</v>
      </c>
      <c r="M11" s="13">
        <v>0.0</v>
      </c>
      <c r="N11" s="13">
        <v>0.0</v>
      </c>
      <c r="O11" s="13">
        <f>AE11 + AF11</f>
        <v>0</v>
      </c>
      <c r="P11" s="13">
        <f>AG11 + AH11</f>
        <v>28</v>
      </c>
      <c r="Q11" s="15">
        <f>IF(H11 = 0, "--", I11 / H11)</f>
        <v>0</v>
      </c>
      <c r="R11" s="15">
        <f>IF(H11 = 0, "--", AI11 / H11)</f>
        <v>0</v>
      </c>
      <c r="S11" s="15">
        <f>IF(H11 = 0, "--", AK11 / H11)</f>
        <v>0</v>
      </c>
      <c r="T11" s="15">
        <f>IF(H11 = 0, "--", AJ11 / H11)</f>
        <v>1</v>
      </c>
      <c r="V11" s="14">
        <f>IF(H11 = 0, 0, X11 / H11)</f>
        <v>1709.4285714286</v>
      </c>
      <c r="W11" s="13">
        <v>20972.0</v>
      </c>
      <c r="X11" s="13">
        <v>47864.0</v>
      </c>
      <c r="Y11" s="13">
        <v>0.0</v>
      </c>
      <c r="Z11" s="13">
        <v>55972.0</v>
      </c>
      <c r="AA11" s="13">
        <v>0.0</v>
      </c>
      <c r="AB11" s="13">
        <v>0.0</v>
      </c>
      <c r="AC11" s="13">
        <v>0.0</v>
      </c>
      <c r="AD11" s="13">
        <v>0.0</v>
      </c>
      <c r="AE11" s="13">
        <v>0.0</v>
      </c>
      <c r="AF11" s="13">
        <v>0.0</v>
      </c>
      <c r="AG11" s="13">
        <v>28.0</v>
      </c>
      <c r="AH11" s="13">
        <v>0.0</v>
      </c>
      <c r="AI11" s="13">
        <f>L11 + M11 + O11 + N11</f>
        <v>0</v>
      </c>
      <c r="AJ11" s="13">
        <f>P11 + N11</f>
        <v>28</v>
      </c>
      <c r="AK11" s="13">
        <f>L11 + M11 + O11</f>
        <v>0</v>
      </c>
    </row>
    <row r="12" spans="1:37">
      <c r="A12" s="2" t="s">
        <v>112</v>
      </c>
      <c r="B12" s="13">
        <f>IF(H12 = 0, "--", W12 / H12)</f>
        <v>739</v>
      </c>
      <c r="C12" s="14">
        <f>IF(H12 = 0, 0, Z12 / H12)</f>
        <v>1995</v>
      </c>
      <c r="D12" s="14">
        <f>IF(I12 = 0, 0, AA12 / I12)</f>
        <v>1767</v>
      </c>
      <c r="E12" s="14">
        <f>IF(I12 = 0, 0, AD12 / I12)</f>
        <v>1767</v>
      </c>
      <c r="F12" s="13">
        <f>H12 + G12</f>
        <v>7</v>
      </c>
      <c r="G12" s="13">
        <v>0.0</v>
      </c>
      <c r="H12" s="13">
        <v>7.0</v>
      </c>
      <c r="I12" s="13">
        <f>L12 + N12 + M12</f>
        <v>1</v>
      </c>
      <c r="J12" s="13">
        <f>O12 + P12</f>
        <v>6</v>
      </c>
      <c r="K12" s="13">
        <v>6.0</v>
      </c>
      <c r="L12" s="13">
        <v>1.0</v>
      </c>
      <c r="M12" s="13">
        <v>0.0</v>
      </c>
      <c r="N12" s="13">
        <v>0.0</v>
      </c>
      <c r="O12" s="13">
        <f>AE12 + AF12</f>
        <v>0</v>
      </c>
      <c r="P12" s="13">
        <f>AG12 + AH12</f>
        <v>6</v>
      </c>
      <c r="Q12" s="15">
        <f>IF(H12 = 0, "--", I12 / H12)</f>
        <v>0.14285714285714</v>
      </c>
      <c r="R12" s="15">
        <f>IF(H12 = 0, "--", AI12 / H12)</f>
        <v>0.14285714285714</v>
      </c>
      <c r="S12" s="15">
        <f>IF(H12 = 0, "--", AK12 / H12)</f>
        <v>0.14285714285714</v>
      </c>
      <c r="T12" s="15">
        <f>IF(H12 = 0, "--", AJ12 / H12)</f>
        <v>0.85714285714286</v>
      </c>
      <c r="V12" s="14">
        <f>IF(H12 = 0, 0, X12 / H12)</f>
        <v>1802.8571428571</v>
      </c>
      <c r="W12" s="13">
        <v>5173.0</v>
      </c>
      <c r="X12" s="13">
        <v>12620.0</v>
      </c>
      <c r="Y12" s="13">
        <v>0.0</v>
      </c>
      <c r="Z12" s="13">
        <v>13965.0</v>
      </c>
      <c r="AA12" s="13">
        <v>1767.0</v>
      </c>
      <c r="AB12" s="13">
        <v>-1767.0</v>
      </c>
      <c r="AC12" s="13">
        <v>1767.0</v>
      </c>
      <c r="AD12" s="13">
        <v>1767.0</v>
      </c>
      <c r="AE12" s="13">
        <v>0.0</v>
      </c>
      <c r="AF12" s="13">
        <v>0.0</v>
      </c>
      <c r="AG12" s="13">
        <v>6.0</v>
      </c>
      <c r="AH12" s="13">
        <v>0.0</v>
      </c>
      <c r="AI12" s="13">
        <f>L12 + M12 + O12 + N12</f>
        <v>1</v>
      </c>
      <c r="AJ12" s="13">
        <f>P12 + N12</f>
        <v>6</v>
      </c>
      <c r="AK12" s="13">
        <f>L12 + M12 + O12</f>
        <v>1</v>
      </c>
    </row>
    <row r="13" spans="1:37">
      <c r="A13" s="2" t="s">
        <v>136</v>
      </c>
      <c r="B13" s="13">
        <f>IF(H13 = 0, "--", W13 / H13)</f>
        <v>739</v>
      </c>
      <c r="C13" s="14">
        <f>IF(H13 = 0, 0, Z13 / H13)</f>
        <v>1995</v>
      </c>
      <c r="D13" s="14">
        <f>IF(I13 = 0, 0, AA13 / I13)</f>
        <v>0</v>
      </c>
      <c r="E13" s="14">
        <f>IF(I13 = 0, 0, AD13 / I13)</f>
        <v>0</v>
      </c>
      <c r="F13" s="13">
        <f>H13 + G13</f>
        <v>2</v>
      </c>
      <c r="G13" s="13">
        <v>0.0</v>
      </c>
      <c r="H13" s="13">
        <v>2.0</v>
      </c>
      <c r="I13" s="13">
        <f>L13 + N13 + M13</f>
        <v>0</v>
      </c>
      <c r="J13" s="13">
        <f>O13 + P13</f>
        <v>2</v>
      </c>
      <c r="K13" s="13">
        <v>2.0</v>
      </c>
      <c r="L13" s="13">
        <v>0.0</v>
      </c>
      <c r="M13" s="13">
        <v>0.0</v>
      </c>
      <c r="N13" s="13">
        <v>0.0</v>
      </c>
      <c r="O13" s="13">
        <f>AE13 + AF13</f>
        <v>0</v>
      </c>
      <c r="P13" s="13">
        <f>AG13 + AH13</f>
        <v>2</v>
      </c>
      <c r="Q13" s="15">
        <f>IF(H13 = 0, "--", I13 / H13)</f>
        <v>0</v>
      </c>
      <c r="R13" s="15">
        <f>IF(H13 = 0, "--", AI13 / H13)</f>
        <v>0</v>
      </c>
      <c r="S13" s="15">
        <f>IF(H13 = 0, "--", AK13 / H13)</f>
        <v>0</v>
      </c>
      <c r="T13" s="15">
        <f>IF(H13 = 0, "--", AJ13 / H13)</f>
        <v>1</v>
      </c>
      <c r="V13" s="14">
        <f>IF(H13 = 0, 0, X13 / H13)</f>
        <v>1698</v>
      </c>
      <c r="W13" s="13">
        <v>1478.0</v>
      </c>
      <c r="X13" s="13">
        <v>3396.0</v>
      </c>
      <c r="Y13" s="13">
        <v>0.0</v>
      </c>
      <c r="Z13" s="13">
        <v>3990.0</v>
      </c>
      <c r="AA13" s="13">
        <v>0.0</v>
      </c>
      <c r="AB13" s="13">
        <v>0.0</v>
      </c>
      <c r="AC13" s="13">
        <v>0.0</v>
      </c>
      <c r="AD13" s="13">
        <v>0.0</v>
      </c>
      <c r="AE13" s="13">
        <v>0.0</v>
      </c>
      <c r="AF13" s="13">
        <v>0.0</v>
      </c>
      <c r="AG13" s="13">
        <v>2.0</v>
      </c>
      <c r="AH13" s="13">
        <v>0.0</v>
      </c>
      <c r="AI13" s="13">
        <f>L13 + M13 + O13 + N13</f>
        <v>0</v>
      </c>
      <c r="AJ13" s="13">
        <f>P13 + N13</f>
        <v>2</v>
      </c>
      <c r="AK13" s="13">
        <f>L13 + M13 + O13</f>
        <v>0</v>
      </c>
    </row>
    <row r="14" spans="1:37">
      <c r="A14" s="2" t="s">
        <v>113</v>
      </c>
      <c r="B14" s="13">
        <f>IF(H14 = 0, "--", W14 / H14)</f>
        <v>694</v>
      </c>
      <c r="C14" s="14">
        <f>IF(H14 = 0, 0, Z14 / H14)</f>
        <v>1900</v>
      </c>
      <c r="D14" s="14">
        <f>IF(I14 = 0, 0, AA14 / I14)</f>
        <v>0</v>
      </c>
      <c r="E14" s="14">
        <f>IF(I14 = 0, 0, AD14 / I14)</f>
        <v>0</v>
      </c>
      <c r="F14" s="13">
        <f>H14 + G14</f>
        <v>7</v>
      </c>
      <c r="G14" s="13">
        <v>0.0</v>
      </c>
      <c r="H14" s="13">
        <v>7.0</v>
      </c>
      <c r="I14" s="13">
        <f>L14 + N14 + M14</f>
        <v>0</v>
      </c>
      <c r="J14" s="13">
        <f>O14 + P14</f>
        <v>7</v>
      </c>
      <c r="K14" s="13">
        <v>7.0</v>
      </c>
      <c r="L14" s="13">
        <v>0.0</v>
      </c>
      <c r="M14" s="13">
        <v>0.0</v>
      </c>
      <c r="N14" s="13">
        <v>0.0</v>
      </c>
      <c r="O14" s="13">
        <f>AE14 + AF14</f>
        <v>0</v>
      </c>
      <c r="P14" s="13">
        <f>AG14 + AH14</f>
        <v>7</v>
      </c>
      <c r="Q14" s="15">
        <f>IF(H14 = 0, "--", I14 / H14)</f>
        <v>0</v>
      </c>
      <c r="R14" s="15">
        <f>IF(H14 = 0, "--", AI14 / H14)</f>
        <v>0</v>
      </c>
      <c r="S14" s="15">
        <f>IF(H14 = 0, "--", AK14 / H14)</f>
        <v>0</v>
      </c>
      <c r="T14" s="15">
        <f>IF(H14 = 0, "--", AJ14 / H14)</f>
        <v>1</v>
      </c>
      <c r="V14" s="14">
        <f>IF(H14 = 0, 0, X14 / H14)</f>
        <v>1681.5714285714</v>
      </c>
      <c r="W14" s="13">
        <v>4858.0</v>
      </c>
      <c r="X14" s="13">
        <v>11771.0</v>
      </c>
      <c r="Y14" s="13">
        <v>0.0</v>
      </c>
      <c r="Z14" s="13">
        <v>13300.0</v>
      </c>
      <c r="AA14" s="13">
        <v>0.0</v>
      </c>
      <c r="AB14" s="13">
        <v>0.0</v>
      </c>
      <c r="AC14" s="13">
        <v>0.0</v>
      </c>
      <c r="AD14" s="13">
        <v>0.0</v>
      </c>
      <c r="AE14" s="13">
        <v>0.0</v>
      </c>
      <c r="AF14" s="13">
        <v>0.0</v>
      </c>
      <c r="AG14" s="13">
        <v>7.0</v>
      </c>
      <c r="AH14" s="13">
        <v>0.0</v>
      </c>
      <c r="AI14" s="13">
        <f>L14 + M14 + O14 + N14</f>
        <v>0</v>
      </c>
      <c r="AJ14" s="13">
        <f>P14 + N14</f>
        <v>7</v>
      </c>
      <c r="AK14" s="13">
        <f>L14 + M14 + O14</f>
        <v>0</v>
      </c>
    </row>
    <row r="15" spans="1:37">
      <c r="A15" s="2" t="s">
        <v>137</v>
      </c>
      <c r="B15" s="13">
        <f>IF(H15 = 0, "--", W15 / H15)</f>
        <v>694</v>
      </c>
      <c r="C15" s="14">
        <f>IF(H15 = 0, 0, Z15 / H15)</f>
        <v>1900</v>
      </c>
      <c r="D15" s="14">
        <f>IF(I15 = 0, 0, AA15 / I15)</f>
        <v>0</v>
      </c>
      <c r="E15" s="14">
        <f>IF(I15 = 0, 0, AD15 / I15)</f>
        <v>0</v>
      </c>
      <c r="F15" s="13">
        <f>H15 + G15</f>
        <v>2</v>
      </c>
      <c r="G15" s="13">
        <v>0.0</v>
      </c>
      <c r="H15" s="13">
        <v>2.0</v>
      </c>
      <c r="I15" s="13">
        <f>L15 + N15 + M15</f>
        <v>0</v>
      </c>
      <c r="J15" s="13">
        <f>O15 + P15</f>
        <v>2</v>
      </c>
      <c r="K15" s="13">
        <v>2.0</v>
      </c>
      <c r="L15" s="13">
        <v>0.0</v>
      </c>
      <c r="M15" s="13">
        <v>0.0</v>
      </c>
      <c r="N15" s="13">
        <v>0.0</v>
      </c>
      <c r="O15" s="13">
        <f>AE15 + AF15</f>
        <v>0</v>
      </c>
      <c r="P15" s="13">
        <f>AG15 + AH15</f>
        <v>2</v>
      </c>
      <c r="Q15" s="15">
        <f>IF(H15 = 0, "--", I15 / H15)</f>
        <v>0</v>
      </c>
      <c r="R15" s="15">
        <f>IF(H15 = 0, "--", AI15 / H15)</f>
        <v>0</v>
      </c>
      <c r="S15" s="15">
        <f>IF(H15 = 0, "--", AK15 / H15)</f>
        <v>0</v>
      </c>
      <c r="T15" s="15">
        <f>IF(H15 = 0, "--", AJ15 / H15)</f>
        <v>1</v>
      </c>
      <c r="V15" s="14">
        <f>IF(H15 = 0, 0, X15 / H15)</f>
        <v>1698</v>
      </c>
      <c r="W15" s="13">
        <v>1388.0</v>
      </c>
      <c r="X15" s="13">
        <v>3396.0</v>
      </c>
      <c r="Y15" s="13">
        <v>0.0</v>
      </c>
      <c r="Z15" s="13">
        <v>3800.0</v>
      </c>
      <c r="AA15" s="13">
        <v>0.0</v>
      </c>
      <c r="AB15" s="13">
        <v>0.0</v>
      </c>
      <c r="AC15" s="13">
        <v>0.0</v>
      </c>
      <c r="AD15" s="13">
        <v>0.0</v>
      </c>
      <c r="AE15" s="13">
        <v>0.0</v>
      </c>
      <c r="AF15" s="13">
        <v>0.0</v>
      </c>
      <c r="AG15" s="13">
        <v>2.0</v>
      </c>
      <c r="AH15" s="13">
        <v>0.0</v>
      </c>
      <c r="AI15" s="13">
        <f>L15 + M15 + O15 + N15</f>
        <v>0</v>
      </c>
      <c r="AJ15" s="13">
        <f>P15 + N15</f>
        <v>2</v>
      </c>
      <c r="AK15" s="13">
        <f>L15 + M15 + O15</f>
        <v>0</v>
      </c>
    </row>
    <row r="16" spans="1:37">
      <c r="A16" s="2" t="s">
        <v>114</v>
      </c>
      <c r="B16" s="13">
        <f>IF(H16 = 0, "--", W16 / H16)</f>
        <v>694</v>
      </c>
      <c r="C16" s="14">
        <f>IF(H16 = 0, 0, Z16 / H16)</f>
        <v>1900</v>
      </c>
      <c r="D16" s="14">
        <f>IF(I16 = 0, 0, AA16 / I16)</f>
        <v>1652</v>
      </c>
      <c r="E16" s="14">
        <f>IF(I16 = 0, 0, AD16 / I16)</f>
        <v>1416.2896923077</v>
      </c>
      <c r="F16" s="13">
        <f>H16 + G16</f>
        <v>5</v>
      </c>
      <c r="G16" s="13">
        <v>0.0</v>
      </c>
      <c r="H16" s="13">
        <v>5.0</v>
      </c>
      <c r="I16" s="13">
        <f>L16 + N16 + M16</f>
        <v>4</v>
      </c>
      <c r="J16" s="13">
        <f>O16 + P16</f>
        <v>1</v>
      </c>
      <c r="K16" s="13">
        <v>0.0</v>
      </c>
      <c r="L16" s="13">
        <v>4.0</v>
      </c>
      <c r="M16" s="13">
        <v>0.0</v>
      </c>
      <c r="N16" s="13">
        <v>0.0</v>
      </c>
      <c r="O16" s="13">
        <f>AE16 + AF16</f>
        <v>1</v>
      </c>
      <c r="P16" s="13">
        <f>AG16 + AH16</f>
        <v>0</v>
      </c>
      <c r="Q16" s="15">
        <f>IF(H16 = 0, "--", I16 / H16)</f>
        <v>0.8</v>
      </c>
      <c r="R16" s="15">
        <f>IF(H16 = 0, "--", AI16 / H16)</f>
        <v>1</v>
      </c>
      <c r="S16" s="15">
        <f>IF(H16 = 0, "--", AK16 / H16)</f>
        <v>1</v>
      </c>
      <c r="T16" s="15">
        <f>IF(H16 = 0, "--", AJ16 / H16)</f>
        <v>0</v>
      </c>
      <c r="V16" s="14">
        <f>IF(H16 = 0, 0, X16 / H16)</f>
        <v>1653</v>
      </c>
      <c r="W16" s="13">
        <v>3470.0</v>
      </c>
      <c r="X16" s="13">
        <v>8265.0</v>
      </c>
      <c r="Y16" s="13">
        <v>5908.94</v>
      </c>
      <c r="Z16" s="13">
        <v>9500.0</v>
      </c>
      <c r="AA16" s="13">
        <v>6608.0</v>
      </c>
      <c r="AB16" s="13">
        <v>-699.06</v>
      </c>
      <c r="AC16" s="13">
        <v>5668.2153846154</v>
      </c>
      <c r="AD16" s="13">
        <v>5665.1587692308</v>
      </c>
      <c r="AE16" s="13">
        <v>1.0</v>
      </c>
      <c r="AF16" s="13">
        <v>0.0</v>
      </c>
      <c r="AG16" s="13">
        <v>0.0</v>
      </c>
      <c r="AH16" s="13">
        <v>0.0</v>
      </c>
      <c r="AI16" s="13">
        <f>L16 + M16 + O16 + N16</f>
        <v>5</v>
      </c>
      <c r="AJ16" s="13">
        <f>P16 + N16</f>
        <v>0</v>
      </c>
      <c r="AK16" s="13">
        <f>L16 + M16 + O16</f>
        <v>5</v>
      </c>
    </row>
    <row r="17" spans="1:37">
      <c r="A17" s="2" t="s">
        <v>115</v>
      </c>
      <c r="B17" s="13">
        <f>IF(H17 = 0, "--", W17 / H17)</f>
        <v>965</v>
      </c>
      <c r="C17" s="14">
        <f>IF(H17 = 0, 0, Z17 / H17)</f>
        <v>2235</v>
      </c>
      <c r="D17" s="14">
        <f>IF(I17 = 0, 0, AA17 / I17)</f>
        <v>1946</v>
      </c>
      <c r="E17" s="14">
        <f>IF(I17 = 0, 0, AD17 / I17)</f>
        <v>1946</v>
      </c>
      <c r="F17" s="13">
        <f>H17 + G17</f>
        <v>7</v>
      </c>
      <c r="G17" s="13">
        <v>0.0</v>
      </c>
      <c r="H17" s="13">
        <v>7.0</v>
      </c>
      <c r="I17" s="13">
        <f>L17 + N17 + M17</f>
        <v>5</v>
      </c>
      <c r="J17" s="13">
        <f>O17 + P17</f>
        <v>2</v>
      </c>
      <c r="K17" s="13">
        <v>1.0</v>
      </c>
      <c r="L17" s="13">
        <v>5.0</v>
      </c>
      <c r="M17" s="13">
        <v>0.0</v>
      </c>
      <c r="N17" s="13">
        <v>0.0</v>
      </c>
      <c r="O17" s="13">
        <f>AE17 + AF17</f>
        <v>1</v>
      </c>
      <c r="P17" s="13">
        <f>AG17 + AH17</f>
        <v>1</v>
      </c>
      <c r="Q17" s="15">
        <f>IF(H17 = 0, "--", I17 / H17)</f>
        <v>0.71428571428571</v>
      </c>
      <c r="R17" s="15">
        <f>IF(H17 = 0, "--", AI17 / H17)</f>
        <v>0.85714285714286</v>
      </c>
      <c r="S17" s="15">
        <f>IF(H17 = 0, "--", AK17 / H17)</f>
        <v>0.85714285714286</v>
      </c>
      <c r="T17" s="15">
        <f>IF(H17 = 0, "--", AJ17 / H17)</f>
        <v>0.14285714285714</v>
      </c>
      <c r="V17" s="14">
        <f>IF(H17 = 0, 0, X17 / H17)</f>
        <v>2266.8571428571</v>
      </c>
      <c r="W17" s="13">
        <v>6755.0</v>
      </c>
      <c r="X17" s="13">
        <v>15868.0</v>
      </c>
      <c r="Y17" s="13">
        <v>10350.0</v>
      </c>
      <c r="Z17" s="13">
        <v>15645.0</v>
      </c>
      <c r="AA17" s="13">
        <v>9730.0</v>
      </c>
      <c r="AB17" s="13">
        <v>620.0</v>
      </c>
      <c r="AC17" s="13">
        <v>9730.0</v>
      </c>
      <c r="AD17" s="13">
        <v>9730.0</v>
      </c>
      <c r="AE17" s="13">
        <v>1.0</v>
      </c>
      <c r="AF17" s="13">
        <v>0.0</v>
      </c>
      <c r="AG17" s="13">
        <v>1.0</v>
      </c>
      <c r="AH17" s="13">
        <v>0.0</v>
      </c>
      <c r="AI17" s="13">
        <f>L17 + M17 + O17 + N17</f>
        <v>6</v>
      </c>
      <c r="AJ17" s="13">
        <f>P17 + N17</f>
        <v>1</v>
      </c>
      <c r="AK17" s="13">
        <f>L17 + M17 + O17</f>
        <v>6</v>
      </c>
    </row>
    <row r="18" spans="1:37">
      <c r="A18" s="2" t="s">
        <v>116</v>
      </c>
      <c r="B18" s="13">
        <f>IF(H18 = 0, "--", W18 / H18)</f>
        <v>1019</v>
      </c>
      <c r="C18" s="14">
        <f>IF(H18 = 0, 0, Z18 / H18)</f>
        <v>2375</v>
      </c>
      <c r="D18" s="14">
        <f>IF(I18 = 0, 0, AA18 / I18)</f>
        <v>1946</v>
      </c>
      <c r="E18" s="14">
        <f>IF(I18 = 0, 0, AD18 / I18)</f>
        <v>1946</v>
      </c>
      <c r="F18" s="13">
        <f>H18 + G18</f>
        <v>11</v>
      </c>
      <c r="G18" s="13">
        <v>0.0</v>
      </c>
      <c r="H18" s="13">
        <v>11.0</v>
      </c>
      <c r="I18" s="13">
        <f>L18 + N18 + M18</f>
        <v>5</v>
      </c>
      <c r="J18" s="13">
        <f>O18 + P18</f>
        <v>6</v>
      </c>
      <c r="K18" s="13">
        <v>6.0</v>
      </c>
      <c r="L18" s="13">
        <v>5.0</v>
      </c>
      <c r="M18" s="13">
        <v>0.0</v>
      </c>
      <c r="N18" s="13">
        <v>0.0</v>
      </c>
      <c r="O18" s="13">
        <f>AE18 + AF18</f>
        <v>0</v>
      </c>
      <c r="P18" s="13">
        <f>AG18 + AH18</f>
        <v>6</v>
      </c>
      <c r="Q18" s="15">
        <f>IF(H18 = 0, "--", I18 / H18)</f>
        <v>0.45454545454545</v>
      </c>
      <c r="R18" s="15">
        <f>IF(H18 = 0, "--", AI18 / H18)</f>
        <v>0.45454545454545</v>
      </c>
      <c r="S18" s="15">
        <f>IF(H18 = 0, "--", AK18 / H18)</f>
        <v>0.45454545454545</v>
      </c>
      <c r="T18" s="15">
        <f>IF(H18 = 0, "--", AJ18 / H18)</f>
        <v>0.54545454545455</v>
      </c>
      <c r="V18" s="14">
        <f>IF(H18 = 0, 0, X18 / H18)</f>
        <v>2431.5454545455</v>
      </c>
      <c r="W18" s="13">
        <v>11209.0</v>
      </c>
      <c r="X18" s="13">
        <v>26747.0</v>
      </c>
      <c r="Y18" s="13">
        <v>10350.0</v>
      </c>
      <c r="Z18" s="13">
        <v>26125.0</v>
      </c>
      <c r="AA18" s="13">
        <v>9730.0</v>
      </c>
      <c r="AB18" s="13">
        <v>620.0</v>
      </c>
      <c r="AC18" s="13">
        <v>9730.0</v>
      </c>
      <c r="AD18" s="13">
        <v>9730.0</v>
      </c>
      <c r="AE18" s="13">
        <v>0.0</v>
      </c>
      <c r="AF18" s="13">
        <v>0.0</v>
      </c>
      <c r="AG18" s="13">
        <v>6.0</v>
      </c>
      <c r="AH18" s="13">
        <v>0.0</v>
      </c>
      <c r="AI18" s="13">
        <f>L18 + M18 + O18 + N18</f>
        <v>5</v>
      </c>
      <c r="AJ18" s="13">
        <f>P18 + N18</f>
        <v>6</v>
      </c>
      <c r="AK18" s="13">
        <f>L18 + M18 + O18</f>
        <v>5</v>
      </c>
    </row>
    <row r="19" spans="1:37">
      <c r="A19" s="2" t="s">
        <v>138</v>
      </c>
      <c r="B19" s="13">
        <f>IF(H19 = 0, "--", W19 / H19)</f>
        <v>1019</v>
      </c>
      <c r="C19" s="14">
        <f>IF(H19 = 0, 0, Z19 / H19)</f>
        <v>2375</v>
      </c>
      <c r="D19" s="14">
        <f>IF(I19 = 0, 0, AA19 / I19)</f>
        <v>0</v>
      </c>
      <c r="E19" s="14">
        <f>IF(I19 = 0, 0, AD19 / I19)</f>
        <v>0</v>
      </c>
      <c r="F19" s="13">
        <f>H19 + G19</f>
        <v>9</v>
      </c>
      <c r="G19" s="13">
        <v>0.0</v>
      </c>
      <c r="H19" s="13">
        <v>9.0</v>
      </c>
      <c r="I19" s="13">
        <f>L19 + N19 + M19</f>
        <v>0</v>
      </c>
      <c r="J19" s="13">
        <f>O19 + P19</f>
        <v>9</v>
      </c>
      <c r="K19" s="13">
        <v>9.0</v>
      </c>
      <c r="L19" s="13">
        <v>0.0</v>
      </c>
      <c r="M19" s="13">
        <v>0.0</v>
      </c>
      <c r="N19" s="13">
        <v>0.0</v>
      </c>
      <c r="O19" s="13">
        <f>AE19 + AF19</f>
        <v>0</v>
      </c>
      <c r="P19" s="13">
        <f>AG19 + AH19</f>
        <v>9</v>
      </c>
      <c r="Q19" s="15">
        <f>IF(H19 = 0, "--", I19 / H19)</f>
        <v>0</v>
      </c>
      <c r="R19" s="15">
        <f>IF(H19 = 0, "--", AI19 / H19)</f>
        <v>0</v>
      </c>
      <c r="S19" s="15">
        <f>IF(H19 = 0, "--", AK19 / H19)</f>
        <v>0</v>
      </c>
      <c r="T19" s="15">
        <f>IF(H19 = 0, "--", AJ19 / H19)</f>
        <v>1</v>
      </c>
      <c r="V19" s="14">
        <f>IF(H19 = 0, 0, X19 / H19)</f>
        <v>2285.3333333333</v>
      </c>
      <c r="W19" s="13">
        <v>9171.0</v>
      </c>
      <c r="X19" s="13">
        <v>20568.0</v>
      </c>
      <c r="Y19" s="13">
        <v>0.0</v>
      </c>
      <c r="Z19" s="13">
        <v>21375.0</v>
      </c>
      <c r="AA19" s="13">
        <v>0.0</v>
      </c>
      <c r="AB19" s="13">
        <v>0.0</v>
      </c>
      <c r="AC19" s="13">
        <v>0.0</v>
      </c>
      <c r="AD19" s="13">
        <v>0.0</v>
      </c>
      <c r="AE19" s="13">
        <v>0.0</v>
      </c>
      <c r="AF19" s="13">
        <v>0.0</v>
      </c>
      <c r="AG19" s="13">
        <v>9.0</v>
      </c>
      <c r="AH19" s="13">
        <v>0.0</v>
      </c>
      <c r="AI19" s="13">
        <f>L19 + M19 + O19 + N19</f>
        <v>0</v>
      </c>
      <c r="AJ19" s="13">
        <f>P19 + N19</f>
        <v>9</v>
      </c>
      <c r="AK19" s="13">
        <f>L19 + M19 + O19</f>
        <v>0</v>
      </c>
    </row>
    <row r="20" spans="1:37">
      <c r="A20" s="2" t="s">
        <v>117</v>
      </c>
      <c r="B20" s="13">
        <f>IF(H20 = 0, "--", W20 / H20)</f>
        <v>1210</v>
      </c>
      <c r="C20" s="14">
        <f>IF(H20 = 0, 0, Z20 / H20)</f>
        <v>2825</v>
      </c>
      <c r="D20" s="14">
        <f>IF(I20 = 0, 0, AA20 / I20)</f>
        <v>2825</v>
      </c>
      <c r="E20" s="14">
        <f>IF(I20 = 0, 0, AD20 / I20)</f>
        <v>2778.0293888889</v>
      </c>
      <c r="F20" s="13">
        <f>H20 + G20</f>
        <v>14</v>
      </c>
      <c r="G20" s="13">
        <v>0.0</v>
      </c>
      <c r="H20" s="13">
        <v>14.0</v>
      </c>
      <c r="I20" s="13">
        <f>L20 + N20 + M20</f>
        <v>1</v>
      </c>
      <c r="J20" s="13">
        <f>O20 + P20</f>
        <v>13</v>
      </c>
      <c r="K20" s="13">
        <v>12.0</v>
      </c>
      <c r="L20" s="13">
        <v>1.0</v>
      </c>
      <c r="M20" s="13">
        <v>0.0</v>
      </c>
      <c r="N20" s="13">
        <v>0.0</v>
      </c>
      <c r="O20" s="13">
        <f>AE20 + AF20</f>
        <v>1</v>
      </c>
      <c r="P20" s="13">
        <f>AG20 + AH20</f>
        <v>12</v>
      </c>
      <c r="Q20" s="15">
        <f>IF(H20 = 0, "--", I20 / H20)</f>
        <v>0.071428571428571</v>
      </c>
      <c r="R20" s="15">
        <f>IF(H20 = 0, "--", AI20 / H20)</f>
        <v>0.14285714285714</v>
      </c>
      <c r="S20" s="15">
        <f>IF(H20 = 0, "--", AK20 / H20)</f>
        <v>0.14285714285714</v>
      </c>
      <c r="T20" s="15">
        <f>IF(H20 = 0, "--", AJ20 / H20)</f>
        <v>0.85714285714286</v>
      </c>
      <c r="V20" s="14">
        <f>IF(H20 = 0, 0, X20 / H20)</f>
        <v>2906.1428571429</v>
      </c>
      <c r="W20" s="13">
        <v>16940.0</v>
      </c>
      <c r="X20" s="13">
        <v>40686.0</v>
      </c>
      <c r="Y20" s="13">
        <v>-46.0</v>
      </c>
      <c r="Z20" s="13">
        <v>39550.0</v>
      </c>
      <c r="AA20" s="13">
        <v>2825.0</v>
      </c>
      <c r="AB20" s="13">
        <v>-2871.0</v>
      </c>
      <c r="AC20" s="13">
        <v>2825.0</v>
      </c>
      <c r="AD20" s="13">
        <v>2778.0293888889</v>
      </c>
      <c r="AE20" s="13">
        <v>1.0</v>
      </c>
      <c r="AF20" s="13">
        <v>0.0</v>
      </c>
      <c r="AG20" s="13">
        <v>12.0</v>
      </c>
      <c r="AH20" s="13">
        <v>0.0</v>
      </c>
      <c r="AI20" s="13">
        <f>L20 + M20 + O20 + N20</f>
        <v>2</v>
      </c>
      <c r="AJ20" s="13">
        <f>P20 + N20</f>
        <v>12</v>
      </c>
      <c r="AK20" s="13">
        <f>L20 + M20 + O20</f>
        <v>2</v>
      </c>
    </row>
    <row r="21" spans="1:37">
      <c r="A21" s="2" t="s">
        <v>118</v>
      </c>
      <c r="B21" s="13">
        <f>IF(H21 = 0, "--", W21 / H21)</f>
        <v>1184</v>
      </c>
      <c r="C21" s="14">
        <f>IF(H21 = 0, 0, Z21 / H21)</f>
        <v>2650</v>
      </c>
      <c r="D21" s="14">
        <f>IF(I21 = 0, 0, AA21 / I21)</f>
        <v>2670</v>
      </c>
      <c r="E21" s="14">
        <f>IF(I21 = 0, 0, AD21 / I21)</f>
        <v>2279.711</v>
      </c>
      <c r="F21" s="13">
        <f>H21 + G21</f>
        <v>9</v>
      </c>
      <c r="G21" s="13">
        <v>0.0</v>
      </c>
      <c r="H21" s="13">
        <v>9.0</v>
      </c>
      <c r="I21" s="13">
        <f>L21 + N21 + M21</f>
        <v>2</v>
      </c>
      <c r="J21" s="13">
        <f>O21 + P21</f>
        <v>7</v>
      </c>
      <c r="K21" s="13">
        <v>4.0</v>
      </c>
      <c r="L21" s="13">
        <v>2.0</v>
      </c>
      <c r="M21" s="13">
        <v>0.0</v>
      </c>
      <c r="N21" s="13">
        <v>0.0</v>
      </c>
      <c r="O21" s="13">
        <f>AE21 + AF21</f>
        <v>3</v>
      </c>
      <c r="P21" s="13">
        <f>AG21 + AH21</f>
        <v>4</v>
      </c>
      <c r="Q21" s="15">
        <f>IF(H21 = 0, "--", I21 / H21)</f>
        <v>0.22222222222222</v>
      </c>
      <c r="R21" s="15">
        <f>IF(H21 = 0, "--", AI21 / H21)</f>
        <v>0.55555555555556</v>
      </c>
      <c r="S21" s="15">
        <f>IF(H21 = 0, "--", AK21 / H21)</f>
        <v>0.55555555555556</v>
      </c>
      <c r="T21" s="15">
        <f>IF(H21 = 0, "--", AJ21 / H21)</f>
        <v>0.44444444444444</v>
      </c>
      <c r="V21" s="14">
        <f>IF(H21 = 0, 0, X21 / H21)</f>
        <v>2707.8888888889</v>
      </c>
      <c r="W21" s="13">
        <v>10656.0</v>
      </c>
      <c r="X21" s="13">
        <v>24371.0</v>
      </c>
      <c r="Y21" s="13">
        <v>5778.15</v>
      </c>
      <c r="Z21" s="13">
        <v>23850.0</v>
      </c>
      <c r="AA21" s="13">
        <v>5340.0</v>
      </c>
      <c r="AB21" s="13">
        <v>438.15</v>
      </c>
      <c r="AC21" s="13">
        <v>4739.6666666667</v>
      </c>
      <c r="AD21" s="13">
        <v>4559.422</v>
      </c>
      <c r="AE21" s="13">
        <v>3.0</v>
      </c>
      <c r="AF21" s="13">
        <v>0.0</v>
      </c>
      <c r="AG21" s="13">
        <v>4.0</v>
      </c>
      <c r="AH21" s="13">
        <v>0.0</v>
      </c>
      <c r="AI21" s="13">
        <f>L21 + M21 + O21 + N21</f>
        <v>5</v>
      </c>
      <c r="AJ21" s="13">
        <f>P21 + N21</f>
        <v>4</v>
      </c>
      <c r="AK21" s="13">
        <f>L21 + M21 + O21</f>
        <v>5</v>
      </c>
    </row>
    <row r="22" spans="1:37">
      <c r="A22" s="2" t="s">
        <v>139</v>
      </c>
      <c r="B22" s="13">
        <f>IF(H22 = 0, "--", W22 / H22)</f>
        <v>1184</v>
      </c>
      <c r="C22" s="14">
        <f>IF(H22 = 0, 0, Z22 / H22)</f>
        <v>2650</v>
      </c>
      <c r="D22" s="14">
        <f>IF(I22 = 0, 0, AA22 / I22)</f>
        <v>0</v>
      </c>
      <c r="E22" s="14">
        <f>IF(I22 = 0, 0, AD22 / I22)</f>
        <v>0</v>
      </c>
      <c r="F22" s="13">
        <f>H22 + G22</f>
        <v>6</v>
      </c>
      <c r="G22" s="13">
        <v>0.0</v>
      </c>
      <c r="H22" s="13">
        <v>6.0</v>
      </c>
      <c r="I22" s="13">
        <f>L22 + N22 + M22</f>
        <v>0</v>
      </c>
      <c r="J22" s="13">
        <f>O22 + P22</f>
        <v>6</v>
      </c>
      <c r="K22" s="13">
        <v>5.0</v>
      </c>
      <c r="L22" s="13">
        <v>0.0</v>
      </c>
      <c r="M22" s="13">
        <v>0.0</v>
      </c>
      <c r="N22" s="13">
        <v>0.0</v>
      </c>
      <c r="O22" s="13">
        <f>AE22 + AF22</f>
        <v>1</v>
      </c>
      <c r="P22" s="13">
        <f>AG22 + AH22</f>
        <v>5</v>
      </c>
      <c r="Q22" s="15">
        <f>IF(H22 = 0, "--", I22 / H22)</f>
        <v>0</v>
      </c>
      <c r="R22" s="15">
        <f>IF(H22 = 0, "--", AI22 / H22)</f>
        <v>0.16666666666667</v>
      </c>
      <c r="S22" s="15">
        <f>IF(H22 = 0, "--", AK22 / H22)</f>
        <v>0.16666666666667</v>
      </c>
      <c r="T22" s="15">
        <f>IF(H22 = 0, "--", AJ22 / H22)</f>
        <v>0.83333333333333</v>
      </c>
      <c r="V22" s="14">
        <f>IF(H22 = 0, 0, X22 / H22)</f>
        <v>2323.6666666667</v>
      </c>
      <c r="W22" s="13">
        <v>7104.0</v>
      </c>
      <c r="X22" s="13">
        <v>13942.0</v>
      </c>
      <c r="Y22" s="13">
        <v>0.0</v>
      </c>
      <c r="Z22" s="13">
        <v>15900.0</v>
      </c>
      <c r="AA22" s="13">
        <v>0.0</v>
      </c>
      <c r="AB22" s="13">
        <v>0.0</v>
      </c>
      <c r="AC22" s="13">
        <v>0.0</v>
      </c>
      <c r="AD22" s="13">
        <v>0.0</v>
      </c>
      <c r="AE22" s="13">
        <v>1.0</v>
      </c>
      <c r="AF22" s="13">
        <v>0.0</v>
      </c>
      <c r="AG22" s="13">
        <v>5.0</v>
      </c>
      <c r="AH22" s="13">
        <v>0.0</v>
      </c>
      <c r="AI22" s="13">
        <f>L22 + M22 + O22 + N22</f>
        <v>1</v>
      </c>
      <c r="AJ22" s="13">
        <f>P22 + N22</f>
        <v>5</v>
      </c>
      <c r="AK22" s="13">
        <f>L22 + M22 + O22</f>
        <v>1</v>
      </c>
    </row>
    <row r="23" spans="1:37">
      <c r="A23" s="2" t="s">
        <v>140</v>
      </c>
      <c r="B23" s="13">
        <f>IF(H23 = 0, "--", W23 / H23)</f>
        <v>912</v>
      </c>
      <c r="C23" s="14">
        <f>IF(H23 = 0, 0, Z23 / H23)</f>
        <v>2299</v>
      </c>
      <c r="D23" s="14">
        <f>IF(I23 = 0, 0, AA23 / I23)</f>
        <v>0</v>
      </c>
      <c r="E23" s="14">
        <f>IF(I23 = 0, 0, AD23 / I23)</f>
        <v>0</v>
      </c>
      <c r="F23" s="13">
        <f>H23 + G23</f>
        <v>9</v>
      </c>
      <c r="G23" s="13">
        <v>0.0</v>
      </c>
      <c r="H23" s="13">
        <v>9.0</v>
      </c>
      <c r="I23" s="13">
        <f>L23 + N23 + M23</f>
        <v>0</v>
      </c>
      <c r="J23" s="13">
        <f>O23 + P23</f>
        <v>9</v>
      </c>
      <c r="K23" s="13">
        <v>9.0</v>
      </c>
      <c r="L23" s="13">
        <v>0.0</v>
      </c>
      <c r="M23" s="13">
        <v>0.0</v>
      </c>
      <c r="N23" s="13">
        <v>0.0</v>
      </c>
      <c r="O23" s="13">
        <f>AE23 + AF23</f>
        <v>0</v>
      </c>
      <c r="P23" s="13">
        <f>AG23 + AH23</f>
        <v>9</v>
      </c>
      <c r="Q23" s="15">
        <f>IF(H23 = 0, "--", I23 / H23)</f>
        <v>0</v>
      </c>
      <c r="R23" s="15">
        <f>IF(H23 = 0, "--", AI23 / H23)</f>
        <v>0</v>
      </c>
      <c r="S23" s="15">
        <f>IF(H23 = 0, "--", AK23 / H23)</f>
        <v>0</v>
      </c>
      <c r="T23" s="15">
        <f>IF(H23 = 0, "--", AJ23 / H23)</f>
        <v>1</v>
      </c>
      <c r="V23" s="14">
        <f>IF(H23 = 0, 0, X23 / H23)</f>
        <v>2057</v>
      </c>
      <c r="W23" s="13">
        <v>8208.0</v>
      </c>
      <c r="X23" s="13">
        <v>18513.0</v>
      </c>
      <c r="Y23" s="13">
        <v>0.0</v>
      </c>
      <c r="Z23" s="13">
        <v>20691.0</v>
      </c>
      <c r="AA23" s="13">
        <v>0.0</v>
      </c>
      <c r="AB23" s="13">
        <v>0.0</v>
      </c>
      <c r="AC23" s="13">
        <v>0.0</v>
      </c>
      <c r="AD23" s="13">
        <v>0.0</v>
      </c>
      <c r="AE23" s="13">
        <v>0.0</v>
      </c>
      <c r="AF23" s="13">
        <v>0.0</v>
      </c>
      <c r="AG23" s="13">
        <v>9.0</v>
      </c>
      <c r="AH23" s="13">
        <v>0.0</v>
      </c>
      <c r="AI23" s="13">
        <f>L23 + M23 + O23 + N23</f>
        <v>0</v>
      </c>
      <c r="AJ23" s="13">
        <f>P23 + N23</f>
        <v>9</v>
      </c>
      <c r="AK23" s="13">
        <f>L23 + M23 + O23</f>
        <v>0</v>
      </c>
    </row>
    <row r="24" spans="1:37">
      <c r="A24" s="2" t="s">
        <v>141</v>
      </c>
      <c r="B24" s="13">
        <f>IF(H24 = 0, "--", W24 / H24)</f>
        <v>1171</v>
      </c>
      <c r="C24" s="14">
        <f>IF(H24 = 0, 0, Z24 / H24)</f>
        <v>3200</v>
      </c>
      <c r="D24" s="14">
        <f>IF(I24 = 0, 0, AA24 / I24)</f>
        <v>0</v>
      </c>
      <c r="E24" s="14">
        <f>IF(I24 = 0, 0, AD24 / I24)</f>
        <v>0</v>
      </c>
      <c r="F24" s="13">
        <f>H24 + G24</f>
        <v>4</v>
      </c>
      <c r="G24" s="13">
        <v>0.0</v>
      </c>
      <c r="H24" s="13">
        <v>4.0</v>
      </c>
      <c r="I24" s="13">
        <f>L24 + N24 + M24</f>
        <v>0</v>
      </c>
      <c r="J24" s="13">
        <f>O24 + P24</f>
        <v>4</v>
      </c>
      <c r="K24" s="13">
        <v>4.0</v>
      </c>
      <c r="L24" s="13">
        <v>0.0</v>
      </c>
      <c r="M24" s="13">
        <v>0.0</v>
      </c>
      <c r="N24" s="13">
        <v>0.0</v>
      </c>
      <c r="O24" s="13">
        <f>AE24 + AF24</f>
        <v>0</v>
      </c>
      <c r="P24" s="13">
        <f>AG24 + AH24</f>
        <v>4</v>
      </c>
      <c r="Q24" s="15">
        <f>IF(H24 = 0, "--", I24 / H24)</f>
        <v>0</v>
      </c>
      <c r="R24" s="15">
        <f>IF(H24 = 0, "--", AI24 / H24)</f>
        <v>0</v>
      </c>
      <c r="S24" s="15">
        <f>IF(H24 = 0, "--", AK24 / H24)</f>
        <v>0</v>
      </c>
      <c r="T24" s="15">
        <f>IF(H24 = 0, "--", AJ24 / H24)</f>
        <v>1</v>
      </c>
      <c r="V24" s="14">
        <f>IF(H24 = 0, 0, X24 / H24)</f>
        <v>3222</v>
      </c>
      <c r="W24" s="13">
        <v>4684.0</v>
      </c>
      <c r="X24" s="13">
        <v>12888.0</v>
      </c>
      <c r="Y24" s="13">
        <v>0.0</v>
      </c>
      <c r="Z24" s="13">
        <v>12800.0</v>
      </c>
      <c r="AA24" s="13">
        <v>0.0</v>
      </c>
      <c r="AB24" s="13">
        <v>0.0</v>
      </c>
      <c r="AC24" s="13">
        <v>0.0</v>
      </c>
      <c r="AD24" s="13">
        <v>0.0</v>
      </c>
      <c r="AE24" s="13">
        <v>0.0</v>
      </c>
      <c r="AF24" s="13">
        <v>0.0</v>
      </c>
      <c r="AG24" s="13">
        <v>4.0</v>
      </c>
      <c r="AH24" s="13">
        <v>0.0</v>
      </c>
      <c r="AI24" s="13">
        <f>L24 + M24 + O24 + N24</f>
        <v>0</v>
      </c>
      <c r="AJ24" s="13">
        <f>P24 + N24</f>
        <v>4</v>
      </c>
      <c r="AK24" s="13">
        <f>L24 + M24 + O24</f>
        <v>0</v>
      </c>
    </row>
    <row r="25" spans="1:37">
      <c r="A25" s="2" t="s">
        <v>124</v>
      </c>
      <c r="B25" s="13">
        <f>IF(H25 = 0, "--", W25 / H25)</f>
        <v>600</v>
      </c>
      <c r="C25" s="14">
        <f>IF(H25 = 0, 0, Z25 / H25)</f>
        <v>1700</v>
      </c>
      <c r="D25" s="14">
        <f>IF(I25 = 0, 0, AA25 / I25)</f>
        <v>1538.5</v>
      </c>
      <c r="E25" s="14">
        <f>IF(I25 = 0, 0, AD25 / I25)</f>
        <v>1305.2693333333</v>
      </c>
      <c r="F25" s="13">
        <f>H25 + G25</f>
        <v>40</v>
      </c>
      <c r="G25" s="13">
        <v>0.0</v>
      </c>
      <c r="H25" s="13">
        <v>40.0</v>
      </c>
      <c r="I25" s="13">
        <f>L25 + N25 + M25</f>
        <v>2</v>
      </c>
      <c r="J25" s="13">
        <f>O25 + P25</f>
        <v>38</v>
      </c>
      <c r="K25" s="13">
        <v>37.0</v>
      </c>
      <c r="L25" s="13">
        <v>2.0</v>
      </c>
      <c r="M25" s="13">
        <v>0.0</v>
      </c>
      <c r="N25" s="13">
        <v>0.0</v>
      </c>
      <c r="O25" s="13">
        <f>AE25 + AF25</f>
        <v>1</v>
      </c>
      <c r="P25" s="13">
        <f>AG25 + AH25</f>
        <v>37</v>
      </c>
      <c r="Q25" s="15">
        <f>IF(H25 = 0, "--", I25 / H25)</f>
        <v>0.05</v>
      </c>
      <c r="R25" s="15">
        <f>IF(H25 = 0, "--", AI25 / H25)</f>
        <v>0.075</v>
      </c>
      <c r="S25" s="15">
        <f>IF(H25 = 0, "--", AK25 / H25)</f>
        <v>0.075</v>
      </c>
      <c r="T25" s="15">
        <f>IF(H25 = 0, "--", AJ25 / H25)</f>
        <v>0.925</v>
      </c>
      <c r="V25" s="14">
        <f>IF(H25 = 0, 0, X25 / H25)</f>
        <v>1588.625</v>
      </c>
      <c r="W25" s="13">
        <v>24000.0</v>
      </c>
      <c r="X25" s="13">
        <v>63545.0</v>
      </c>
      <c r="Y25" s="13">
        <v>3375.89</v>
      </c>
      <c r="Z25" s="13">
        <v>68000.0</v>
      </c>
      <c r="AA25" s="13">
        <v>3077.0</v>
      </c>
      <c r="AB25" s="13">
        <v>298.89</v>
      </c>
      <c r="AC25" s="13">
        <v>2653.0888888889</v>
      </c>
      <c r="AD25" s="13">
        <v>2610.5386666667</v>
      </c>
      <c r="AE25" s="13">
        <v>1.0</v>
      </c>
      <c r="AF25" s="13">
        <v>0.0</v>
      </c>
      <c r="AG25" s="13">
        <v>37.0</v>
      </c>
      <c r="AH25" s="13">
        <v>0.0</v>
      </c>
      <c r="AI25" s="13">
        <f>L25 + M25 + O25 + N25</f>
        <v>3</v>
      </c>
      <c r="AJ25" s="13">
        <f>P25 + N25</f>
        <v>37</v>
      </c>
      <c r="AK25" s="13">
        <f>L25 + M25 + O25</f>
        <v>3</v>
      </c>
    </row>
    <row r="26" spans="1:37">
      <c r="A26" s="2" t="s">
        <v>125</v>
      </c>
      <c r="B26" s="13">
        <f>IF(H26 = 0, "--", W26 / H26)</f>
        <v>566</v>
      </c>
      <c r="C26" s="14">
        <f>IF(H26 = 0, 0, Z26 / H26)</f>
        <v>1615</v>
      </c>
      <c r="D26" s="14">
        <f>IF(I26 = 0, 0, AA26 / I26)</f>
        <v>1472</v>
      </c>
      <c r="E26" s="14">
        <f>IF(I26 = 0, 0, AD26 / I26)</f>
        <v>1277.1507692308</v>
      </c>
      <c r="F26" s="13">
        <f>H26 + G26</f>
        <v>5</v>
      </c>
      <c r="G26" s="13">
        <v>0.0</v>
      </c>
      <c r="H26" s="13">
        <v>5.0</v>
      </c>
      <c r="I26" s="13">
        <f>L26 + N26 + M26</f>
        <v>1</v>
      </c>
      <c r="J26" s="13">
        <f>O26 + P26</f>
        <v>4</v>
      </c>
      <c r="K26" s="13">
        <v>4.0</v>
      </c>
      <c r="L26" s="13">
        <v>1.0</v>
      </c>
      <c r="M26" s="13">
        <v>0.0</v>
      </c>
      <c r="N26" s="13">
        <v>0.0</v>
      </c>
      <c r="O26" s="13">
        <f>AE26 + AF26</f>
        <v>0</v>
      </c>
      <c r="P26" s="13">
        <f>AG26 + AH26</f>
        <v>4</v>
      </c>
      <c r="Q26" s="15">
        <f>IF(H26 = 0, "--", I26 / H26)</f>
        <v>0.2</v>
      </c>
      <c r="R26" s="15">
        <f>IF(H26 = 0, "--", AI26 / H26)</f>
        <v>0.2</v>
      </c>
      <c r="S26" s="15">
        <f>IF(H26 = 0, "--", AK26 / H26)</f>
        <v>0.2</v>
      </c>
      <c r="T26" s="15">
        <f>IF(H26 = 0, "--", AJ26 / H26)</f>
        <v>0.8</v>
      </c>
      <c r="V26" s="14">
        <f>IF(H26 = 0, 0, X26 / H26)</f>
        <v>1478</v>
      </c>
      <c r="W26" s="13">
        <v>2830.0</v>
      </c>
      <c r="X26" s="13">
        <v>7390.0</v>
      </c>
      <c r="Y26" s="13">
        <v>1704.12</v>
      </c>
      <c r="Z26" s="13">
        <v>8075.0</v>
      </c>
      <c r="AA26" s="13">
        <v>1472.0</v>
      </c>
      <c r="AB26" s="13">
        <v>232.12</v>
      </c>
      <c r="AC26" s="13">
        <v>1395.0769230769</v>
      </c>
      <c r="AD26" s="13">
        <v>1277.1507692308</v>
      </c>
      <c r="AE26" s="13">
        <v>0.0</v>
      </c>
      <c r="AF26" s="13">
        <v>0.0</v>
      </c>
      <c r="AG26" s="13">
        <v>4.0</v>
      </c>
      <c r="AH26" s="13">
        <v>0.0</v>
      </c>
      <c r="AI26" s="13">
        <f>L26 + M26 + O26 + N26</f>
        <v>1</v>
      </c>
      <c r="AJ26" s="13">
        <f>P26 + N26</f>
        <v>4</v>
      </c>
      <c r="AK26" s="13">
        <f>L26 + M26 + O26</f>
        <v>1</v>
      </c>
    </row>
    <row r="27" spans="1:37">
      <c r="A27" s="2" t="s">
        <v>142</v>
      </c>
      <c r="B27" s="13">
        <f>IF(H27 = 0, "--", W27 / H27)</f>
        <v>574</v>
      </c>
      <c r="C27" s="14">
        <f>IF(H27 = 0, 0, Z27 / H27)</f>
        <v>1625</v>
      </c>
      <c r="D27" s="14">
        <f>IF(I27 = 0, 0, AA27 / I27)</f>
        <v>1504</v>
      </c>
      <c r="E27" s="14">
        <f>IF(I27 = 0, 0, AD27 / I27)</f>
        <v>1504</v>
      </c>
      <c r="F27" s="13">
        <f>H27 + G27</f>
        <v>9</v>
      </c>
      <c r="G27" s="13">
        <v>0.0</v>
      </c>
      <c r="H27" s="13">
        <v>9.0</v>
      </c>
      <c r="I27" s="13">
        <f>L27 + N27 + M27</f>
        <v>1</v>
      </c>
      <c r="J27" s="13">
        <f>O27 + P27</f>
        <v>8</v>
      </c>
      <c r="K27" s="13">
        <v>8.0</v>
      </c>
      <c r="L27" s="13">
        <v>1.0</v>
      </c>
      <c r="M27" s="13">
        <v>0.0</v>
      </c>
      <c r="N27" s="13">
        <v>0.0</v>
      </c>
      <c r="O27" s="13">
        <f>AE27 + AF27</f>
        <v>0</v>
      </c>
      <c r="P27" s="13">
        <f>AG27 + AH27</f>
        <v>8</v>
      </c>
      <c r="Q27" s="15">
        <f>IF(H27 = 0, "--", I27 / H27)</f>
        <v>0.11111111111111</v>
      </c>
      <c r="R27" s="15">
        <f>IF(H27 = 0, "--", AI27 / H27)</f>
        <v>0.11111111111111</v>
      </c>
      <c r="S27" s="15">
        <f>IF(H27 = 0, "--", AK27 / H27)</f>
        <v>0.11111111111111</v>
      </c>
      <c r="T27" s="15">
        <f>IF(H27 = 0, "--", AJ27 / H27)</f>
        <v>0.88888888888889</v>
      </c>
      <c r="V27" s="14">
        <f>IF(H27 = 0, 0, X27 / H27)</f>
        <v>1499.5555555556</v>
      </c>
      <c r="W27" s="13">
        <v>5166.0</v>
      </c>
      <c r="X27" s="13">
        <v>13496.0</v>
      </c>
      <c r="Y27" s="13">
        <v>0.0</v>
      </c>
      <c r="Z27" s="13">
        <v>14625.0</v>
      </c>
      <c r="AA27" s="13">
        <v>1504.0</v>
      </c>
      <c r="AB27" s="13">
        <v>-1504.0</v>
      </c>
      <c r="AC27" s="13">
        <v>1504.0</v>
      </c>
      <c r="AD27" s="13">
        <v>1504.0</v>
      </c>
      <c r="AE27" s="13">
        <v>0.0</v>
      </c>
      <c r="AF27" s="13">
        <v>0.0</v>
      </c>
      <c r="AG27" s="13">
        <v>8.0</v>
      </c>
      <c r="AH27" s="13">
        <v>0.0</v>
      </c>
      <c r="AI27" s="13">
        <f>L27 + M27 + O27 + N27</f>
        <v>1</v>
      </c>
      <c r="AJ27" s="13">
        <f>P27 + N27</f>
        <v>8</v>
      </c>
      <c r="AK27" s="13">
        <f>L27 + M27 + O27</f>
        <v>1</v>
      </c>
    </row>
    <row r="28" spans="1:37">
      <c r="A28" s="2" t="s">
        <v>143</v>
      </c>
      <c r="B28" s="13">
        <f>IF(H28 = 0, "--", W28 / H28)</f>
        <v>586</v>
      </c>
      <c r="C28" s="14">
        <f>IF(H28 = 0, 0, Z28 / H28)</f>
        <v>1650</v>
      </c>
      <c r="D28" s="14">
        <f>IF(I28 = 0, 0, AA28 / I28)</f>
        <v>1529</v>
      </c>
      <c r="E28" s="14">
        <f>IF(I28 = 0, 0, AD28 / I28)</f>
        <v>1529</v>
      </c>
      <c r="F28" s="13">
        <f>H28 + G28</f>
        <v>4</v>
      </c>
      <c r="G28" s="13">
        <v>0.0</v>
      </c>
      <c r="H28" s="13">
        <v>4.0</v>
      </c>
      <c r="I28" s="13">
        <f>L28 + N28 + M28</f>
        <v>1</v>
      </c>
      <c r="J28" s="13">
        <f>O28 + P28</f>
        <v>3</v>
      </c>
      <c r="K28" s="13">
        <v>3.0</v>
      </c>
      <c r="L28" s="13">
        <v>1.0</v>
      </c>
      <c r="M28" s="13">
        <v>0.0</v>
      </c>
      <c r="N28" s="13">
        <v>0.0</v>
      </c>
      <c r="O28" s="13">
        <f>AE28 + AF28</f>
        <v>0</v>
      </c>
      <c r="P28" s="13">
        <f>AG28 + AH28</f>
        <v>3</v>
      </c>
      <c r="Q28" s="15">
        <f>IF(H28 = 0, "--", I28 / H28)</f>
        <v>0.25</v>
      </c>
      <c r="R28" s="15">
        <f>IF(H28 = 0, "--", AI28 / H28)</f>
        <v>0.25</v>
      </c>
      <c r="S28" s="15">
        <f>IF(H28 = 0, "--", AK28 / H28)</f>
        <v>0.25</v>
      </c>
      <c r="T28" s="15">
        <f>IF(H28 = 0, "--", AJ28 / H28)</f>
        <v>0.75</v>
      </c>
      <c r="V28" s="14">
        <f>IF(H28 = 0, 0, X28 / H28)</f>
        <v>1529</v>
      </c>
      <c r="W28" s="13">
        <v>2344.0</v>
      </c>
      <c r="X28" s="13">
        <v>6116.0</v>
      </c>
      <c r="Y28" s="13">
        <v>0.0</v>
      </c>
      <c r="Z28" s="13">
        <v>6600.0</v>
      </c>
      <c r="AA28" s="13">
        <v>1529.0</v>
      </c>
      <c r="AB28" s="13">
        <v>-1529.0</v>
      </c>
      <c r="AC28" s="13">
        <v>1529.0</v>
      </c>
      <c r="AD28" s="13">
        <v>1529.0</v>
      </c>
      <c r="AE28" s="13">
        <v>0.0</v>
      </c>
      <c r="AF28" s="13">
        <v>0.0</v>
      </c>
      <c r="AG28" s="13">
        <v>3.0</v>
      </c>
      <c r="AH28" s="13">
        <v>0.0</v>
      </c>
      <c r="AI28" s="13">
        <f>L28 + M28 + O28 + N28</f>
        <v>1</v>
      </c>
      <c r="AJ28" s="13">
        <f>P28 + N28</f>
        <v>3</v>
      </c>
      <c r="AK28" s="13">
        <f>L28 + M28 + O28</f>
        <v>1</v>
      </c>
    </row>
    <row r="29" spans="1:37">
      <c r="A29" s="2" t="s">
        <v>144</v>
      </c>
      <c r="B29" s="13">
        <f>IF(H29 = 0, "--", W29 / H29)</f>
        <v>505</v>
      </c>
      <c r="C29" s="14">
        <f>IF(H29 = 0, 0, Z29 / H29)</f>
        <v>1475</v>
      </c>
      <c r="D29" s="14">
        <f>IF(I29 = 0, 0, AA29 / I29)</f>
        <v>0</v>
      </c>
      <c r="E29" s="14">
        <f>IF(I29 = 0, 0, AD29 / I29)</f>
        <v>0</v>
      </c>
      <c r="F29" s="13">
        <f>H29 + G29</f>
        <v>4</v>
      </c>
      <c r="G29" s="13">
        <v>0.0</v>
      </c>
      <c r="H29" s="13">
        <v>4.0</v>
      </c>
      <c r="I29" s="13">
        <f>L29 + N29 + M29</f>
        <v>0</v>
      </c>
      <c r="J29" s="13">
        <f>O29 + P29</f>
        <v>4</v>
      </c>
      <c r="K29" s="13">
        <v>3.0</v>
      </c>
      <c r="L29" s="13">
        <v>0.0</v>
      </c>
      <c r="M29" s="13">
        <v>0.0</v>
      </c>
      <c r="N29" s="13">
        <v>0.0</v>
      </c>
      <c r="O29" s="13">
        <f>AE29 + AF29</f>
        <v>1</v>
      </c>
      <c r="P29" s="13">
        <f>AG29 + AH29</f>
        <v>3</v>
      </c>
      <c r="Q29" s="15">
        <f>IF(H29 = 0, "--", I29 / H29)</f>
        <v>0</v>
      </c>
      <c r="R29" s="15">
        <f>IF(H29 = 0, "--", AI29 / H29)</f>
        <v>0.25</v>
      </c>
      <c r="S29" s="15">
        <f>IF(H29 = 0, "--", AK29 / H29)</f>
        <v>0.25</v>
      </c>
      <c r="T29" s="15">
        <f>IF(H29 = 0, "--", AJ29 / H29)</f>
        <v>0.75</v>
      </c>
      <c r="V29" s="14">
        <f>IF(H29 = 0, 0, X29 / H29)</f>
        <v>1321.5</v>
      </c>
      <c r="W29" s="13">
        <v>2020.0</v>
      </c>
      <c r="X29" s="13">
        <v>5286.0</v>
      </c>
      <c r="Y29" s="13">
        <v>0.0</v>
      </c>
      <c r="Z29" s="13">
        <v>5900.0</v>
      </c>
      <c r="AA29" s="13">
        <v>0.0</v>
      </c>
      <c r="AB29" s="13">
        <v>0.0</v>
      </c>
      <c r="AC29" s="13">
        <v>0.0</v>
      </c>
      <c r="AD29" s="13">
        <v>0.0</v>
      </c>
      <c r="AE29" s="13">
        <v>1.0</v>
      </c>
      <c r="AF29" s="13">
        <v>0.0</v>
      </c>
      <c r="AG29" s="13">
        <v>3.0</v>
      </c>
      <c r="AH29" s="13">
        <v>0.0</v>
      </c>
      <c r="AI29" s="13">
        <f>L29 + M29 + O29 + N29</f>
        <v>1</v>
      </c>
      <c r="AJ29" s="13">
        <f>P29 + N29</f>
        <v>3</v>
      </c>
      <c r="AK29" s="13">
        <f>L29 + M29 + O29</f>
        <v>1</v>
      </c>
    </row>
    <row r="30" spans="1:37">
      <c r="A30" s="9" t="s">
        <v>50</v>
      </c>
      <c r="B30" s="10">
        <f>IF(H30 = 0, "--", W30 / H30)</f>
        <v>781.84210526316</v>
      </c>
      <c r="C30" s="11">
        <f>IF(H30 = 0, 0, Z30 / H30)</f>
        <v>2030.5748987854</v>
      </c>
      <c r="D30" s="11">
        <f>IF(I30 = 0, 0, AA30 / I30)</f>
        <v>1885.1111111111</v>
      </c>
      <c r="E30" s="11">
        <f>IF(I30 = 0, 0, AD30 / I30)</f>
        <v>1782.4209265274</v>
      </c>
      <c r="F30" s="10">
        <f>H30 + G30</f>
        <v>247</v>
      </c>
      <c r="G30" s="10">
        <f>SUM(G8:G29)</f>
        <v>0</v>
      </c>
      <c r="H30" s="10">
        <f>SUM(H8:H29)</f>
        <v>247</v>
      </c>
      <c r="I30" s="10">
        <f>L30 + N30 + M30</f>
        <v>27</v>
      </c>
      <c r="J30" s="10">
        <f>O30 + P30</f>
        <v>220</v>
      </c>
      <c r="K30" s="10">
        <f>SUM(K8:K29)</f>
        <v>209</v>
      </c>
      <c r="L30" s="10">
        <f>SUM(L8:L29)</f>
        <v>27</v>
      </c>
      <c r="M30" s="10">
        <f>SUM(M8:M29)</f>
        <v>0</v>
      </c>
      <c r="N30" s="10">
        <f>SUM(N8:N29)</f>
        <v>0</v>
      </c>
      <c r="O30" s="10">
        <f>AE30 + AF30</f>
        <v>11</v>
      </c>
      <c r="P30" s="10">
        <f>AG30 + AH30</f>
        <v>209</v>
      </c>
      <c r="Q30" s="12">
        <f>IF(H30 = 0, "--", I30 / H30)</f>
        <v>0.10931174089069</v>
      </c>
      <c r="R30" s="12">
        <f>IF(H30 = 0, "--", AI30 / H30)</f>
        <v>0.15384615384615</v>
      </c>
      <c r="S30" s="12">
        <f>IF(H30 = 0, "--", AK30 / H30)</f>
        <v>0.15384615384615</v>
      </c>
      <c r="T30" s="12">
        <f>IF(H30 = 0, "--", AJ30 / H30)</f>
        <v>0.84615384615385</v>
      </c>
      <c r="V30" s="11">
        <f>IF(H30 = 0, 0, X30 / H30)</f>
        <v>1901.2874493927</v>
      </c>
      <c r="W30" s="10">
        <f>SUM(W8:W29)</f>
        <v>193115</v>
      </c>
      <c r="X30" s="10">
        <f>SUM(X8:X29)</f>
        <v>469618</v>
      </c>
      <c r="Y30" s="10">
        <f>SUM(Y8:Y29)</f>
        <v>39473.86</v>
      </c>
      <c r="Z30" s="10">
        <f>SUM(Z8:Z29)</f>
        <v>501552</v>
      </c>
      <c r="AA30" s="10">
        <f>SUM(AA8:AA29)</f>
        <v>50898</v>
      </c>
      <c r="AB30" s="10">
        <f>SUM(AB8:AB29)</f>
        <v>-11424.14</v>
      </c>
      <c r="AC30" s="10">
        <f>SUM(AC8:AC29)</f>
        <v>48552.647863248</v>
      </c>
      <c r="AD30" s="10">
        <f>SUM(AD8:AD29)</f>
        <v>48125.365016239</v>
      </c>
      <c r="AE30" s="10">
        <f>SUM(AE8:AE29)</f>
        <v>11</v>
      </c>
      <c r="AF30" s="10">
        <f>SUM(AF8:AF29)</f>
        <v>0</v>
      </c>
      <c r="AG30" s="10">
        <f>SUM(AG8:AG29)</f>
        <v>209</v>
      </c>
      <c r="AH30" s="10">
        <f>SUM(AH8:AH29)</f>
        <v>0</v>
      </c>
      <c r="AI30" s="10">
        <f>L30 + M30 + O30 + N30</f>
        <v>38</v>
      </c>
      <c r="AJ30" s="10">
        <f>P30 + N30</f>
        <v>209</v>
      </c>
      <c r="AK30" s="10">
        <f>L30 + M30 + O30</f>
        <v>38</v>
      </c>
    </row>
    <row r="32" spans="1:37">
      <c r="A32" s="1" t="s">
        <v>51</v>
      </c>
    </row>
    <row r="33" spans="1:37">
      <c r="A33" s="3" t="s">
        <v>4</v>
      </c>
      <c r="B33" s="4" t="s">
        <v>10</v>
      </c>
      <c r="C33" s="4" t="s">
        <v>52</v>
      </c>
      <c r="D33" s="4" t="s">
        <v>53</v>
      </c>
      <c r="E33" s="4" t="s">
        <v>54</v>
      </c>
      <c r="F33" s="4" t="s">
        <v>55</v>
      </c>
      <c r="G33" s="4" t="s">
        <v>56</v>
      </c>
      <c r="H33" s="4" t="s">
        <v>57</v>
      </c>
      <c r="I33" s="4" t="s">
        <v>58</v>
      </c>
      <c r="J33" s="4" t="s">
        <v>60</v>
      </c>
      <c r="K33" s="4" t="s">
        <v>61</v>
      </c>
      <c r="L33" s="4" t="s">
        <v>62</v>
      </c>
      <c r="M33" s="4" t="s">
        <v>21</v>
      </c>
      <c r="V33" s="8" t="s">
        <v>59</v>
      </c>
    </row>
    <row r="34" spans="1:37">
      <c r="A34" s="2" t="s">
        <v>110</v>
      </c>
      <c r="B34" s="13">
        <v>16.0</v>
      </c>
      <c r="C34" s="13">
        <v>2.0</v>
      </c>
      <c r="D34" s="13">
        <v>0.0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3">
        <v>2.0</v>
      </c>
      <c r="V34" s="13">
        <v>0.0</v>
      </c>
    </row>
    <row r="35" spans="1:37">
      <c r="A35" s="2" t="s">
        <v>134</v>
      </c>
      <c r="B35" s="13">
        <v>38.0</v>
      </c>
      <c r="C35" s="13">
        <v>0.0</v>
      </c>
      <c r="D35" s="13">
        <v>0.0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V35" s="13">
        <v>0.0</v>
      </c>
    </row>
    <row r="36" spans="1:37">
      <c r="A36" s="2" t="s">
        <v>111</v>
      </c>
      <c r="B36" s="13">
        <v>11.0</v>
      </c>
      <c r="C36" s="13">
        <v>1.0</v>
      </c>
      <c r="D36" s="13">
        <v>0.0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3">
        <v>1.0</v>
      </c>
      <c r="V36" s="13">
        <v>0.0</v>
      </c>
    </row>
    <row r="37" spans="1:37">
      <c r="A37" s="2" t="s">
        <v>135</v>
      </c>
      <c r="B37" s="13">
        <v>28.0</v>
      </c>
      <c r="C37" s="13">
        <v>0.0</v>
      </c>
      <c r="D37" s="13">
        <v>0.0</v>
      </c>
      <c r="E37" s="13">
        <v>0.0</v>
      </c>
      <c r="F37" s="13">
        <v>0.0</v>
      </c>
      <c r="G37" s="13">
        <v>0.0</v>
      </c>
      <c r="H37" s="13">
        <v>0.0</v>
      </c>
      <c r="I37" s="13">
        <v>0.0</v>
      </c>
      <c r="J37" s="13">
        <v>0.0</v>
      </c>
      <c r="K37" s="13">
        <v>0.0</v>
      </c>
      <c r="L37" s="13">
        <v>0.0</v>
      </c>
      <c r="M37" s="13">
        <v>0.0</v>
      </c>
      <c r="V37" s="13">
        <v>0.0</v>
      </c>
    </row>
    <row r="38" spans="1:37">
      <c r="A38" s="2" t="s">
        <v>112</v>
      </c>
      <c r="B38" s="13">
        <v>7.0</v>
      </c>
      <c r="C38" s="13">
        <v>1.0</v>
      </c>
      <c r="D38" s="13">
        <v>0.0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3">
        <v>0.0</v>
      </c>
      <c r="K38" s="13">
        <v>0.0</v>
      </c>
      <c r="L38" s="13">
        <v>0.0</v>
      </c>
      <c r="M38" s="13">
        <v>1.0</v>
      </c>
      <c r="V38" s="13">
        <v>0.0</v>
      </c>
    </row>
    <row r="39" spans="1:37">
      <c r="A39" s="2" t="s">
        <v>136</v>
      </c>
      <c r="B39" s="13">
        <v>2.0</v>
      </c>
      <c r="C39" s="13">
        <v>0.0</v>
      </c>
      <c r="D39" s="13">
        <v>0.0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  <c r="L39" s="13">
        <v>0.0</v>
      </c>
      <c r="M39" s="13">
        <v>0.0</v>
      </c>
      <c r="V39" s="13">
        <v>0.0</v>
      </c>
    </row>
    <row r="40" spans="1:37">
      <c r="A40" s="2" t="s">
        <v>113</v>
      </c>
      <c r="B40" s="13">
        <v>7.0</v>
      </c>
      <c r="C40" s="13">
        <v>0.0</v>
      </c>
      <c r="D40" s="13">
        <v>0.0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  <c r="L40" s="13">
        <v>0.0</v>
      </c>
      <c r="M40" s="13">
        <v>0.0</v>
      </c>
      <c r="V40" s="13">
        <v>0.0</v>
      </c>
    </row>
    <row r="41" spans="1:37">
      <c r="A41" s="2" t="s">
        <v>137</v>
      </c>
      <c r="B41" s="13">
        <v>2.0</v>
      </c>
      <c r="C41" s="13">
        <v>0.0</v>
      </c>
      <c r="D41" s="13">
        <v>0.0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  <c r="L41" s="13">
        <v>0.0</v>
      </c>
      <c r="M41" s="13">
        <v>0.0</v>
      </c>
      <c r="V41" s="13">
        <v>0.0</v>
      </c>
    </row>
    <row r="42" spans="1:37">
      <c r="A42" s="2" t="s">
        <v>114</v>
      </c>
      <c r="B42" s="13">
        <v>5.0</v>
      </c>
      <c r="C42" s="13">
        <v>3.0</v>
      </c>
      <c r="D42" s="13">
        <v>0.0</v>
      </c>
      <c r="E42" s="13">
        <v>0.0</v>
      </c>
      <c r="F42" s="13">
        <v>0.0</v>
      </c>
      <c r="G42" s="13">
        <v>0.0</v>
      </c>
      <c r="H42" s="13">
        <v>0.0</v>
      </c>
      <c r="I42" s="13">
        <v>0.0</v>
      </c>
      <c r="J42" s="13">
        <v>0.0</v>
      </c>
      <c r="K42" s="13">
        <v>0.0</v>
      </c>
      <c r="L42" s="13">
        <v>0.0</v>
      </c>
      <c r="M42" s="13">
        <v>3.0</v>
      </c>
      <c r="V42" s="13">
        <v>0.0</v>
      </c>
    </row>
    <row r="43" spans="1:37">
      <c r="A43" s="2" t="s">
        <v>115</v>
      </c>
      <c r="B43" s="13">
        <v>7.0</v>
      </c>
      <c r="C43" s="13">
        <v>0.0</v>
      </c>
      <c r="D43" s="13">
        <v>0.0</v>
      </c>
      <c r="E43" s="13">
        <v>0.0</v>
      </c>
      <c r="F43" s="13">
        <v>0.0</v>
      </c>
      <c r="G43" s="13">
        <v>0.0</v>
      </c>
      <c r="H43" s="13">
        <v>0.0</v>
      </c>
      <c r="I43" s="13">
        <v>0.0</v>
      </c>
      <c r="J43" s="13">
        <v>0.0</v>
      </c>
      <c r="K43" s="13">
        <v>0.0</v>
      </c>
      <c r="L43" s="13">
        <v>0.0</v>
      </c>
      <c r="M43" s="13">
        <v>0.0</v>
      </c>
      <c r="V43" s="13">
        <v>0.0</v>
      </c>
    </row>
    <row r="44" spans="1:37">
      <c r="A44" s="2" t="s">
        <v>116</v>
      </c>
      <c r="B44" s="13">
        <v>11.0</v>
      </c>
      <c r="C44" s="13">
        <v>0.0</v>
      </c>
      <c r="D44" s="13">
        <v>0.0</v>
      </c>
      <c r="E44" s="13">
        <v>0.0</v>
      </c>
      <c r="F44" s="13">
        <v>0.0</v>
      </c>
      <c r="G44" s="13">
        <v>0.0</v>
      </c>
      <c r="H44" s="13">
        <v>0.0</v>
      </c>
      <c r="I44" s="13">
        <v>0.0</v>
      </c>
      <c r="J44" s="13">
        <v>0.0</v>
      </c>
      <c r="K44" s="13">
        <v>0.0</v>
      </c>
      <c r="L44" s="13">
        <v>0.0</v>
      </c>
      <c r="M44" s="13">
        <v>0.0</v>
      </c>
      <c r="V44" s="13">
        <v>0.0</v>
      </c>
    </row>
    <row r="45" spans="1:37">
      <c r="A45" s="2" t="s">
        <v>138</v>
      </c>
      <c r="B45" s="13">
        <v>9.0</v>
      </c>
      <c r="C45" s="13">
        <v>0.0</v>
      </c>
      <c r="D45" s="13">
        <v>0.0</v>
      </c>
      <c r="E45" s="13">
        <v>0.0</v>
      </c>
      <c r="F45" s="13">
        <v>0.0</v>
      </c>
      <c r="G45" s="13">
        <v>0.0</v>
      </c>
      <c r="H45" s="13">
        <v>0.0</v>
      </c>
      <c r="I45" s="13">
        <v>0.0</v>
      </c>
      <c r="J45" s="13">
        <v>0.0</v>
      </c>
      <c r="K45" s="13">
        <v>0.0</v>
      </c>
      <c r="L45" s="13">
        <v>0.0</v>
      </c>
      <c r="M45" s="13">
        <v>0.0</v>
      </c>
      <c r="V45" s="13">
        <v>0.0</v>
      </c>
    </row>
    <row r="46" spans="1:37">
      <c r="A46" s="2" t="s">
        <v>117</v>
      </c>
      <c r="B46" s="13">
        <v>14.0</v>
      </c>
      <c r="C46" s="13">
        <v>0.0</v>
      </c>
      <c r="D46" s="13">
        <v>0.0</v>
      </c>
      <c r="E46" s="13">
        <v>0.0</v>
      </c>
      <c r="F46" s="13">
        <v>0.0</v>
      </c>
      <c r="G46" s="13">
        <v>0.0</v>
      </c>
      <c r="H46" s="13">
        <v>0.0</v>
      </c>
      <c r="I46" s="13">
        <v>0.0</v>
      </c>
      <c r="J46" s="13">
        <v>0.0</v>
      </c>
      <c r="K46" s="13">
        <v>0.0</v>
      </c>
      <c r="L46" s="13">
        <v>0.0</v>
      </c>
      <c r="M46" s="13">
        <v>0.0</v>
      </c>
      <c r="V46" s="13">
        <v>0.0</v>
      </c>
    </row>
    <row r="47" spans="1:37">
      <c r="A47" s="2" t="s">
        <v>118</v>
      </c>
      <c r="B47" s="13">
        <v>9.0</v>
      </c>
      <c r="C47" s="13">
        <v>2.0</v>
      </c>
      <c r="D47" s="13">
        <v>0.0</v>
      </c>
      <c r="E47" s="13">
        <v>0.0</v>
      </c>
      <c r="F47" s="13">
        <v>0.0</v>
      </c>
      <c r="G47" s="13">
        <v>0.0</v>
      </c>
      <c r="H47" s="13">
        <v>0.0</v>
      </c>
      <c r="I47" s="13">
        <v>0.0</v>
      </c>
      <c r="J47" s="13">
        <v>0.0</v>
      </c>
      <c r="K47" s="13">
        <v>0.0</v>
      </c>
      <c r="L47" s="13">
        <v>0.0</v>
      </c>
      <c r="M47" s="13">
        <v>2.0</v>
      </c>
      <c r="V47" s="13">
        <v>0.0</v>
      </c>
    </row>
    <row r="48" spans="1:37">
      <c r="A48" s="2" t="s">
        <v>139</v>
      </c>
      <c r="B48" s="13">
        <v>6.0</v>
      </c>
      <c r="C48" s="13">
        <v>0.0</v>
      </c>
      <c r="D48" s="13">
        <v>0.0</v>
      </c>
      <c r="E48" s="13">
        <v>0.0</v>
      </c>
      <c r="F48" s="13">
        <v>0.0</v>
      </c>
      <c r="G48" s="13">
        <v>0.0</v>
      </c>
      <c r="H48" s="13">
        <v>0.0</v>
      </c>
      <c r="I48" s="13">
        <v>0.0</v>
      </c>
      <c r="J48" s="13">
        <v>0.0</v>
      </c>
      <c r="K48" s="13">
        <v>0.0</v>
      </c>
      <c r="L48" s="13">
        <v>0.0</v>
      </c>
      <c r="M48" s="13">
        <v>0.0</v>
      </c>
      <c r="V48" s="13">
        <v>0.0</v>
      </c>
    </row>
    <row r="49" spans="1:37">
      <c r="A49" s="2" t="s">
        <v>140</v>
      </c>
      <c r="B49" s="13">
        <v>9.0</v>
      </c>
      <c r="C49" s="13">
        <v>0.0</v>
      </c>
      <c r="D49" s="13">
        <v>0.0</v>
      </c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3">
        <v>0.0</v>
      </c>
      <c r="K49" s="13">
        <v>0.0</v>
      </c>
      <c r="L49" s="13">
        <v>0.0</v>
      </c>
      <c r="M49" s="13">
        <v>0.0</v>
      </c>
      <c r="V49" s="13">
        <v>0.0</v>
      </c>
    </row>
    <row r="50" spans="1:37">
      <c r="A50" s="2" t="s">
        <v>141</v>
      </c>
      <c r="B50" s="13">
        <v>4.0</v>
      </c>
      <c r="C50" s="13">
        <v>0.0</v>
      </c>
      <c r="D50" s="13">
        <v>0.0</v>
      </c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  <c r="L50" s="13">
        <v>0.0</v>
      </c>
      <c r="M50" s="13">
        <v>0.0</v>
      </c>
      <c r="V50" s="13">
        <v>0.0</v>
      </c>
    </row>
    <row r="51" spans="1:37">
      <c r="A51" s="2" t="s">
        <v>124</v>
      </c>
      <c r="B51" s="13">
        <v>40.0</v>
      </c>
      <c r="C51" s="13">
        <v>2.0</v>
      </c>
      <c r="D51" s="13">
        <v>0.0</v>
      </c>
      <c r="E51" s="13">
        <v>0.0</v>
      </c>
      <c r="F51" s="13">
        <v>0.0</v>
      </c>
      <c r="G51" s="13">
        <v>0.0</v>
      </c>
      <c r="H51" s="13">
        <v>0.0</v>
      </c>
      <c r="I51" s="13">
        <v>0.0</v>
      </c>
      <c r="J51" s="13">
        <v>0.0</v>
      </c>
      <c r="K51" s="13">
        <v>0.0</v>
      </c>
      <c r="L51" s="13">
        <v>0.0</v>
      </c>
      <c r="M51" s="13">
        <v>1.0</v>
      </c>
      <c r="V51" s="13">
        <v>0.0</v>
      </c>
    </row>
    <row r="52" spans="1:37">
      <c r="A52" s="2" t="s">
        <v>125</v>
      </c>
      <c r="B52" s="13">
        <v>5.0</v>
      </c>
      <c r="C52" s="13">
        <v>0.0</v>
      </c>
      <c r="D52" s="13">
        <v>0.0</v>
      </c>
      <c r="E52" s="13">
        <v>0.0</v>
      </c>
      <c r="F52" s="13">
        <v>0.0</v>
      </c>
      <c r="G52" s="13">
        <v>0.0</v>
      </c>
      <c r="H52" s="13">
        <v>0.0</v>
      </c>
      <c r="I52" s="13">
        <v>0.0</v>
      </c>
      <c r="J52" s="13">
        <v>0.0</v>
      </c>
      <c r="K52" s="13">
        <v>0.0</v>
      </c>
      <c r="L52" s="13">
        <v>0.0</v>
      </c>
      <c r="M52" s="13">
        <v>0.0</v>
      </c>
      <c r="V52" s="13">
        <v>0.0</v>
      </c>
    </row>
    <row r="53" spans="1:37">
      <c r="A53" s="2" t="s">
        <v>142</v>
      </c>
      <c r="B53" s="13">
        <v>9.0</v>
      </c>
      <c r="C53" s="13">
        <v>1.0</v>
      </c>
      <c r="D53" s="13">
        <v>0.0</v>
      </c>
      <c r="E53" s="13">
        <v>0.0</v>
      </c>
      <c r="F53" s="13">
        <v>0.0</v>
      </c>
      <c r="G53" s="13">
        <v>0.0</v>
      </c>
      <c r="H53" s="13">
        <v>0.0</v>
      </c>
      <c r="I53" s="13">
        <v>0.0</v>
      </c>
      <c r="J53" s="13">
        <v>0.0</v>
      </c>
      <c r="K53" s="13">
        <v>0.0</v>
      </c>
      <c r="L53" s="13">
        <v>0.0</v>
      </c>
      <c r="M53" s="13">
        <v>1.0</v>
      </c>
      <c r="V53" s="13">
        <v>0.0</v>
      </c>
    </row>
    <row r="54" spans="1:37">
      <c r="A54" s="2" t="s">
        <v>143</v>
      </c>
      <c r="B54" s="13">
        <v>4.0</v>
      </c>
      <c r="C54" s="13">
        <v>1.0</v>
      </c>
      <c r="D54" s="13">
        <v>0.0</v>
      </c>
      <c r="E54" s="13">
        <v>0.0</v>
      </c>
      <c r="F54" s="13">
        <v>0.0</v>
      </c>
      <c r="G54" s="13">
        <v>0.0</v>
      </c>
      <c r="H54" s="13">
        <v>0.0</v>
      </c>
      <c r="I54" s="13">
        <v>0.0</v>
      </c>
      <c r="J54" s="13">
        <v>0.0</v>
      </c>
      <c r="K54" s="13">
        <v>0.0</v>
      </c>
      <c r="L54" s="13">
        <v>0.0</v>
      </c>
      <c r="M54" s="13">
        <v>1.0</v>
      </c>
      <c r="V54" s="13">
        <v>0.0</v>
      </c>
    </row>
    <row r="55" spans="1:37">
      <c r="A55" s="2" t="s">
        <v>144</v>
      </c>
      <c r="B55" s="13">
        <v>4.0</v>
      </c>
      <c r="C55" s="13">
        <v>0.0</v>
      </c>
      <c r="D55" s="13">
        <v>0.0</v>
      </c>
      <c r="E55" s="13">
        <v>0.0</v>
      </c>
      <c r="F55" s="13">
        <v>0.0</v>
      </c>
      <c r="G55" s="13">
        <v>0.0</v>
      </c>
      <c r="H55" s="13">
        <v>0.0</v>
      </c>
      <c r="I55" s="13">
        <v>0.0</v>
      </c>
      <c r="J55" s="13">
        <v>0.0</v>
      </c>
      <c r="K55" s="13">
        <v>0.0</v>
      </c>
      <c r="L55" s="13">
        <v>0.0</v>
      </c>
      <c r="M55" s="13">
        <v>0.0</v>
      </c>
      <c r="V55" s="13">
        <v>0.0</v>
      </c>
    </row>
    <row r="56" spans="1:37">
      <c r="A56" s="9" t="s">
        <v>50</v>
      </c>
      <c r="B56" s="10">
        <f>SUM(B34:B55)</f>
        <v>247</v>
      </c>
      <c r="C56" s="10">
        <f>SUM(C34:C55)</f>
        <v>13</v>
      </c>
      <c r="D56" s="10">
        <f>SUM(D34:D55)</f>
        <v>0</v>
      </c>
      <c r="E56" s="10">
        <f>SUM(E34:E55)</f>
        <v>0</v>
      </c>
      <c r="F56" s="10">
        <f>SUM(F34:F55)</f>
        <v>0</v>
      </c>
      <c r="G56" s="10">
        <f>SUM(G34:G55)</f>
        <v>0</v>
      </c>
      <c r="H56" s="10">
        <f>SUM(H34:H55)</f>
        <v>0</v>
      </c>
      <c r="I56" s="10">
        <f>SUM(I34:I55)</f>
        <v>0</v>
      </c>
      <c r="J56" s="10">
        <f>SUM(J34:J55)</f>
        <v>0</v>
      </c>
      <c r="K56" s="10">
        <f>SUM(K34:K55)</f>
        <v>0</v>
      </c>
      <c r="L56" s="10">
        <f>SUM(L34:L55)</f>
        <v>0</v>
      </c>
      <c r="M56" s="10">
        <f>SUM(M34:M55)</f>
        <v>12</v>
      </c>
    </row>
    <row r="58" spans="1:37">
      <c r="A58" s="1" t="s">
        <v>63</v>
      </c>
    </row>
    <row r="59" spans="1:37">
      <c r="C59" s="16" t="s">
        <v>64</v>
      </c>
      <c r="K59" s="16" t="s">
        <v>65</v>
      </c>
      <c r="O59" s="16" t="s">
        <v>66</v>
      </c>
    </row>
    <row r="60" spans="1:37">
      <c r="A60" s="3" t="s">
        <v>4</v>
      </c>
      <c r="B60" s="4" t="s">
        <v>67</v>
      </c>
      <c r="C60" s="4" t="s">
        <v>68</v>
      </c>
      <c r="D60" s="4" t="s">
        <v>69</v>
      </c>
      <c r="E60" s="4" t="s">
        <v>70</v>
      </c>
      <c r="F60" s="4" t="s">
        <v>71</v>
      </c>
      <c r="G60" s="4" t="s">
        <v>72</v>
      </c>
      <c r="H60" s="4" t="s">
        <v>73</v>
      </c>
      <c r="I60" s="4" t="s">
        <v>74</v>
      </c>
      <c r="J60" s="4" t="s">
        <v>75</v>
      </c>
      <c r="K60" s="4" t="s">
        <v>76</v>
      </c>
      <c r="L60" s="4" t="s">
        <v>77</v>
      </c>
      <c r="M60" s="4" t="s">
        <v>78</v>
      </c>
      <c r="N60" s="4" t="s">
        <v>79</v>
      </c>
      <c r="O60" s="4" t="s">
        <v>80</v>
      </c>
    </row>
    <row r="61" spans="1:37">
      <c r="A61" s="2" t="s">
        <v>110</v>
      </c>
      <c r="B61" s="13">
        <v>4.0</v>
      </c>
      <c r="C61" s="13">
        <v>0.0</v>
      </c>
      <c r="D61" s="13">
        <v>0.0</v>
      </c>
      <c r="E61" s="13">
        <v>1.0</v>
      </c>
      <c r="F61" s="13">
        <v>1.0</v>
      </c>
      <c r="G61" s="13">
        <v>0.0</v>
      </c>
      <c r="H61" s="13">
        <v>0.0</v>
      </c>
      <c r="I61" s="13">
        <v>0.0</v>
      </c>
      <c r="J61" s="13">
        <v>2.0</v>
      </c>
      <c r="K61" s="13">
        <v>9.0</v>
      </c>
      <c r="L61" s="13">
        <v>18.0</v>
      </c>
      <c r="M61" s="13">
        <v>0.0</v>
      </c>
      <c r="N61" s="13">
        <v>1.0</v>
      </c>
      <c r="O61" s="13">
        <v>1.0</v>
      </c>
    </row>
    <row r="62" spans="1:37">
      <c r="A62" s="2" t="s">
        <v>134</v>
      </c>
      <c r="B62" s="13">
        <v>0.0</v>
      </c>
      <c r="C62" s="13">
        <v>0.0</v>
      </c>
      <c r="D62" s="13">
        <v>0.0</v>
      </c>
      <c r="E62" s="13">
        <v>0.0</v>
      </c>
      <c r="F62" s="13">
        <v>0.0</v>
      </c>
      <c r="G62" s="13">
        <v>0.0</v>
      </c>
      <c r="H62" s="13">
        <v>0.0</v>
      </c>
      <c r="I62" s="13">
        <v>0.0</v>
      </c>
      <c r="J62" s="13">
        <v>0.0</v>
      </c>
      <c r="K62" s="13">
        <v>13.0</v>
      </c>
      <c r="L62" s="13">
        <v>1.0</v>
      </c>
      <c r="M62" s="13">
        <v>0.0</v>
      </c>
      <c r="N62" s="13">
        <v>0.0</v>
      </c>
      <c r="O62" s="13">
        <v>1.0</v>
      </c>
    </row>
    <row r="63" spans="1:37">
      <c r="A63" s="2" t="s">
        <v>111</v>
      </c>
      <c r="B63" s="13">
        <v>1.0</v>
      </c>
      <c r="C63" s="13">
        <v>0.0</v>
      </c>
      <c r="D63" s="13">
        <v>0.0</v>
      </c>
      <c r="E63" s="13">
        <v>1.0</v>
      </c>
      <c r="F63" s="13">
        <v>0.0</v>
      </c>
      <c r="G63" s="13">
        <v>0.0</v>
      </c>
      <c r="H63" s="13">
        <v>0.0</v>
      </c>
      <c r="I63" s="13">
        <v>0.0</v>
      </c>
      <c r="J63" s="13">
        <v>0.0</v>
      </c>
      <c r="K63" s="13">
        <v>10.0</v>
      </c>
      <c r="L63" s="13">
        <v>8.0</v>
      </c>
      <c r="M63" s="13">
        <v>0.0</v>
      </c>
      <c r="N63" s="13">
        <v>0.0</v>
      </c>
      <c r="O63" s="13">
        <v>0.0</v>
      </c>
    </row>
    <row r="64" spans="1:37">
      <c r="A64" s="2" t="s">
        <v>135</v>
      </c>
      <c r="B64" s="13">
        <v>5.0</v>
      </c>
      <c r="C64" s="13">
        <v>0.0</v>
      </c>
      <c r="D64" s="13">
        <v>0.0</v>
      </c>
      <c r="E64" s="13">
        <v>4.0</v>
      </c>
      <c r="F64" s="13">
        <v>1.0</v>
      </c>
      <c r="G64" s="13">
        <v>0.0</v>
      </c>
      <c r="H64" s="13">
        <v>0.0</v>
      </c>
      <c r="I64" s="13">
        <v>0.0</v>
      </c>
      <c r="J64" s="13">
        <v>0.0</v>
      </c>
      <c r="K64" s="13">
        <v>18.0</v>
      </c>
      <c r="L64" s="13">
        <v>11.0</v>
      </c>
      <c r="M64" s="13">
        <v>0.0</v>
      </c>
      <c r="N64" s="13">
        <v>1.0</v>
      </c>
      <c r="O64" s="13">
        <v>2.0</v>
      </c>
    </row>
    <row r="65" spans="1:37">
      <c r="A65" s="2" t="s">
        <v>112</v>
      </c>
      <c r="B65" s="13">
        <v>1.0</v>
      </c>
      <c r="C65" s="13">
        <v>0.0</v>
      </c>
      <c r="D65" s="13">
        <v>0.0</v>
      </c>
      <c r="E65" s="13">
        <v>0.0</v>
      </c>
      <c r="F65" s="13">
        <v>0.0</v>
      </c>
      <c r="G65" s="13">
        <v>0.0</v>
      </c>
      <c r="H65" s="13">
        <v>0.0</v>
      </c>
      <c r="I65" s="13">
        <v>0.0</v>
      </c>
      <c r="J65" s="13">
        <v>1.0</v>
      </c>
      <c r="K65" s="13">
        <v>4.0</v>
      </c>
      <c r="L65" s="13">
        <v>0.0</v>
      </c>
      <c r="M65" s="13">
        <v>0.0</v>
      </c>
      <c r="N65" s="13">
        <v>0.0</v>
      </c>
      <c r="O65" s="13">
        <v>0.0</v>
      </c>
    </row>
    <row r="66" spans="1:37">
      <c r="A66" s="2" t="s">
        <v>137</v>
      </c>
      <c r="B66" s="13">
        <v>1.0</v>
      </c>
      <c r="C66" s="13">
        <v>0.0</v>
      </c>
      <c r="D66" s="13">
        <v>0.0</v>
      </c>
      <c r="E66" s="13">
        <v>1.0</v>
      </c>
      <c r="F66" s="13">
        <v>0.0</v>
      </c>
      <c r="G66" s="13">
        <v>0.0</v>
      </c>
      <c r="H66" s="13">
        <v>0.0</v>
      </c>
      <c r="I66" s="13">
        <v>0.0</v>
      </c>
      <c r="J66" s="13">
        <v>0.0</v>
      </c>
      <c r="K66" s="13">
        <v>2.0</v>
      </c>
      <c r="L66" s="13">
        <v>1.0</v>
      </c>
      <c r="M66" s="13">
        <v>0.0</v>
      </c>
      <c r="N66" s="13">
        <v>0.0</v>
      </c>
      <c r="O66" s="13">
        <v>1.0</v>
      </c>
    </row>
    <row r="67" spans="1:37">
      <c r="A67" s="2" t="s">
        <v>114</v>
      </c>
      <c r="B67" s="13">
        <v>3.0</v>
      </c>
      <c r="C67" s="13">
        <v>0.0</v>
      </c>
      <c r="D67" s="13">
        <v>0.0</v>
      </c>
      <c r="E67" s="13">
        <v>2.0</v>
      </c>
      <c r="F67" s="13">
        <v>1.0</v>
      </c>
      <c r="G67" s="13">
        <v>0.0</v>
      </c>
      <c r="H67" s="13">
        <v>0.0</v>
      </c>
      <c r="I67" s="13">
        <v>0.0</v>
      </c>
      <c r="J67" s="13">
        <v>0.0</v>
      </c>
      <c r="K67" s="13">
        <v>40.0</v>
      </c>
      <c r="L67" s="13">
        <v>8.0</v>
      </c>
      <c r="M67" s="13">
        <v>0.0</v>
      </c>
      <c r="N67" s="13">
        <v>8.0</v>
      </c>
      <c r="O67" s="13">
        <v>2.0</v>
      </c>
    </row>
    <row r="68" spans="1:37">
      <c r="A68" s="2" t="s">
        <v>115</v>
      </c>
      <c r="B68" s="13">
        <v>1.0</v>
      </c>
      <c r="C68" s="13">
        <v>0.0</v>
      </c>
      <c r="D68" s="13">
        <v>0.0</v>
      </c>
      <c r="E68" s="13">
        <v>0.0</v>
      </c>
      <c r="F68" s="13">
        <v>0.0</v>
      </c>
      <c r="G68" s="13">
        <v>0.0</v>
      </c>
      <c r="H68" s="13">
        <v>0.0</v>
      </c>
      <c r="I68" s="13">
        <v>0.0</v>
      </c>
      <c r="J68" s="13">
        <v>1.0</v>
      </c>
      <c r="K68" s="13">
        <v>8.0</v>
      </c>
      <c r="L68" s="13">
        <v>10.0</v>
      </c>
      <c r="M68" s="13">
        <v>0.0</v>
      </c>
      <c r="N68" s="13">
        <v>1.0</v>
      </c>
      <c r="O68" s="13">
        <v>1.0</v>
      </c>
    </row>
    <row r="69" spans="1:37">
      <c r="A69" s="2" t="s">
        <v>138</v>
      </c>
      <c r="B69" s="13">
        <v>1.0</v>
      </c>
      <c r="C69" s="13">
        <v>0.0</v>
      </c>
      <c r="D69" s="13">
        <v>0.0</v>
      </c>
      <c r="E69" s="13">
        <v>1.0</v>
      </c>
      <c r="F69" s="13">
        <v>0.0</v>
      </c>
      <c r="G69" s="13">
        <v>0.0</v>
      </c>
      <c r="H69" s="13">
        <v>0.0</v>
      </c>
      <c r="I69" s="13">
        <v>0.0</v>
      </c>
      <c r="J69" s="13">
        <v>0.0</v>
      </c>
      <c r="K69" s="13">
        <v>1.0</v>
      </c>
      <c r="L69" s="13">
        <v>0.0</v>
      </c>
      <c r="M69" s="13">
        <v>0.0</v>
      </c>
      <c r="N69" s="13">
        <v>0.0</v>
      </c>
      <c r="O69" s="13">
        <v>1.0</v>
      </c>
    </row>
    <row r="70" spans="1:37">
      <c r="A70" s="2" t="s">
        <v>117</v>
      </c>
      <c r="B70" s="13">
        <v>3.0</v>
      </c>
      <c r="C70" s="13">
        <v>0.0</v>
      </c>
      <c r="D70" s="13">
        <v>1.0</v>
      </c>
      <c r="E70" s="13">
        <v>2.0</v>
      </c>
      <c r="F70" s="13">
        <v>0.0</v>
      </c>
      <c r="G70" s="13">
        <v>0.0</v>
      </c>
      <c r="H70" s="13">
        <v>0.0</v>
      </c>
      <c r="I70" s="13">
        <v>0.0</v>
      </c>
      <c r="J70" s="13">
        <v>0.0</v>
      </c>
      <c r="K70" s="13">
        <v>11.0</v>
      </c>
      <c r="L70" s="13">
        <v>2.0</v>
      </c>
      <c r="M70" s="13">
        <v>0.0</v>
      </c>
      <c r="N70" s="13">
        <v>1.0</v>
      </c>
      <c r="O70" s="13">
        <v>2.0</v>
      </c>
    </row>
    <row r="71" spans="1:37">
      <c r="A71" s="2" t="s">
        <v>118</v>
      </c>
      <c r="B71" s="13">
        <v>3.0</v>
      </c>
      <c r="C71" s="13">
        <v>0.0</v>
      </c>
      <c r="D71" s="13">
        <v>0.0</v>
      </c>
      <c r="E71" s="13">
        <v>3.0</v>
      </c>
      <c r="F71" s="13">
        <v>0.0</v>
      </c>
      <c r="G71" s="13">
        <v>0.0</v>
      </c>
      <c r="H71" s="13">
        <v>0.0</v>
      </c>
      <c r="I71" s="13">
        <v>0.0</v>
      </c>
      <c r="J71" s="13">
        <v>0.0</v>
      </c>
      <c r="K71" s="13">
        <v>12.0</v>
      </c>
      <c r="L71" s="13">
        <v>13.0</v>
      </c>
      <c r="M71" s="13">
        <v>0.0</v>
      </c>
      <c r="N71" s="13">
        <v>6.0</v>
      </c>
      <c r="O71" s="13">
        <v>1.0</v>
      </c>
    </row>
    <row r="72" spans="1:37">
      <c r="A72" s="2" t="s">
        <v>139</v>
      </c>
      <c r="B72" s="13">
        <v>2.0</v>
      </c>
      <c r="C72" s="13">
        <v>0.0</v>
      </c>
      <c r="D72" s="13">
        <v>0.0</v>
      </c>
      <c r="E72" s="13">
        <v>1.0</v>
      </c>
      <c r="F72" s="13">
        <v>1.0</v>
      </c>
      <c r="G72" s="13">
        <v>0.0</v>
      </c>
      <c r="H72" s="13">
        <v>0.0</v>
      </c>
      <c r="I72" s="13">
        <v>0.0</v>
      </c>
      <c r="J72" s="13">
        <v>0.0</v>
      </c>
      <c r="K72" s="13">
        <v>11.0</v>
      </c>
      <c r="L72" s="13">
        <v>8.0</v>
      </c>
      <c r="M72" s="13">
        <v>0.0</v>
      </c>
      <c r="N72" s="13">
        <v>0.0</v>
      </c>
      <c r="O72" s="13">
        <v>2.0</v>
      </c>
    </row>
    <row r="73" spans="1:37">
      <c r="A73" s="2" t="s">
        <v>140</v>
      </c>
      <c r="B73" s="13">
        <v>2.0</v>
      </c>
      <c r="C73" s="13">
        <v>0.0</v>
      </c>
      <c r="D73" s="13">
        <v>1.0</v>
      </c>
      <c r="E73" s="13">
        <v>1.0</v>
      </c>
      <c r="F73" s="13">
        <v>0.0</v>
      </c>
      <c r="G73" s="13">
        <v>0.0</v>
      </c>
      <c r="H73" s="13">
        <v>0.0</v>
      </c>
      <c r="I73" s="13">
        <v>0.0</v>
      </c>
      <c r="J73" s="13">
        <v>0.0</v>
      </c>
      <c r="K73" s="13">
        <v>9.0</v>
      </c>
      <c r="L73" s="13">
        <v>18.0</v>
      </c>
      <c r="M73" s="13">
        <v>0.0</v>
      </c>
      <c r="N73" s="13">
        <v>1.0</v>
      </c>
      <c r="O73" s="13">
        <v>1.0</v>
      </c>
    </row>
    <row r="74" spans="1:37">
      <c r="A74" s="2" t="s">
        <v>124</v>
      </c>
      <c r="B74" s="13">
        <v>6.0</v>
      </c>
      <c r="C74" s="13">
        <v>0.0</v>
      </c>
      <c r="D74" s="13">
        <v>0.0</v>
      </c>
      <c r="E74" s="13">
        <v>5.0</v>
      </c>
      <c r="F74" s="13">
        <v>1.0</v>
      </c>
      <c r="G74" s="13">
        <v>0.0</v>
      </c>
      <c r="H74" s="13">
        <v>0.0</v>
      </c>
      <c r="I74" s="13">
        <v>0.0</v>
      </c>
      <c r="J74" s="13">
        <v>0.0</v>
      </c>
      <c r="K74" s="13">
        <v>17.0</v>
      </c>
      <c r="L74" s="13">
        <v>13.0</v>
      </c>
      <c r="M74" s="13">
        <v>0.0</v>
      </c>
      <c r="N74" s="13">
        <v>1.0</v>
      </c>
      <c r="O74" s="13">
        <v>1.0</v>
      </c>
    </row>
    <row r="75" spans="1:37">
      <c r="A75" s="2" t="s">
        <v>125</v>
      </c>
      <c r="B75" s="13">
        <v>3.0</v>
      </c>
      <c r="C75" s="13">
        <v>0.0</v>
      </c>
      <c r="D75" s="13">
        <v>1.0</v>
      </c>
      <c r="E75" s="13">
        <v>2.0</v>
      </c>
      <c r="F75" s="13">
        <v>0.0</v>
      </c>
      <c r="G75" s="13">
        <v>0.0</v>
      </c>
      <c r="H75" s="13">
        <v>0.0</v>
      </c>
      <c r="I75" s="13">
        <v>0.0</v>
      </c>
      <c r="J75" s="13">
        <v>0.0</v>
      </c>
      <c r="K75" s="13">
        <v>8.0</v>
      </c>
      <c r="L75" s="13">
        <v>3.0</v>
      </c>
      <c r="M75" s="13">
        <v>0.0</v>
      </c>
      <c r="N75" s="13">
        <v>1.0</v>
      </c>
      <c r="O75" s="13">
        <v>1.0</v>
      </c>
    </row>
    <row r="76" spans="1:37">
      <c r="A76" s="2" t="s">
        <v>142</v>
      </c>
      <c r="B76" s="13">
        <v>1.0</v>
      </c>
      <c r="C76" s="13">
        <v>0.0</v>
      </c>
      <c r="D76" s="13">
        <v>0.0</v>
      </c>
      <c r="E76" s="13">
        <v>0.0</v>
      </c>
      <c r="F76" s="13">
        <v>0.0</v>
      </c>
      <c r="G76" s="13">
        <v>0.0</v>
      </c>
      <c r="H76" s="13">
        <v>0.0</v>
      </c>
      <c r="I76" s="13">
        <v>0.0</v>
      </c>
      <c r="J76" s="13">
        <v>1.0</v>
      </c>
      <c r="K76" s="13">
        <v>0.0</v>
      </c>
      <c r="L76" s="13">
        <v>0.0</v>
      </c>
      <c r="M76" s="13">
        <v>0.0</v>
      </c>
      <c r="N76" s="13">
        <v>0.0</v>
      </c>
      <c r="O76" s="13">
        <v>0.0</v>
      </c>
    </row>
    <row r="77" spans="1:37">
      <c r="A77" s="2" t="s">
        <v>143</v>
      </c>
      <c r="B77" s="13">
        <v>1.0</v>
      </c>
      <c r="C77" s="13">
        <v>0.0</v>
      </c>
      <c r="D77" s="13">
        <v>0.0</v>
      </c>
      <c r="E77" s="13">
        <v>0.0</v>
      </c>
      <c r="F77" s="13">
        <v>0.0</v>
      </c>
      <c r="G77" s="13">
        <v>0.0</v>
      </c>
      <c r="H77" s="13">
        <v>0.0</v>
      </c>
      <c r="I77" s="13">
        <v>0.0</v>
      </c>
      <c r="J77" s="13">
        <v>1.0</v>
      </c>
      <c r="K77" s="13">
        <v>0.0</v>
      </c>
      <c r="L77" s="13">
        <v>0.0</v>
      </c>
      <c r="M77" s="13">
        <v>0.0</v>
      </c>
      <c r="N77" s="13">
        <v>0.0</v>
      </c>
      <c r="O77" s="13">
        <v>0.0</v>
      </c>
    </row>
    <row r="78" spans="1:37">
      <c r="A78" s="2" t="s">
        <v>144</v>
      </c>
      <c r="B78" s="13">
        <v>9.0</v>
      </c>
      <c r="C78" s="13">
        <v>0.0</v>
      </c>
      <c r="D78" s="13">
        <v>1.0</v>
      </c>
      <c r="E78" s="13">
        <v>7.0</v>
      </c>
      <c r="F78" s="13">
        <v>0.0</v>
      </c>
      <c r="G78" s="13">
        <v>0.0</v>
      </c>
      <c r="H78" s="13">
        <v>0.0</v>
      </c>
      <c r="I78" s="13">
        <v>0.0</v>
      </c>
      <c r="J78" s="13">
        <v>1.0</v>
      </c>
      <c r="K78" s="13">
        <v>26.0</v>
      </c>
      <c r="L78" s="13">
        <v>7.0</v>
      </c>
      <c r="M78" s="13">
        <v>0.0</v>
      </c>
      <c r="N78" s="13">
        <v>1.0</v>
      </c>
      <c r="O78" s="13">
        <v>1.0</v>
      </c>
    </row>
    <row r="79" spans="1:37">
      <c r="A79" s="2" t="s">
        <v>81</v>
      </c>
      <c r="B79" s="13">
        <v>89.0</v>
      </c>
      <c r="C79" s="13">
        <v>28.0</v>
      </c>
      <c r="D79" s="13">
        <v>17.0</v>
      </c>
      <c r="E79" s="13">
        <v>7.0</v>
      </c>
      <c r="F79" s="13">
        <v>6.0</v>
      </c>
      <c r="G79" s="13">
        <v>0.0</v>
      </c>
      <c r="H79" s="13">
        <v>2.0</v>
      </c>
      <c r="I79" s="13">
        <v>3.0</v>
      </c>
      <c r="J79" s="13">
        <v>26.0</v>
      </c>
      <c r="K79" s="13">
        <v>461.0</v>
      </c>
      <c r="L79" s="13">
        <v>174.0</v>
      </c>
      <c r="M79" s="13">
        <v>5.0</v>
      </c>
      <c r="N79" s="13">
        <v>54.0</v>
      </c>
      <c r="O79" s="13">
        <v>14.0</v>
      </c>
    </row>
    <row r="80" spans="1:37">
      <c r="A80" s="9" t="s">
        <v>50</v>
      </c>
      <c r="B80" s="10">
        <f>SUM(B61:B79)</f>
        <v>136</v>
      </c>
      <c r="C80" s="10">
        <f>SUM(C61:C79)</f>
        <v>28</v>
      </c>
      <c r="D80" s="10">
        <f>SUM(D61:D79)</f>
        <v>21</v>
      </c>
      <c r="E80" s="10">
        <f>SUM(E61:E79)</f>
        <v>38</v>
      </c>
      <c r="F80" s="10">
        <f>SUM(F61:F79)</f>
        <v>11</v>
      </c>
      <c r="G80" s="10">
        <f>SUM(G61:G79)</f>
        <v>0</v>
      </c>
      <c r="H80" s="10">
        <f>SUM(H61:H79)</f>
        <v>2</v>
      </c>
      <c r="I80" s="10">
        <f>SUM(I61:I79)</f>
        <v>3</v>
      </c>
      <c r="J80" s="10">
        <f>SUM(J61:J79)</f>
        <v>33</v>
      </c>
      <c r="K80" s="10">
        <f>SUM(K61:K79)</f>
        <v>660</v>
      </c>
      <c r="L80" s="10">
        <f>SUM(L61:L79)</f>
        <v>295</v>
      </c>
      <c r="M80" s="10">
        <f>SUM(M61:M79)</f>
        <v>5</v>
      </c>
      <c r="N80" s="10">
        <f>SUM(N61:N79)</f>
        <v>76</v>
      </c>
      <c r="O80" s="10">
        <f>SUM(O61:O79)</f>
        <v>32</v>
      </c>
    </row>
    <row r="82" spans="1:37">
      <c r="A82" s="1" t="s">
        <v>82</v>
      </c>
    </row>
    <row r="83" spans="1:37">
      <c r="B83" s="16" t="s">
        <v>83</v>
      </c>
      <c r="H83" s="16" t="s">
        <v>84</v>
      </c>
    </row>
    <row r="84" spans="1:37">
      <c r="A84" s="3" t="s">
        <v>4</v>
      </c>
      <c r="B84" s="4" t="s">
        <v>85</v>
      </c>
      <c r="C84" s="4" t="s">
        <v>86</v>
      </c>
      <c r="D84" s="4" t="s">
        <v>87</v>
      </c>
      <c r="E84" s="4" t="s">
        <v>88</v>
      </c>
      <c r="F84" s="4" t="s">
        <v>89</v>
      </c>
      <c r="G84" s="4" t="s">
        <v>90</v>
      </c>
      <c r="H84" s="4" t="s">
        <v>85</v>
      </c>
      <c r="I84" s="4" t="s">
        <v>87</v>
      </c>
      <c r="J84" s="4" t="s">
        <v>89</v>
      </c>
    </row>
    <row r="85" spans="1:37">
      <c r="A85" s="2" t="s">
        <v>110</v>
      </c>
      <c r="B85" s="13">
        <v>4.0</v>
      </c>
      <c r="C85" s="13">
        <v>0.0</v>
      </c>
      <c r="D85" s="13">
        <v>0.0</v>
      </c>
      <c r="E85" s="13">
        <v>1.0</v>
      </c>
      <c r="F85" s="13">
        <v>3.0</v>
      </c>
      <c r="G85" s="13">
        <v>0.0</v>
      </c>
      <c r="H85" s="13">
        <v>2.0</v>
      </c>
      <c r="I85" s="13">
        <v>0.0</v>
      </c>
      <c r="J85" s="13">
        <v>2.0</v>
      </c>
    </row>
    <row r="86" spans="1:37">
      <c r="A86" s="2" t="s">
        <v>111</v>
      </c>
      <c r="B86" s="13">
        <v>1.0</v>
      </c>
      <c r="C86" s="13">
        <v>0.0</v>
      </c>
      <c r="D86" s="13">
        <v>0.0</v>
      </c>
      <c r="E86" s="13">
        <v>0.0</v>
      </c>
      <c r="F86" s="13">
        <v>1.0</v>
      </c>
      <c r="G86" s="13">
        <v>0.0</v>
      </c>
      <c r="H86" s="13">
        <v>1.0</v>
      </c>
      <c r="I86" s="13">
        <v>0.0</v>
      </c>
      <c r="J86" s="13">
        <v>1.0</v>
      </c>
    </row>
    <row r="87" spans="1:37">
      <c r="A87" s="2" t="s">
        <v>135</v>
      </c>
      <c r="B87" s="13">
        <v>2.0</v>
      </c>
      <c r="C87" s="13">
        <v>0.0</v>
      </c>
      <c r="D87" s="13">
        <v>1.0</v>
      </c>
      <c r="E87" s="13">
        <v>1.0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</row>
    <row r="88" spans="1:37">
      <c r="A88" s="2" t="s">
        <v>112</v>
      </c>
      <c r="B88" s="13">
        <v>1.0</v>
      </c>
      <c r="C88" s="13">
        <v>0.0</v>
      </c>
      <c r="D88" s="13">
        <v>0.0</v>
      </c>
      <c r="E88" s="13">
        <v>0.0</v>
      </c>
      <c r="F88" s="13">
        <v>1.0</v>
      </c>
      <c r="G88" s="13">
        <v>0.0</v>
      </c>
      <c r="H88" s="13">
        <v>1.0</v>
      </c>
      <c r="I88" s="13">
        <v>0.0</v>
      </c>
      <c r="J88" s="13">
        <v>1.0</v>
      </c>
    </row>
    <row r="89" spans="1:37">
      <c r="A89" s="2" t="s">
        <v>114</v>
      </c>
      <c r="B89" s="13">
        <v>1.0</v>
      </c>
      <c r="C89" s="13">
        <v>0.0</v>
      </c>
      <c r="D89" s="13">
        <v>0.0</v>
      </c>
      <c r="E89" s="13">
        <v>0.0</v>
      </c>
      <c r="F89" s="13">
        <v>2.0</v>
      </c>
      <c r="G89" s="13">
        <v>0.0</v>
      </c>
      <c r="H89" s="13">
        <v>3.0</v>
      </c>
      <c r="I89" s="13">
        <v>0.0</v>
      </c>
      <c r="J89" s="13">
        <v>3.0</v>
      </c>
    </row>
    <row r="90" spans="1:37">
      <c r="A90" s="2" t="s">
        <v>115</v>
      </c>
      <c r="B90" s="13">
        <v>1.0</v>
      </c>
      <c r="C90" s="13">
        <v>0.0</v>
      </c>
      <c r="D90" s="13">
        <v>0.0</v>
      </c>
      <c r="E90" s="13">
        <v>0.0</v>
      </c>
      <c r="F90" s="13">
        <v>1.0</v>
      </c>
      <c r="G90" s="13">
        <v>0.0</v>
      </c>
      <c r="H90" s="13">
        <v>0.0</v>
      </c>
      <c r="I90" s="13">
        <v>0.0</v>
      </c>
      <c r="J90" s="13">
        <v>0.0</v>
      </c>
    </row>
    <row r="91" spans="1:37">
      <c r="A91" s="2" t="s">
        <v>118</v>
      </c>
      <c r="B91" s="13">
        <v>1.0</v>
      </c>
      <c r="C91" s="13">
        <v>0.0</v>
      </c>
      <c r="D91" s="13">
        <v>0.0</v>
      </c>
      <c r="E91" s="13">
        <v>0.0</v>
      </c>
      <c r="F91" s="13">
        <v>1.0</v>
      </c>
      <c r="G91" s="13">
        <v>1.0</v>
      </c>
      <c r="H91" s="13">
        <v>1.0</v>
      </c>
      <c r="I91" s="13">
        <v>0.0</v>
      </c>
      <c r="J91" s="13">
        <v>2.0</v>
      </c>
    </row>
    <row r="92" spans="1:37">
      <c r="A92" s="2" t="s">
        <v>139</v>
      </c>
      <c r="B92" s="13">
        <v>1.0</v>
      </c>
      <c r="C92" s="13">
        <v>0.0</v>
      </c>
      <c r="D92" s="13">
        <v>0.0</v>
      </c>
      <c r="E92" s="13">
        <v>0.0</v>
      </c>
      <c r="F92" s="13">
        <v>1.0</v>
      </c>
      <c r="G92" s="13">
        <v>0.0</v>
      </c>
      <c r="H92" s="13">
        <v>0.0</v>
      </c>
      <c r="I92" s="13">
        <v>0.0</v>
      </c>
      <c r="J92" s="13">
        <v>0.0</v>
      </c>
    </row>
    <row r="93" spans="1:37">
      <c r="A93" s="2" t="s">
        <v>124</v>
      </c>
      <c r="B93" s="13">
        <v>3.0</v>
      </c>
      <c r="C93" s="13">
        <v>0.0</v>
      </c>
      <c r="D93" s="13">
        <v>0.0</v>
      </c>
      <c r="E93" s="13">
        <v>2.0</v>
      </c>
      <c r="F93" s="13">
        <v>2.0</v>
      </c>
      <c r="G93" s="13">
        <v>0.0</v>
      </c>
      <c r="H93" s="13">
        <v>1.0</v>
      </c>
      <c r="I93" s="13">
        <v>0.0</v>
      </c>
      <c r="J93" s="13">
        <v>1.0</v>
      </c>
    </row>
    <row r="94" spans="1:37">
      <c r="A94" s="2" t="s">
        <v>125</v>
      </c>
      <c r="B94" s="13">
        <v>1.0</v>
      </c>
      <c r="C94" s="13">
        <v>0.0</v>
      </c>
      <c r="D94" s="13">
        <v>0.0</v>
      </c>
      <c r="E94" s="13">
        <v>1.0</v>
      </c>
      <c r="F94" s="13">
        <v>0.0</v>
      </c>
      <c r="G94" s="13">
        <v>0.0</v>
      </c>
      <c r="H94" s="13">
        <v>0.0</v>
      </c>
      <c r="I94" s="13">
        <v>0.0</v>
      </c>
      <c r="J94" s="13">
        <v>0.0</v>
      </c>
    </row>
    <row r="95" spans="1:37">
      <c r="A95" s="2" t="s">
        <v>142</v>
      </c>
      <c r="B95" s="13">
        <v>1.0</v>
      </c>
      <c r="C95" s="13">
        <v>0.0</v>
      </c>
      <c r="D95" s="13">
        <v>0.0</v>
      </c>
      <c r="E95" s="13">
        <v>0.0</v>
      </c>
      <c r="F95" s="13">
        <v>1.0</v>
      </c>
      <c r="G95" s="13">
        <v>0.0</v>
      </c>
      <c r="H95" s="13">
        <v>1.0</v>
      </c>
      <c r="I95" s="13">
        <v>0.0</v>
      </c>
      <c r="J95" s="13">
        <v>1.0</v>
      </c>
    </row>
    <row r="96" spans="1:37">
      <c r="A96" s="2" t="s">
        <v>143</v>
      </c>
      <c r="B96" s="13">
        <v>1.0</v>
      </c>
      <c r="C96" s="13">
        <v>0.0</v>
      </c>
      <c r="D96" s="13">
        <v>0.0</v>
      </c>
      <c r="E96" s="13">
        <v>0.0</v>
      </c>
      <c r="F96" s="13">
        <v>1.0</v>
      </c>
      <c r="G96" s="13">
        <v>0.0</v>
      </c>
      <c r="H96" s="13">
        <v>1.0</v>
      </c>
      <c r="I96" s="13">
        <v>0.0</v>
      </c>
      <c r="J96" s="13">
        <v>1.0</v>
      </c>
    </row>
    <row r="97" spans="1:37">
      <c r="A97" s="2" t="s">
        <v>144</v>
      </c>
      <c r="B97" s="13">
        <v>1.0</v>
      </c>
      <c r="C97" s="13">
        <v>0.0</v>
      </c>
      <c r="D97" s="13">
        <v>0.0</v>
      </c>
      <c r="E97" s="13">
        <v>0.0</v>
      </c>
      <c r="F97" s="13">
        <v>0.0</v>
      </c>
      <c r="G97" s="13">
        <v>0.0</v>
      </c>
      <c r="H97" s="13">
        <v>0.0</v>
      </c>
      <c r="I97" s="13">
        <v>0.0</v>
      </c>
      <c r="J97" s="13">
        <v>0.0</v>
      </c>
    </row>
    <row r="98" spans="1:37">
      <c r="A98" s="9" t="s">
        <v>50</v>
      </c>
      <c r="B98" s="10">
        <f>SUM(B85:B97)</f>
        <v>19</v>
      </c>
      <c r="C98" s="10">
        <f>SUM(C85:C97)</f>
        <v>0</v>
      </c>
      <c r="D98" s="10">
        <f>SUM(D85:D97)</f>
        <v>1</v>
      </c>
      <c r="E98" s="10">
        <f>SUM(E85:E97)</f>
        <v>5</v>
      </c>
      <c r="F98" s="10">
        <f>SUM(F85:F97)</f>
        <v>14</v>
      </c>
      <c r="G98" s="10">
        <f>SUM(G85:G97)</f>
        <v>1</v>
      </c>
      <c r="H98" s="10">
        <f>SUM(H85:H97)</f>
        <v>11</v>
      </c>
      <c r="I98" s="10">
        <f>SUM(I85:I97)</f>
        <v>0</v>
      </c>
      <c r="J98" s="10">
        <f>SUM(J85:J97)</f>
        <v>12</v>
      </c>
    </row>
    <row r="100" spans="1:37">
      <c r="A100" s="1" t="s">
        <v>91</v>
      </c>
    </row>
    <row r="101" spans="1:37">
      <c r="A101" s="3" t="s">
        <v>92</v>
      </c>
      <c r="B101" s="4" t="s">
        <v>19</v>
      </c>
      <c r="C101" s="4" t="s">
        <v>20</v>
      </c>
      <c r="D101" s="4" t="s">
        <v>93</v>
      </c>
      <c r="E101" s="7" t="s">
        <v>95</v>
      </c>
      <c r="V101" s="8" t="s">
        <v>94</v>
      </c>
    </row>
    <row r="102" spans="1:37">
      <c r="A102" s="2" t="s">
        <v>96</v>
      </c>
      <c r="B102" s="13">
        <v>11.0</v>
      </c>
      <c r="C102" s="13">
        <v>209.0</v>
      </c>
      <c r="D102" s="13">
        <f>B102 + C102</f>
        <v>220</v>
      </c>
      <c r="E102" s="15">
        <f>IF(0 = V102, 0, D102 / V102)</f>
        <v>1</v>
      </c>
      <c r="V102" s="13">
        <v>220.0</v>
      </c>
    </row>
    <row r="103" spans="1:37">
      <c r="A103" s="2" t="s">
        <v>97</v>
      </c>
      <c r="B103" s="13">
        <v>0.0</v>
      </c>
      <c r="C103" s="13">
        <v>0.0</v>
      </c>
      <c r="D103" s="13">
        <f>B103 + C103</f>
        <v>0</v>
      </c>
      <c r="E103" s="15">
        <f>IF(0 = V103, 0, D103 / V103)</f>
        <v>0</v>
      </c>
      <c r="V103" s="13">
        <v>220.0</v>
      </c>
    </row>
    <row r="104" spans="1:37">
      <c r="A104" s="9" t="s">
        <v>50</v>
      </c>
      <c r="B104" s="10">
        <f>SUM(B102:B103)</f>
        <v>11</v>
      </c>
      <c r="C104" s="10">
        <f>SUM(C102:C103)</f>
        <v>209</v>
      </c>
      <c r="D104" s="10">
        <f>SUM(D102:D103)</f>
        <v>220</v>
      </c>
    </row>
  </sheetData>
  <mergeCells>
    <mergeCell ref="A59:B59"/>
    <mergeCell ref="C59:J59"/>
    <mergeCell ref="K59:N59"/>
    <mergeCell ref="O59:O59"/>
    <mergeCell ref="A83:A83"/>
    <mergeCell ref="B83:G83"/>
    <mergeCell ref="H83:J83"/>
  </mergeCells>
  <printOptions gridLines="false" gridLinesSet="true" horizontalCentered="true"/>
  <pageMargins left="0.5" right="0.5" top="0.5" bottom="0.5" header="0.25" footer="0.25"/>
  <pageSetup paperSize="1" orientation="landscape" scale="100" fitToHeight="0" fitToWidth="1" pageOrder="downThenOver"/>
  <headerFooter differentOddEven="false" differentFirst="false" scaleWithDoc="true" alignWithMargins="true">
    <oddHeader>&amp;L 02 - RISE - Box Score</oddHeader>
    <oddFooter>&amp;L Page &amp;P of &amp;N &amp;R &amp;I Box Score 4.0 generated04/30/2026 at 11:35am EDT&amp;I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K37"/>
  <sheetViews>
    <sheetView tabSelected="0" workbookViewId="0" showGridLines="true" showRowColHeaders="1">
      <selection activeCell="E35" sqref="E35:E36"/>
    </sheetView>
  </sheetViews>
  <sheetFormatPr defaultRowHeight="14.4" outlineLevelRow="0" outlineLevelCol="0"/>
  <cols>
    <col min="1" max="1" width="22.142857142857" customWidth="true" style="0"/>
    <col min="2" max="2" width="22.142857142857" customWidth="true" style="0"/>
    <col min="3" max="3" width="22.142857142857" customWidth="true" style="0"/>
    <col min="4" max="4" width="22.142857142857" customWidth="true" style="0"/>
    <col min="5" max="5" width="22.142857142857" customWidth="true" style="0"/>
    <col min="6" max="6" width="20.714285714286" customWidth="true" style="0"/>
    <col min="7" max="7" width="20.714285714286" customWidth="true" style="0"/>
    <col min="8" max="8" width="21" customWidth="true" style="0"/>
    <col min="9" max="9" width="21.428571428571" customWidth="true" style="0"/>
    <col min="10" max="10" width="20.714285714286" customWidth="true" style="0"/>
    <col min="11" max="11" width="18.571428571429" customWidth="true" style="0"/>
    <col min="12" max="12" width="18.571428571429" customWidth="true" style="0"/>
    <col min="13" max="13" width="18.571428571429" customWidth="true" style="0"/>
    <col min="14" max="14" width="18.571428571429" customWidth="true" style="0"/>
    <col min="15" max="15" width="18.142857142857" customWidth="true" style="0"/>
    <col min="16" max="16" width="22.857142857143" customWidth="true" style="0"/>
    <col min="17" max="17" width="23.571428571429" customWidth="true" style="0"/>
    <col min="18" max="18" width="23.571428571429" customWidth="true" style="0"/>
    <col min="19" max="19" width="23.571428571429" customWidth="true" style="0"/>
    <col min="20" max="20" width="23.571428571429" customWidth="true" style="0"/>
    <col min="22" max="22" width="14.428571428571" hidden="true" customWidth="true" style="0"/>
    <col min="23" max="23" width="17.428571428571" hidden="true" customWidth="true" style="0"/>
    <col min="24" max="24" width="17.428571428571" hidden="true" customWidth="true" style="0"/>
    <col min="25" max="25" width="17.428571428571" hidden="true" customWidth="true" style="0"/>
    <col min="26" max="26" width="17.428571428571" hidden="true" customWidth="true" style="0"/>
    <col min="27" max="27" width="17.428571428571" hidden="true" customWidth="true" style="0"/>
    <col min="28" max="28" width="17.428571428571" hidden="true" customWidth="true" style="0"/>
    <col min="29" max="29" width="17.428571428571" hidden="true" customWidth="true" style="0"/>
    <col min="30" max="30" width="17.428571428571" hidden="true" customWidth="true" style="0"/>
    <col min="31" max="31" width="17.428571428571" hidden="true" customWidth="true" style="0"/>
    <col min="32" max="32" width="17.428571428571" hidden="true" customWidth="true" style="0"/>
    <col min="33" max="33" width="17.428571428571" hidden="true" customWidth="true" style="0"/>
    <col min="34" max="34" width="17.428571428571" hidden="true" customWidth="true" style="0"/>
    <col min="35" max="35" width="17.428571428571" hidden="true" customWidth="true" style="0"/>
    <col min="36" max="36" width="17.428571428571" hidden="true" customWidth="true" style="0"/>
    <col min="37" max="37" width="17.428571428571" hidden="true" customWidth="true" style="0"/>
  </cols>
  <sheetData>
    <row r="2" spans="1:37">
      <c r="A2" s="1" t="s">
        <v>0</v>
      </c>
    </row>
    <row r="3" spans="1:37">
      <c r="A3" s="2" t="s">
        <v>145</v>
      </c>
    </row>
    <row r="4" spans="1:37">
      <c r="A4" s="2" t="s">
        <v>2</v>
      </c>
    </row>
    <row r="6" spans="1:37">
      <c r="A6" s="1" t="s">
        <v>3</v>
      </c>
    </row>
    <row r="7" spans="1:37">
      <c r="A7" s="3" t="s">
        <v>4</v>
      </c>
      <c r="B7" s="4" t="s">
        <v>5</v>
      </c>
      <c r="C7" s="5" t="s">
        <v>6</v>
      </c>
      <c r="D7" s="5" t="s">
        <v>8</v>
      </c>
      <c r="E7" s="5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7" t="s">
        <v>13</v>
      </c>
      <c r="R7" s="7" t="s">
        <v>21</v>
      </c>
      <c r="S7" s="7" t="s">
        <v>22</v>
      </c>
      <c r="T7" s="7" t="s">
        <v>23</v>
      </c>
      <c r="V7" s="6" t="s">
        <v>7</v>
      </c>
      <c r="W7" s="8" t="s">
        <v>24</v>
      </c>
      <c r="X7" s="8" t="s">
        <v>25</v>
      </c>
      <c r="Y7" s="8" t="s">
        <v>26</v>
      </c>
      <c r="Z7" s="8" t="s">
        <v>27</v>
      </c>
      <c r="AA7" s="8" t="s">
        <v>28</v>
      </c>
      <c r="AB7" s="8" t="s">
        <v>29</v>
      </c>
      <c r="AC7" s="8" t="s">
        <v>30</v>
      </c>
      <c r="AD7" s="8" t="s">
        <v>31</v>
      </c>
      <c r="AE7" s="8" t="s">
        <v>32</v>
      </c>
      <c r="AF7" s="8" t="s">
        <v>33</v>
      </c>
      <c r="AG7" s="8" t="s">
        <v>34</v>
      </c>
      <c r="AH7" s="8" t="s">
        <v>35</v>
      </c>
      <c r="AI7" s="8" t="s">
        <v>36</v>
      </c>
      <c r="AJ7" s="8" t="s">
        <v>37</v>
      </c>
      <c r="AK7" s="8" t="s">
        <v>38</v>
      </c>
    </row>
    <row r="8" spans="1:37">
      <c r="A8" s="2" t="s">
        <v>115</v>
      </c>
      <c r="B8" s="13">
        <f>IF(H8 = 0, "--", W8 / H8)</f>
        <v>1301</v>
      </c>
      <c r="C8" s="14">
        <f>IF(H8 = 0, 0, Z8 / H8)</f>
        <v>1895</v>
      </c>
      <c r="D8" s="14">
        <f>IF(I8 = 0, 0, AA8 / I8)</f>
        <v>2048.2592592593</v>
      </c>
      <c r="E8" s="14">
        <f>IF(I8 = 0, 0, AD8 / I8)</f>
        <v>1812.1604308438</v>
      </c>
      <c r="F8" s="13">
        <f>H8 + G8</f>
        <v>55</v>
      </c>
      <c r="G8" s="13">
        <v>0.0</v>
      </c>
      <c r="H8" s="13">
        <v>55.0</v>
      </c>
      <c r="I8" s="13">
        <f>L8 + N8 + M8</f>
        <v>54</v>
      </c>
      <c r="J8" s="13">
        <f>O8 + P8</f>
        <v>1</v>
      </c>
      <c r="K8" s="13">
        <v>1.0</v>
      </c>
      <c r="L8" s="13">
        <v>52.0</v>
      </c>
      <c r="M8" s="13">
        <v>1.0</v>
      </c>
      <c r="N8" s="13">
        <v>1.0</v>
      </c>
      <c r="O8" s="13">
        <f>AE8 + AF8</f>
        <v>1</v>
      </c>
      <c r="P8" s="13">
        <f>AG8 + AH8</f>
        <v>0</v>
      </c>
      <c r="Q8" s="15">
        <f>IF(H8 = 0, "--", I8 / H8)</f>
        <v>0.98181818181818</v>
      </c>
      <c r="R8" s="15">
        <f>IF(H8 = 0, "--", AI8 / H8)</f>
        <v>1</v>
      </c>
      <c r="S8" s="15">
        <f>IF(H8 = 0, "--", AK8 / H8)</f>
        <v>0.98181818181818</v>
      </c>
      <c r="T8" s="15">
        <f>IF(H8 = 0, "--", AJ8 / H8)</f>
        <v>0.018181818181818</v>
      </c>
      <c r="V8" s="14">
        <f>IF(H8 = 0, 0, X8 / H8)</f>
        <v>2279.7272727273</v>
      </c>
      <c r="W8" s="13">
        <v>71555.0</v>
      </c>
      <c r="X8" s="13">
        <v>125385.0</v>
      </c>
      <c r="Y8" s="13">
        <v>118281.03</v>
      </c>
      <c r="Z8" s="13">
        <v>104225.0</v>
      </c>
      <c r="AA8" s="13">
        <v>110606.0</v>
      </c>
      <c r="AB8" s="13">
        <v>7675.03</v>
      </c>
      <c r="AC8" s="13">
        <v>98347.328791209</v>
      </c>
      <c r="AD8" s="13">
        <v>97856.663265568</v>
      </c>
      <c r="AE8" s="13">
        <v>1.0</v>
      </c>
      <c r="AF8" s="13">
        <v>0.0</v>
      </c>
      <c r="AG8" s="13">
        <v>0.0</v>
      </c>
      <c r="AH8" s="13">
        <v>0.0</v>
      </c>
      <c r="AI8" s="13">
        <f>L8 + M8 + O8 + N8</f>
        <v>55</v>
      </c>
      <c r="AJ8" s="13">
        <f>P8 + N8</f>
        <v>1</v>
      </c>
      <c r="AK8" s="13">
        <f>L8 + M8 + O8</f>
        <v>54</v>
      </c>
    </row>
    <row r="9" spans="1:37">
      <c r="A9" s="2" t="s">
        <v>123</v>
      </c>
      <c r="B9" s="13">
        <f>IF(H9 = 0, "--", W9 / H9)</f>
        <v>1504</v>
      </c>
      <c r="C9" s="14">
        <f>IF(H9 = 0, 0, Z9 / H9)</f>
        <v>2099</v>
      </c>
      <c r="D9" s="14">
        <f>IF(I9 = 0, 0, AA9 / I9)</f>
        <v>2467.5075757576</v>
      </c>
      <c r="E9" s="14">
        <f>IF(I9 = 0, 0, AD9 / I9)</f>
        <v>2284.3944848176</v>
      </c>
      <c r="F9" s="13">
        <f>H9 + G9</f>
        <v>169</v>
      </c>
      <c r="G9" s="13">
        <v>0.0</v>
      </c>
      <c r="H9" s="13">
        <v>169.0</v>
      </c>
      <c r="I9" s="13">
        <f>L9 + N9 + M9</f>
        <v>132</v>
      </c>
      <c r="J9" s="13">
        <f>O9 + P9</f>
        <v>37</v>
      </c>
      <c r="K9" s="13">
        <v>20.0</v>
      </c>
      <c r="L9" s="13">
        <v>130.0</v>
      </c>
      <c r="M9" s="13">
        <v>1.0</v>
      </c>
      <c r="N9" s="13">
        <v>1.0</v>
      </c>
      <c r="O9" s="13">
        <f>AE9 + AF9</f>
        <v>18</v>
      </c>
      <c r="P9" s="13">
        <f>AG9 + AH9</f>
        <v>19</v>
      </c>
      <c r="Q9" s="15">
        <f>IF(H9 = 0, "--", I9 / H9)</f>
        <v>0.7810650887574</v>
      </c>
      <c r="R9" s="15">
        <f>IF(H9 = 0, "--", AI9 / H9)</f>
        <v>0.88757396449704</v>
      </c>
      <c r="S9" s="15">
        <f>IF(H9 = 0, "--", AK9 / H9)</f>
        <v>0.88165680473373</v>
      </c>
      <c r="T9" s="15">
        <f>IF(H9 = 0, "--", AJ9 / H9)</f>
        <v>0.11834319526627</v>
      </c>
      <c r="V9" s="14">
        <f>IF(H9 = 0, 0, X9 / H9)</f>
        <v>2572.8875739645</v>
      </c>
      <c r="W9" s="13">
        <v>254176.0</v>
      </c>
      <c r="X9" s="13">
        <v>434818.0</v>
      </c>
      <c r="Y9" s="13">
        <v>189618.85</v>
      </c>
      <c r="Z9" s="13">
        <v>354731.0</v>
      </c>
      <c r="AA9" s="13">
        <v>325711.0</v>
      </c>
      <c r="AB9" s="13">
        <v>-136092.15</v>
      </c>
      <c r="AC9" s="13">
        <v>301770.55598901</v>
      </c>
      <c r="AD9" s="13">
        <v>301540.07199593</v>
      </c>
      <c r="AE9" s="13">
        <v>10.0</v>
      </c>
      <c r="AF9" s="13">
        <v>8.0</v>
      </c>
      <c r="AG9" s="13">
        <v>4.0</v>
      </c>
      <c r="AH9" s="13">
        <v>15.0</v>
      </c>
      <c r="AI9" s="13">
        <f>L9 + M9 + O9 + N9</f>
        <v>150</v>
      </c>
      <c r="AJ9" s="13">
        <f>P9 + N9</f>
        <v>20</v>
      </c>
      <c r="AK9" s="13">
        <f>L9 + M9 + O9</f>
        <v>149</v>
      </c>
    </row>
    <row r="10" spans="1:37">
      <c r="A10" s="9" t="s">
        <v>50</v>
      </c>
      <c r="B10" s="10">
        <f>IF(H10 = 0, "--", W10 / H10)</f>
        <v>1454.15625</v>
      </c>
      <c r="C10" s="11">
        <f>IF(H10 = 0, 0, Z10 / H10)</f>
        <v>2048.9107142857</v>
      </c>
      <c r="D10" s="11">
        <f>IF(I10 = 0, 0, AA10 / I10)</f>
        <v>2345.7903225806</v>
      </c>
      <c r="E10" s="11">
        <f>IF(I10 = 0, 0, AD10 / I10)</f>
        <v>2147.2942755994</v>
      </c>
      <c r="F10" s="10">
        <f>H10 + G10</f>
        <v>224</v>
      </c>
      <c r="G10" s="10">
        <f>SUM(G8:G9)</f>
        <v>0</v>
      </c>
      <c r="H10" s="10">
        <f>SUM(H8:H9)</f>
        <v>224</v>
      </c>
      <c r="I10" s="10">
        <f>L10 + N10 + M10</f>
        <v>186</v>
      </c>
      <c r="J10" s="10">
        <f>O10 + P10</f>
        <v>38</v>
      </c>
      <c r="K10" s="10">
        <f>SUM(K8:K9)</f>
        <v>21</v>
      </c>
      <c r="L10" s="10">
        <f>SUM(L8:L9)</f>
        <v>182</v>
      </c>
      <c r="M10" s="10">
        <f>SUM(M8:M9)</f>
        <v>2</v>
      </c>
      <c r="N10" s="10">
        <f>SUM(N8:N9)</f>
        <v>2</v>
      </c>
      <c r="O10" s="10">
        <f>AE10 + AF10</f>
        <v>19</v>
      </c>
      <c r="P10" s="10">
        <f>AG10 + AH10</f>
        <v>19</v>
      </c>
      <c r="Q10" s="12">
        <f>IF(H10 = 0, "--", I10 / H10)</f>
        <v>0.83035714285714</v>
      </c>
      <c r="R10" s="12">
        <f>IF(H10 = 0, "--", AI10 / H10)</f>
        <v>0.91517857142857</v>
      </c>
      <c r="S10" s="12">
        <f>IF(H10 = 0, "--", AK10 / H10)</f>
        <v>0.90625</v>
      </c>
      <c r="T10" s="12">
        <f>IF(H10 = 0, "--", AJ10 / H10)</f>
        <v>0.09375</v>
      </c>
      <c r="V10" s="11">
        <f>IF(H10 = 0, 0, X10 / H10)</f>
        <v>2500.90625</v>
      </c>
      <c r="W10" s="10">
        <f>SUM(W8:W9)</f>
        <v>325731</v>
      </c>
      <c r="X10" s="10">
        <f>SUM(X8:X9)</f>
        <v>560203</v>
      </c>
      <c r="Y10" s="10">
        <f>SUM(Y8:Y9)</f>
        <v>307899.88</v>
      </c>
      <c r="Z10" s="10">
        <f>SUM(Z8:Z9)</f>
        <v>458956</v>
      </c>
      <c r="AA10" s="10">
        <f>SUM(AA8:AA9)</f>
        <v>436317</v>
      </c>
      <c r="AB10" s="10">
        <f>SUM(AB8:AB9)</f>
        <v>-128417.12</v>
      </c>
      <c r="AC10" s="10">
        <f>SUM(AC8:AC9)</f>
        <v>400117.88478022</v>
      </c>
      <c r="AD10" s="10">
        <f>SUM(AD8:AD9)</f>
        <v>399396.73526149</v>
      </c>
      <c r="AE10" s="10">
        <f>SUM(AE8:AE9)</f>
        <v>11</v>
      </c>
      <c r="AF10" s="10">
        <f>SUM(AF8:AF9)</f>
        <v>8</v>
      </c>
      <c r="AG10" s="10">
        <f>SUM(AG8:AG9)</f>
        <v>4</v>
      </c>
      <c r="AH10" s="10">
        <f>SUM(AH8:AH9)</f>
        <v>15</v>
      </c>
      <c r="AI10" s="10">
        <f>L10 + M10 + O10 + N10</f>
        <v>205</v>
      </c>
      <c r="AJ10" s="10">
        <f>P10 + N10</f>
        <v>21</v>
      </c>
      <c r="AK10" s="10">
        <f>L10 + M10 + O10</f>
        <v>203</v>
      </c>
    </row>
    <row r="12" spans="1:37">
      <c r="A12" s="1" t="s">
        <v>51</v>
      </c>
    </row>
    <row r="13" spans="1:37">
      <c r="A13" s="3" t="s">
        <v>4</v>
      </c>
      <c r="B13" s="4" t="s">
        <v>10</v>
      </c>
      <c r="C13" s="4" t="s">
        <v>52</v>
      </c>
      <c r="D13" s="4" t="s">
        <v>53</v>
      </c>
      <c r="E13" s="4" t="s">
        <v>54</v>
      </c>
      <c r="F13" s="4" t="s">
        <v>55</v>
      </c>
      <c r="G13" s="4" t="s">
        <v>56</v>
      </c>
      <c r="H13" s="4" t="s">
        <v>57</v>
      </c>
      <c r="I13" s="4" t="s">
        <v>58</v>
      </c>
      <c r="J13" s="4" t="s">
        <v>60</v>
      </c>
      <c r="K13" s="4" t="s">
        <v>61</v>
      </c>
      <c r="L13" s="4" t="s">
        <v>62</v>
      </c>
      <c r="M13" s="4" t="s">
        <v>21</v>
      </c>
      <c r="V13" s="8" t="s">
        <v>59</v>
      </c>
    </row>
    <row r="14" spans="1:37">
      <c r="A14" s="2" t="s">
        <v>115</v>
      </c>
      <c r="B14" s="13">
        <v>55.0</v>
      </c>
      <c r="C14" s="13">
        <v>2.0</v>
      </c>
      <c r="D14" s="13">
        <v>0.0</v>
      </c>
      <c r="E14" s="13">
        <v>0.0</v>
      </c>
      <c r="F14" s="13">
        <v>0.0</v>
      </c>
      <c r="G14" s="13">
        <v>0.0</v>
      </c>
      <c r="H14" s="13">
        <v>-1.0</v>
      </c>
      <c r="I14" s="13">
        <v>0.0</v>
      </c>
      <c r="J14" s="13">
        <v>0.0</v>
      </c>
      <c r="K14" s="13">
        <v>0.0</v>
      </c>
      <c r="L14" s="13">
        <v>0.0</v>
      </c>
      <c r="M14" s="13">
        <v>0.0</v>
      </c>
      <c r="V14" s="13">
        <v>1.0</v>
      </c>
    </row>
    <row r="15" spans="1:37">
      <c r="A15" s="2" t="s">
        <v>123</v>
      </c>
      <c r="B15" s="13">
        <v>169.0</v>
      </c>
      <c r="C15" s="13">
        <v>5.0</v>
      </c>
      <c r="D15" s="13">
        <v>0.0</v>
      </c>
      <c r="E15" s="13">
        <v>0.0</v>
      </c>
      <c r="F15" s="13">
        <v>0.0</v>
      </c>
      <c r="G15" s="13">
        <v>0.0</v>
      </c>
      <c r="H15" s="13">
        <v>19.0</v>
      </c>
      <c r="I15" s="13">
        <v>20.0</v>
      </c>
      <c r="J15" s="13">
        <v>0.0</v>
      </c>
      <c r="K15" s="13">
        <v>0.0</v>
      </c>
      <c r="L15" s="13">
        <v>1.0</v>
      </c>
      <c r="M15" s="13">
        <v>10.0</v>
      </c>
      <c r="V15" s="13">
        <v>0.0</v>
      </c>
    </row>
    <row r="16" spans="1:37">
      <c r="A16" s="9" t="s">
        <v>50</v>
      </c>
      <c r="B16" s="10">
        <f>SUM(B14:B15)</f>
        <v>224</v>
      </c>
      <c r="C16" s="10">
        <f>SUM(C14:C15)</f>
        <v>7</v>
      </c>
      <c r="D16" s="10">
        <f>SUM(D14:D15)</f>
        <v>0</v>
      </c>
      <c r="E16" s="10">
        <f>SUM(E14:E15)</f>
        <v>0</v>
      </c>
      <c r="F16" s="10">
        <f>SUM(F14:F15)</f>
        <v>0</v>
      </c>
      <c r="G16" s="10">
        <f>SUM(G14:G15)</f>
        <v>0</v>
      </c>
      <c r="H16" s="10">
        <f>SUM(H14:H15)</f>
        <v>18</v>
      </c>
      <c r="I16" s="10">
        <f>SUM(I14:I15)</f>
        <v>20</v>
      </c>
      <c r="J16" s="10">
        <f>SUM(J14:J15)</f>
        <v>0</v>
      </c>
      <c r="K16" s="10">
        <f>SUM(K14:K15)</f>
        <v>0</v>
      </c>
      <c r="L16" s="10">
        <f>SUM(L14:L15)</f>
        <v>1</v>
      </c>
      <c r="M16" s="10">
        <f>SUM(M14:M15)</f>
        <v>10</v>
      </c>
    </row>
    <row r="18" spans="1:37">
      <c r="A18" s="1" t="s">
        <v>63</v>
      </c>
    </row>
    <row r="19" spans="1:37">
      <c r="C19" s="16" t="s">
        <v>64</v>
      </c>
      <c r="K19" s="16" t="s">
        <v>65</v>
      </c>
      <c r="O19" s="16" t="s">
        <v>66</v>
      </c>
    </row>
    <row r="20" spans="1:37">
      <c r="A20" s="3" t="s">
        <v>4</v>
      </c>
      <c r="B20" s="4" t="s">
        <v>67</v>
      </c>
      <c r="C20" s="4" t="s">
        <v>68</v>
      </c>
      <c r="D20" s="4" t="s">
        <v>69</v>
      </c>
      <c r="E20" s="4" t="s">
        <v>70</v>
      </c>
      <c r="F20" s="4" t="s">
        <v>71</v>
      </c>
      <c r="G20" s="4" t="s">
        <v>72</v>
      </c>
      <c r="H20" s="4" t="s">
        <v>73</v>
      </c>
      <c r="I20" s="4" t="s">
        <v>74</v>
      </c>
      <c r="J20" s="4" t="s">
        <v>75</v>
      </c>
      <c r="K20" s="4" t="s">
        <v>76</v>
      </c>
      <c r="L20" s="4" t="s">
        <v>77</v>
      </c>
      <c r="M20" s="4" t="s">
        <v>78</v>
      </c>
      <c r="N20" s="4" t="s">
        <v>79</v>
      </c>
      <c r="O20" s="4" t="s">
        <v>80</v>
      </c>
    </row>
    <row r="21" spans="1:37">
      <c r="A21" s="2" t="s">
        <v>115</v>
      </c>
      <c r="B21" s="13">
        <v>4.0</v>
      </c>
      <c r="C21" s="13">
        <v>0.0</v>
      </c>
      <c r="D21" s="13">
        <v>2.0</v>
      </c>
      <c r="E21" s="13">
        <v>1.0</v>
      </c>
      <c r="F21" s="13">
        <v>0.0</v>
      </c>
      <c r="G21" s="13">
        <v>0.0</v>
      </c>
      <c r="H21" s="13">
        <v>1.0</v>
      </c>
      <c r="I21" s="13">
        <v>0.0</v>
      </c>
      <c r="J21" s="13">
        <v>0.0</v>
      </c>
      <c r="K21" s="13">
        <v>45.0</v>
      </c>
      <c r="L21" s="13">
        <v>19.0</v>
      </c>
      <c r="M21" s="13">
        <v>0.0</v>
      </c>
      <c r="N21" s="13">
        <v>7.0</v>
      </c>
      <c r="O21" s="13">
        <v>1.0</v>
      </c>
    </row>
    <row r="22" spans="1:37">
      <c r="A22" s="2" t="s">
        <v>123</v>
      </c>
      <c r="B22" s="13">
        <v>31.0</v>
      </c>
      <c r="C22" s="13">
        <v>0.0</v>
      </c>
      <c r="D22" s="13">
        <v>3.0</v>
      </c>
      <c r="E22" s="13">
        <v>14.0</v>
      </c>
      <c r="F22" s="13">
        <v>8.0</v>
      </c>
      <c r="G22" s="13">
        <v>0.0</v>
      </c>
      <c r="H22" s="13">
        <v>0.0</v>
      </c>
      <c r="I22" s="13">
        <v>0.0</v>
      </c>
      <c r="J22" s="13">
        <v>6.0</v>
      </c>
      <c r="K22" s="13">
        <v>339.0</v>
      </c>
      <c r="L22" s="13">
        <v>177.0</v>
      </c>
      <c r="M22" s="13">
        <v>0.0</v>
      </c>
      <c r="N22" s="13">
        <v>173.0</v>
      </c>
      <c r="O22" s="13">
        <v>14.0</v>
      </c>
    </row>
    <row r="23" spans="1:37">
      <c r="A23" s="2" t="s">
        <v>81</v>
      </c>
      <c r="B23" s="13">
        <v>96.0</v>
      </c>
      <c r="C23" s="13">
        <v>1.0</v>
      </c>
      <c r="D23" s="13">
        <v>16.0</v>
      </c>
      <c r="E23" s="13">
        <v>19.0</v>
      </c>
      <c r="F23" s="13">
        <v>29.0</v>
      </c>
      <c r="G23" s="13">
        <v>0.0</v>
      </c>
      <c r="H23" s="13">
        <v>0.0</v>
      </c>
      <c r="I23" s="13">
        <v>1.0</v>
      </c>
      <c r="J23" s="13">
        <v>30.0</v>
      </c>
      <c r="K23" s="13">
        <v>699.0</v>
      </c>
      <c r="L23" s="13">
        <v>193.0</v>
      </c>
      <c r="M23" s="13">
        <v>0.0</v>
      </c>
      <c r="N23" s="13">
        <v>169.0</v>
      </c>
      <c r="O23" s="13">
        <v>43.0</v>
      </c>
    </row>
    <row r="24" spans="1:37">
      <c r="A24" s="9" t="s">
        <v>50</v>
      </c>
      <c r="B24" s="10">
        <f>SUM(B21:B23)</f>
        <v>131</v>
      </c>
      <c r="C24" s="10">
        <f>SUM(C21:C23)</f>
        <v>1</v>
      </c>
      <c r="D24" s="10">
        <f>SUM(D21:D23)</f>
        <v>21</v>
      </c>
      <c r="E24" s="10">
        <f>SUM(E21:E23)</f>
        <v>34</v>
      </c>
      <c r="F24" s="10">
        <f>SUM(F21:F23)</f>
        <v>37</v>
      </c>
      <c r="G24" s="10">
        <f>SUM(G21:G23)</f>
        <v>0</v>
      </c>
      <c r="H24" s="10">
        <f>SUM(H21:H23)</f>
        <v>1</v>
      </c>
      <c r="I24" s="10">
        <f>SUM(I21:I23)</f>
        <v>1</v>
      </c>
      <c r="J24" s="10">
        <f>SUM(J21:J23)</f>
        <v>36</v>
      </c>
      <c r="K24" s="10">
        <f>SUM(K21:K23)</f>
        <v>1083</v>
      </c>
      <c r="L24" s="10">
        <f>SUM(L21:L23)</f>
        <v>389</v>
      </c>
      <c r="M24" s="10">
        <f>SUM(M21:M23)</f>
        <v>0</v>
      </c>
      <c r="N24" s="10">
        <f>SUM(N21:N23)</f>
        <v>349</v>
      </c>
      <c r="O24" s="10">
        <f>SUM(O21:O23)</f>
        <v>58</v>
      </c>
    </row>
    <row r="26" spans="1:37">
      <c r="A26" s="1" t="s">
        <v>82</v>
      </c>
    </row>
    <row r="27" spans="1:37">
      <c r="B27" s="16" t="s">
        <v>83</v>
      </c>
      <c r="H27" s="16" t="s">
        <v>84</v>
      </c>
    </row>
    <row r="28" spans="1:37">
      <c r="A28" s="3" t="s">
        <v>4</v>
      </c>
      <c r="B28" s="4" t="s">
        <v>85</v>
      </c>
      <c r="C28" s="4" t="s">
        <v>86</v>
      </c>
      <c r="D28" s="4" t="s">
        <v>87</v>
      </c>
      <c r="E28" s="4" t="s">
        <v>88</v>
      </c>
      <c r="F28" s="4" t="s">
        <v>89</v>
      </c>
      <c r="G28" s="4" t="s">
        <v>90</v>
      </c>
      <c r="H28" s="4" t="s">
        <v>85</v>
      </c>
      <c r="I28" s="4" t="s">
        <v>87</v>
      </c>
      <c r="J28" s="4" t="s">
        <v>89</v>
      </c>
    </row>
    <row r="29" spans="1:37">
      <c r="A29" s="2" t="s">
        <v>115</v>
      </c>
      <c r="B29" s="13">
        <v>1.0</v>
      </c>
      <c r="C29" s="13">
        <v>0.0</v>
      </c>
      <c r="D29" s="13">
        <v>0.0</v>
      </c>
      <c r="E29" s="13">
        <v>0.0</v>
      </c>
      <c r="F29" s="13">
        <v>1.0</v>
      </c>
      <c r="G29" s="13">
        <v>0.0</v>
      </c>
      <c r="H29" s="13">
        <v>0.0</v>
      </c>
      <c r="I29" s="13">
        <v>0.0</v>
      </c>
      <c r="J29" s="13">
        <v>0.0</v>
      </c>
    </row>
    <row r="30" spans="1:37">
      <c r="A30" s="2" t="s">
        <v>123</v>
      </c>
      <c r="B30" s="13">
        <v>16.0</v>
      </c>
      <c r="C30" s="13">
        <v>1.0</v>
      </c>
      <c r="D30" s="13">
        <v>1.0</v>
      </c>
      <c r="E30" s="13">
        <v>3.0</v>
      </c>
      <c r="F30" s="13">
        <v>12.0</v>
      </c>
      <c r="G30" s="13">
        <v>1.0</v>
      </c>
      <c r="H30" s="13">
        <v>10.0</v>
      </c>
      <c r="I30" s="13">
        <v>2.0</v>
      </c>
      <c r="J30" s="13">
        <v>11.0</v>
      </c>
    </row>
    <row r="31" spans="1:37">
      <c r="A31" s="9" t="s">
        <v>50</v>
      </c>
      <c r="B31" s="10">
        <f>SUM(B29:B30)</f>
        <v>17</v>
      </c>
      <c r="C31" s="10">
        <f>SUM(C29:C30)</f>
        <v>1</v>
      </c>
      <c r="D31" s="10">
        <f>SUM(D29:D30)</f>
        <v>1</v>
      </c>
      <c r="E31" s="10">
        <f>SUM(E29:E30)</f>
        <v>3</v>
      </c>
      <c r="F31" s="10">
        <f>SUM(F29:F30)</f>
        <v>13</v>
      </c>
      <c r="G31" s="10">
        <f>SUM(G29:G30)</f>
        <v>1</v>
      </c>
      <c r="H31" s="10">
        <f>SUM(H29:H30)</f>
        <v>10</v>
      </c>
      <c r="I31" s="10">
        <f>SUM(I29:I30)</f>
        <v>2</v>
      </c>
      <c r="J31" s="10">
        <f>SUM(J29:J30)</f>
        <v>11</v>
      </c>
    </row>
    <row r="33" spans="1:37">
      <c r="A33" s="1" t="s">
        <v>91</v>
      </c>
    </row>
    <row r="34" spans="1:37">
      <c r="A34" s="3" t="s">
        <v>92</v>
      </c>
      <c r="B34" s="4" t="s">
        <v>19</v>
      </c>
      <c r="C34" s="4" t="s">
        <v>20</v>
      </c>
      <c r="D34" s="4" t="s">
        <v>93</v>
      </c>
      <c r="E34" s="7" t="s">
        <v>95</v>
      </c>
      <c r="V34" s="8" t="s">
        <v>94</v>
      </c>
    </row>
    <row r="35" spans="1:37">
      <c r="A35" s="2" t="s">
        <v>96</v>
      </c>
      <c r="B35" s="13">
        <v>11.0</v>
      </c>
      <c r="C35" s="13">
        <v>4.0</v>
      </c>
      <c r="D35" s="13">
        <f>B35 + C35</f>
        <v>15</v>
      </c>
      <c r="E35" s="15">
        <f>IF(0 = V35, 0, D35 / V35)</f>
        <v>0.39473684210526</v>
      </c>
      <c r="V35" s="13">
        <v>38.0</v>
      </c>
    </row>
    <row r="36" spans="1:37">
      <c r="A36" s="2" t="s">
        <v>97</v>
      </c>
      <c r="B36" s="13">
        <v>8.0</v>
      </c>
      <c r="C36" s="13">
        <v>15.0</v>
      </c>
      <c r="D36" s="13">
        <f>B36 + C36</f>
        <v>23</v>
      </c>
      <c r="E36" s="15">
        <f>IF(0 = V36, 0, D36 / V36)</f>
        <v>0.60526315789474</v>
      </c>
      <c r="V36" s="13">
        <v>38.0</v>
      </c>
    </row>
    <row r="37" spans="1:37">
      <c r="A37" s="9" t="s">
        <v>50</v>
      </c>
      <c r="B37" s="10">
        <f>SUM(B35:B36)</f>
        <v>19</v>
      </c>
      <c r="C37" s="10">
        <f>SUM(C35:C36)</f>
        <v>19</v>
      </c>
      <c r="D37" s="10">
        <f>SUM(D35:D36)</f>
        <v>38</v>
      </c>
    </row>
  </sheetData>
  <mergeCells>
    <mergeCell ref="A19:B19"/>
    <mergeCell ref="C19:J19"/>
    <mergeCell ref="K19:N19"/>
    <mergeCell ref="O19:O19"/>
    <mergeCell ref="A27:A27"/>
    <mergeCell ref="B27:G27"/>
    <mergeCell ref="H27:J27"/>
  </mergeCells>
  <printOptions gridLines="false" gridLinesSet="true" horizontalCentered="true"/>
  <pageMargins left="0.5" right="0.5" top="0.5" bottom="0.5" header="0.25" footer="0.25"/>
  <pageSetup paperSize="1" orientation="landscape" scale="100" fitToHeight="0" fitToWidth="1" pageOrder="downThenOver"/>
  <headerFooter differentOddEven="false" differentFirst="false" scaleWithDoc="true" alignWithMargins="true">
    <oddHeader>&amp;L 02 - RISE - Box Score</oddHeader>
    <oddFooter>&amp;L Page &amp;P of &amp;N &amp;R &amp;I Box Score 4.0 generated04/30/2026 at 11:35am EDT&amp;I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K66"/>
  <sheetViews>
    <sheetView tabSelected="0" workbookViewId="0" showGridLines="true" showRowColHeaders="1">
      <selection activeCell="E64" sqref="E64:E65"/>
    </sheetView>
  </sheetViews>
  <sheetFormatPr defaultRowHeight="14.4" outlineLevelRow="0" outlineLevelCol="0"/>
  <cols>
    <col min="1" max="1" width="22.142857142857" customWidth="true" style="0"/>
    <col min="2" max="2" width="22.142857142857" customWidth="true" style="0"/>
    <col min="3" max="3" width="22.142857142857" customWidth="true" style="0"/>
    <col min="4" max="4" width="22.142857142857" customWidth="true" style="0"/>
    <col min="5" max="5" width="22.142857142857" customWidth="true" style="0"/>
    <col min="6" max="6" width="20.714285714286" customWidth="true" style="0"/>
    <col min="7" max="7" width="20.714285714286" customWidth="true" style="0"/>
    <col min="8" max="8" width="21" customWidth="true" style="0"/>
    <col min="9" max="9" width="21.428571428571" customWidth="true" style="0"/>
    <col min="10" max="10" width="20.714285714286" customWidth="true" style="0"/>
    <col min="11" max="11" width="18.571428571429" customWidth="true" style="0"/>
    <col min="12" max="12" width="18.571428571429" customWidth="true" style="0"/>
    <col min="13" max="13" width="18.571428571429" customWidth="true" style="0"/>
    <col min="14" max="14" width="18.571428571429" customWidth="true" style="0"/>
    <col min="15" max="15" width="18.142857142857" customWidth="true" style="0"/>
    <col min="16" max="16" width="22.857142857143" customWidth="true" style="0"/>
    <col min="17" max="17" width="23.571428571429" customWidth="true" style="0"/>
    <col min="18" max="18" width="23.571428571429" customWidth="true" style="0"/>
    <col min="19" max="19" width="23.571428571429" customWidth="true" style="0"/>
    <col min="20" max="20" width="23.571428571429" customWidth="true" style="0"/>
    <col min="22" max="22" width="14.428571428571" hidden="true" customWidth="true" style="0"/>
    <col min="23" max="23" width="17.428571428571" hidden="true" customWidth="true" style="0"/>
    <col min="24" max="24" width="17.428571428571" hidden="true" customWidth="true" style="0"/>
    <col min="25" max="25" width="17.428571428571" hidden="true" customWidth="true" style="0"/>
    <col min="26" max="26" width="17.428571428571" hidden="true" customWidth="true" style="0"/>
    <col min="27" max="27" width="17.428571428571" hidden="true" customWidth="true" style="0"/>
    <col min="28" max="28" width="17.428571428571" hidden="true" customWidth="true" style="0"/>
    <col min="29" max="29" width="17.428571428571" hidden="true" customWidth="true" style="0"/>
    <col min="30" max="30" width="17.428571428571" hidden="true" customWidth="true" style="0"/>
    <col min="31" max="31" width="17.428571428571" hidden="true" customWidth="true" style="0"/>
    <col min="32" max="32" width="17.428571428571" hidden="true" customWidth="true" style="0"/>
    <col min="33" max="33" width="17.428571428571" hidden="true" customWidth="true" style="0"/>
    <col min="34" max="34" width="17.428571428571" hidden="true" customWidth="true" style="0"/>
    <col min="35" max="35" width="17.428571428571" hidden="true" customWidth="true" style="0"/>
    <col min="36" max="36" width="17.428571428571" hidden="true" customWidth="true" style="0"/>
    <col min="37" max="37" width="17.428571428571" hidden="true" customWidth="true" style="0"/>
  </cols>
  <sheetData>
    <row r="2" spans="1:37">
      <c r="A2" s="1" t="s">
        <v>0</v>
      </c>
    </row>
    <row r="3" spans="1:37">
      <c r="A3" s="2" t="s">
        <v>146</v>
      </c>
    </row>
    <row r="4" spans="1:37">
      <c r="A4" s="2" t="s">
        <v>2</v>
      </c>
    </row>
    <row r="6" spans="1:37">
      <c r="A6" s="1" t="s">
        <v>3</v>
      </c>
    </row>
    <row r="7" spans="1:37">
      <c r="A7" s="3" t="s">
        <v>4</v>
      </c>
      <c r="B7" s="4" t="s">
        <v>5</v>
      </c>
      <c r="C7" s="5" t="s">
        <v>6</v>
      </c>
      <c r="D7" s="5" t="s">
        <v>8</v>
      </c>
      <c r="E7" s="5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7" t="s">
        <v>13</v>
      </c>
      <c r="R7" s="7" t="s">
        <v>21</v>
      </c>
      <c r="S7" s="7" t="s">
        <v>22</v>
      </c>
      <c r="T7" s="7" t="s">
        <v>23</v>
      </c>
      <c r="V7" s="6" t="s">
        <v>7</v>
      </c>
      <c r="W7" s="8" t="s">
        <v>24</v>
      </c>
      <c r="X7" s="8" t="s">
        <v>25</v>
      </c>
      <c r="Y7" s="8" t="s">
        <v>26</v>
      </c>
      <c r="Z7" s="8" t="s">
        <v>27</v>
      </c>
      <c r="AA7" s="8" t="s">
        <v>28</v>
      </c>
      <c r="AB7" s="8" t="s">
        <v>29</v>
      </c>
      <c r="AC7" s="8" t="s">
        <v>30</v>
      </c>
      <c r="AD7" s="8" t="s">
        <v>31</v>
      </c>
      <c r="AE7" s="8" t="s">
        <v>32</v>
      </c>
      <c r="AF7" s="8" t="s">
        <v>33</v>
      </c>
      <c r="AG7" s="8" t="s">
        <v>34</v>
      </c>
      <c r="AH7" s="8" t="s">
        <v>35</v>
      </c>
      <c r="AI7" s="8" t="s">
        <v>36</v>
      </c>
      <c r="AJ7" s="8" t="s">
        <v>37</v>
      </c>
      <c r="AK7" s="8" t="s">
        <v>38</v>
      </c>
    </row>
    <row r="8" spans="1:37">
      <c r="A8" s="2" t="s">
        <v>110</v>
      </c>
      <c r="B8" s="13">
        <f>IF(H8 = 0, "--", W8 / H8)</f>
        <v>777</v>
      </c>
      <c r="C8" s="14">
        <f>IF(H8 = 0, 0, Z8 / H8)</f>
        <v>1717.7848101266</v>
      </c>
      <c r="D8" s="14">
        <f>IF(I8 = 0, 0, AA8 / I8)</f>
        <v>1676.8701298701</v>
      </c>
      <c r="E8" s="14">
        <f>IF(I8 = 0, 0, AD8 / I8)</f>
        <v>1495.7661640092</v>
      </c>
      <c r="F8" s="13">
        <f>H8 + G8</f>
        <v>79</v>
      </c>
      <c r="G8" s="13">
        <v>0.0</v>
      </c>
      <c r="H8" s="13">
        <v>79.0</v>
      </c>
      <c r="I8" s="13">
        <f>L8 + N8 + M8</f>
        <v>77</v>
      </c>
      <c r="J8" s="13">
        <f>O8 + P8</f>
        <v>2</v>
      </c>
      <c r="K8" s="13">
        <v>1.0</v>
      </c>
      <c r="L8" s="13">
        <v>71.0</v>
      </c>
      <c r="M8" s="13">
        <v>5.0</v>
      </c>
      <c r="N8" s="13">
        <v>1.0</v>
      </c>
      <c r="O8" s="13">
        <f>AE8 + AF8</f>
        <v>2</v>
      </c>
      <c r="P8" s="13">
        <f>AG8 + AH8</f>
        <v>0</v>
      </c>
      <c r="Q8" s="15">
        <f>IF(H8 = 0, "--", I8 / H8)</f>
        <v>0.9746835443038</v>
      </c>
      <c r="R8" s="15">
        <f>IF(H8 = 0, "--", AI8 / H8)</f>
        <v>1</v>
      </c>
      <c r="S8" s="15">
        <f>IF(H8 = 0, "--", AK8 / H8)</f>
        <v>0.9873417721519</v>
      </c>
      <c r="T8" s="15">
        <f>IF(H8 = 0, "--", AJ8 / H8)</f>
        <v>0.012658227848101</v>
      </c>
      <c r="V8" s="14">
        <f>IF(H8 = 0, 0, X8 / H8)</f>
        <v>1754.8101265823</v>
      </c>
      <c r="W8" s="13">
        <v>61383.0</v>
      </c>
      <c r="X8" s="13">
        <v>138630.0</v>
      </c>
      <c r="Y8" s="13">
        <v>112554.71</v>
      </c>
      <c r="Z8" s="13">
        <v>135705.0</v>
      </c>
      <c r="AA8" s="13">
        <v>129119.0</v>
      </c>
      <c r="AB8" s="13">
        <v>-16564.29</v>
      </c>
      <c r="AC8" s="13">
        <v>116975.56254579</v>
      </c>
      <c r="AD8" s="13">
        <v>115173.9946287</v>
      </c>
      <c r="AE8" s="13">
        <v>1.0</v>
      </c>
      <c r="AF8" s="13">
        <v>1.0</v>
      </c>
      <c r="AG8" s="13">
        <v>0.0</v>
      </c>
      <c r="AH8" s="13">
        <v>0.0</v>
      </c>
      <c r="AI8" s="13">
        <f>L8 + M8 + O8 + N8</f>
        <v>79</v>
      </c>
      <c r="AJ8" s="13">
        <f>P8 + N8</f>
        <v>1</v>
      </c>
      <c r="AK8" s="13">
        <f>L8 + M8 + O8</f>
        <v>78</v>
      </c>
    </row>
    <row r="9" spans="1:37">
      <c r="A9" s="2" t="s">
        <v>111</v>
      </c>
      <c r="B9" s="13">
        <f>IF(H9 = 0, "--", W9 / H9)</f>
        <v>781</v>
      </c>
      <c r="C9" s="14">
        <f>IF(H9 = 0, 0, Z9 / H9)</f>
        <v>1737.9487179487</v>
      </c>
      <c r="D9" s="14">
        <f>IF(I9 = 0, 0, AA9 / I9)</f>
        <v>1666.7631578947</v>
      </c>
      <c r="E9" s="14">
        <f>IF(I9 = 0, 0, AD9 / I9)</f>
        <v>1501.4345715491</v>
      </c>
      <c r="F9" s="13">
        <f>H9 + G9</f>
        <v>39</v>
      </c>
      <c r="G9" s="13">
        <v>0.0</v>
      </c>
      <c r="H9" s="13">
        <v>39.0</v>
      </c>
      <c r="I9" s="13">
        <f>L9 + N9 + M9</f>
        <v>38</v>
      </c>
      <c r="J9" s="13">
        <f>O9 + P9</f>
        <v>1</v>
      </c>
      <c r="K9" s="13">
        <v>1.0</v>
      </c>
      <c r="L9" s="13">
        <v>36.0</v>
      </c>
      <c r="M9" s="13">
        <v>1.0</v>
      </c>
      <c r="N9" s="13">
        <v>1.0</v>
      </c>
      <c r="O9" s="13">
        <f>AE9 + AF9</f>
        <v>1</v>
      </c>
      <c r="P9" s="13">
        <f>AG9 + AH9</f>
        <v>0</v>
      </c>
      <c r="Q9" s="15">
        <f>IF(H9 = 0, "--", I9 / H9)</f>
        <v>0.97435897435897</v>
      </c>
      <c r="R9" s="15">
        <f>IF(H9 = 0, "--", AI9 / H9)</f>
        <v>1</v>
      </c>
      <c r="S9" s="15">
        <f>IF(H9 = 0, "--", AK9 / H9)</f>
        <v>0.97435897435897</v>
      </c>
      <c r="T9" s="15">
        <f>IF(H9 = 0, "--", AJ9 / H9)</f>
        <v>0.025641025641026</v>
      </c>
      <c r="V9" s="14">
        <f>IF(H9 = 0, 0, X9 / H9)</f>
        <v>1804.8717948718</v>
      </c>
      <c r="W9" s="13">
        <v>30459.0</v>
      </c>
      <c r="X9" s="13">
        <v>70390.0</v>
      </c>
      <c r="Y9" s="13">
        <v>54542.82</v>
      </c>
      <c r="Z9" s="13">
        <v>67780.0</v>
      </c>
      <c r="AA9" s="13">
        <v>63337.0</v>
      </c>
      <c r="AB9" s="13">
        <v>-8794.18</v>
      </c>
      <c r="AC9" s="13">
        <v>57083.528992674</v>
      </c>
      <c r="AD9" s="13">
        <v>57054.513718864</v>
      </c>
      <c r="AE9" s="13">
        <v>1.0</v>
      </c>
      <c r="AF9" s="13">
        <v>0.0</v>
      </c>
      <c r="AG9" s="13">
        <v>0.0</v>
      </c>
      <c r="AH9" s="13">
        <v>0.0</v>
      </c>
      <c r="AI9" s="13">
        <f>L9 + M9 + O9 + N9</f>
        <v>39</v>
      </c>
      <c r="AJ9" s="13">
        <f>P9 + N9</f>
        <v>1</v>
      </c>
      <c r="AK9" s="13">
        <f>L9 + M9 + O9</f>
        <v>38</v>
      </c>
    </row>
    <row r="10" spans="1:37">
      <c r="A10" s="2" t="s">
        <v>115</v>
      </c>
      <c r="B10" s="13">
        <f>IF(H10 = 0, "--", W10 / H10)</f>
        <v>1046</v>
      </c>
      <c r="C10" s="14">
        <f>IF(H10 = 0, 0, Z10 / H10)</f>
        <v>1940.4285714286</v>
      </c>
      <c r="D10" s="14">
        <f>IF(I10 = 0, 0, AA10 / I10)</f>
        <v>1969.5476190476</v>
      </c>
      <c r="E10" s="14">
        <f>IF(I10 = 0, 0, AD10 / I10)</f>
        <v>1797.3186853689</v>
      </c>
      <c r="F10" s="13">
        <f>H10 + G10</f>
        <v>63</v>
      </c>
      <c r="G10" s="13">
        <v>0.0</v>
      </c>
      <c r="H10" s="13">
        <v>63.0</v>
      </c>
      <c r="I10" s="13">
        <f>L10 + N10 + M10</f>
        <v>42</v>
      </c>
      <c r="J10" s="13">
        <f>O10 + P10</f>
        <v>21</v>
      </c>
      <c r="K10" s="13">
        <v>23.0</v>
      </c>
      <c r="L10" s="13">
        <v>36.0</v>
      </c>
      <c r="M10" s="13">
        <v>1.0</v>
      </c>
      <c r="N10" s="13">
        <v>5.0</v>
      </c>
      <c r="O10" s="13">
        <f>AE10 + AF10</f>
        <v>3</v>
      </c>
      <c r="P10" s="13">
        <f>AG10 + AH10</f>
        <v>18</v>
      </c>
      <c r="Q10" s="15">
        <f>IF(H10 = 0, "--", I10 / H10)</f>
        <v>0.66666666666667</v>
      </c>
      <c r="R10" s="15">
        <f>IF(H10 = 0, "--", AI10 / H10)</f>
        <v>0.71428571428571</v>
      </c>
      <c r="S10" s="15">
        <f>IF(H10 = 0, "--", AK10 / H10)</f>
        <v>0.63492063492063</v>
      </c>
      <c r="T10" s="15">
        <f>IF(H10 = 0, "--", AJ10 / H10)</f>
        <v>0.36507936507937</v>
      </c>
      <c r="V10" s="14">
        <f>IF(H10 = 0, 0, X10 / H10)</f>
        <v>1973.380952381</v>
      </c>
      <c r="W10" s="13">
        <v>65898.0</v>
      </c>
      <c r="X10" s="13">
        <v>124323.0</v>
      </c>
      <c r="Y10" s="13">
        <v>89268.59</v>
      </c>
      <c r="Z10" s="13">
        <v>122247.0</v>
      </c>
      <c r="AA10" s="13">
        <v>82721.0</v>
      </c>
      <c r="AB10" s="13">
        <v>6547.59</v>
      </c>
      <c r="AC10" s="13">
        <v>75670.217448107</v>
      </c>
      <c r="AD10" s="13">
        <v>75487.384785492</v>
      </c>
      <c r="AE10" s="13">
        <v>3.0</v>
      </c>
      <c r="AF10" s="13">
        <v>0.0</v>
      </c>
      <c r="AG10" s="13">
        <v>16.0</v>
      </c>
      <c r="AH10" s="13">
        <v>2.0</v>
      </c>
      <c r="AI10" s="13">
        <f>L10 + M10 + O10 + N10</f>
        <v>45</v>
      </c>
      <c r="AJ10" s="13">
        <f>P10 + N10</f>
        <v>23</v>
      </c>
      <c r="AK10" s="13">
        <f>L10 + M10 + O10</f>
        <v>40</v>
      </c>
    </row>
    <row r="11" spans="1:37">
      <c r="A11" s="2" t="s">
        <v>116</v>
      </c>
      <c r="B11" s="13">
        <f>IF(H11 = 0, "--", W11 / H11)</f>
        <v>1095</v>
      </c>
      <c r="C11" s="14">
        <f>IF(H11 = 0, 0, Z11 / H11)</f>
        <v>1997.5</v>
      </c>
      <c r="D11" s="14">
        <f>IF(I11 = 0, 0, AA11 / I11)</f>
        <v>1967</v>
      </c>
      <c r="E11" s="14">
        <f>IF(I11 = 0, 0, AD11 / I11)</f>
        <v>1968.2085714286</v>
      </c>
      <c r="F11" s="13">
        <f>H11 + G11</f>
        <v>2</v>
      </c>
      <c r="G11" s="13">
        <v>0.0</v>
      </c>
      <c r="H11" s="13">
        <v>2.0</v>
      </c>
      <c r="I11" s="13">
        <f>L11 + N11 + M11</f>
        <v>1</v>
      </c>
      <c r="J11" s="13">
        <f>O11 + P11</f>
        <v>1</v>
      </c>
      <c r="K11" s="13">
        <v>1.0</v>
      </c>
      <c r="L11" s="13">
        <v>1.0</v>
      </c>
      <c r="M11" s="13">
        <v>0.0</v>
      </c>
      <c r="N11" s="13">
        <v>0.0</v>
      </c>
      <c r="O11" s="13">
        <f>AE11 + AF11</f>
        <v>0</v>
      </c>
      <c r="P11" s="13">
        <f>AG11 + AH11</f>
        <v>1</v>
      </c>
      <c r="Q11" s="15">
        <f>IF(H11 = 0, "--", I11 / H11)</f>
        <v>0.5</v>
      </c>
      <c r="R11" s="15">
        <f>IF(H11 = 0, "--", AI11 / H11)</f>
        <v>0.5</v>
      </c>
      <c r="S11" s="15">
        <f>IF(H11 = 0, "--", AK11 / H11)</f>
        <v>0.5</v>
      </c>
      <c r="T11" s="15">
        <f>IF(H11 = 0, "--", AJ11 / H11)</f>
        <v>0.5</v>
      </c>
      <c r="V11" s="14">
        <f>IF(H11 = 0, 0, X11 / H11)</f>
        <v>1957</v>
      </c>
      <c r="W11" s="13">
        <v>2190.0</v>
      </c>
      <c r="X11" s="13">
        <v>3914.0</v>
      </c>
      <c r="Y11" s="13">
        <v>2080.0</v>
      </c>
      <c r="Z11" s="13">
        <v>3995.0</v>
      </c>
      <c r="AA11" s="13">
        <v>1967.0</v>
      </c>
      <c r="AB11" s="13">
        <v>113.0</v>
      </c>
      <c r="AC11" s="13">
        <v>1967.0</v>
      </c>
      <c r="AD11" s="13">
        <v>1968.2085714286</v>
      </c>
      <c r="AE11" s="13">
        <v>0.0</v>
      </c>
      <c r="AF11" s="13">
        <v>0.0</v>
      </c>
      <c r="AG11" s="13">
        <v>1.0</v>
      </c>
      <c r="AH11" s="13">
        <v>0.0</v>
      </c>
      <c r="AI11" s="13">
        <f>L11 + M11 + O11 + N11</f>
        <v>1</v>
      </c>
      <c r="AJ11" s="13">
        <f>P11 + N11</f>
        <v>1</v>
      </c>
      <c r="AK11" s="13">
        <f>L11 + M11 + O11</f>
        <v>1</v>
      </c>
    </row>
    <row r="12" spans="1:37">
      <c r="A12" s="2" t="s">
        <v>117</v>
      </c>
      <c r="B12" s="13">
        <f>IF(H12 = 0, "--", W12 / H12)</f>
        <v>1184</v>
      </c>
      <c r="C12" s="14">
        <f>IF(H12 = 0, 0, Z12 / H12)</f>
        <v>2228.4871794872</v>
      </c>
      <c r="D12" s="14">
        <f>IF(I12 = 0, 0, AA12 / I12)</f>
        <v>2128.875</v>
      </c>
      <c r="E12" s="14">
        <f>IF(I12 = 0, 0, AD12 / I12)</f>
        <v>1925.8918006962</v>
      </c>
      <c r="F12" s="13">
        <f>H12 + G12</f>
        <v>78</v>
      </c>
      <c r="G12" s="13">
        <v>0.0</v>
      </c>
      <c r="H12" s="13">
        <v>78.0</v>
      </c>
      <c r="I12" s="13">
        <f>L12 + N12 + M12</f>
        <v>72</v>
      </c>
      <c r="J12" s="13">
        <f>O12 + P12</f>
        <v>6</v>
      </c>
      <c r="K12" s="13">
        <v>10.0</v>
      </c>
      <c r="L12" s="13">
        <v>64.0</v>
      </c>
      <c r="M12" s="13">
        <v>2.0</v>
      </c>
      <c r="N12" s="13">
        <v>6.0</v>
      </c>
      <c r="O12" s="13">
        <f>AE12 + AF12</f>
        <v>2</v>
      </c>
      <c r="P12" s="13">
        <f>AG12 + AH12</f>
        <v>4</v>
      </c>
      <c r="Q12" s="15">
        <f>IF(H12 = 0, "--", I12 / H12)</f>
        <v>0.92307692307692</v>
      </c>
      <c r="R12" s="15">
        <f>IF(H12 = 0, "--", AI12 / H12)</f>
        <v>0.94871794871795</v>
      </c>
      <c r="S12" s="15">
        <f>IF(H12 = 0, "--", AK12 / H12)</f>
        <v>0.87179487179487</v>
      </c>
      <c r="T12" s="15">
        <f>IF(H12 = 0, "--", AJ12 / H12)</f>
        <v>0.12820512820513</v>
      </c>
      <c r="V12" s="14">
        <f>IF(H12 = 0, 0, X12 / H12)</f>
        <v>2202.4358974359</v>
      </c>
      <c r="W12" s="13">
        <v>92352.0</v>
      </c>
      <c r="X12" s="13">
        <v>171790.0</v>
      </c>
      <c r="Y12" s="13">
        <v>124672.54</v>
      </c>
      <c r="Z12" s="13">
        <v>173822.0</v>
      </c>
      <c r="AA12" s="13">
        <v>153279.0</v>
      </c>
      <c r="AB12" s="13">
        <v>-28606.46</v>
      </c>
      <c r="AC12" s="13">
        <v>138792.99172466</v>
      </c>
      <c r="AD12" s="13">
        <v>138664.20965013</v>
      </c>
      <c r="AE12" s="13">
        <v>2.0</v>
      </c>
      <c r="AF12" s="13">
        <v>0.0</v>
      </c>
      <c r="AG12" s="13">
        <v>4.0</v>
      </c>
      <c r="AH12" s="13">
        <v>0.0</v>
      </c>
      <c r="AI12" s="13">
        <f>L12 + M12 + O12 + N12</f>
        <v>74</v>
      </c>
      <c r="AJ12" s="13">
        <f>P12 + N12</f>
        <v>10</v>
      </c>
      <c r="AK12" s="13">
        <f>L12 + M12 + O12</f>
        <v>68</v>
      </c>
    </row>
    <row r="13" spans="1:37">
      <c r="A13" s="2" t="s">
        <v>123</v>
      </c>
      <c r="B13" s="13">
        <f>IF(H13 = 0, "--", W13 / H13)</f>
        <v>1445</v>
      </c>
      <c r="C13" s="14">
        <f>IF(H13 = 0, 0, Z13 / H13)</f>
        <v>2465.25</v>
      </c>
      <c r="D13" s="14">
        <f>IF(I13 = 0, 0, AA13 / I13)</f>
        <v>2402.1</v>
      </c>
      <c r="E13" s="14">
        <f>IF(I13 = 0, 0, AD13 / I13)</f>
        <v>2122.9771988872</v>
      </c>
      <c r="F13" s="13">
        <f>H13 + G13</f>
        <v>20</v>
      </c>
      <c r="G13" s="13">
        <v>0.0</v>
      </c>
      <c r="H13" s="13">
        <v>20.0</v>
      </c>
      <c r="I13" s="13">
        <f>L13 + N13 + M13</f>
        <v>20</v>
      </c>
      <c r="J13" s="13">
        <f>O13 + P13</f>
        <v>0</v>
      </c>
      <c r="K13" s="13">
        <v>1.0</v>
      </c>
      <c r="L13" s="13">
        <v>19.0</v>
      </c>
      <c r="M13" s="13">
        <v>0.0</v>
      </c>
      <c r="N13" s="13">
        <v>1.0</v>
      </c>
      <c r="O13" s="13">
        <f>AE13 + AF13</f>
        <v>0</v>
      </c>
      <c r="P13" s="13">
        <f>AG13 + AH13</f>
        <v>0</v>
      </c>
      <c r="Q13" s="15">
        <f>IF(H13 = 0, "--", I13 / H13)</f>
        <v>1</v>
      </c>
      <c r="R13" s="15">
        <f>IF(H13 = 0, "--", AI13 / H13)</f>
        <v>1</v>
      </c>
      <c r="S13" s="15">
        <f>IF(H13 = 0, "--", AK13 / H13)</f>
        <v>0.95</v>
      </c>
      <c r="T13" s="15">
        <f>IF(H13 = 0, "--", AJ13 / H13)</f>
        <v>0.05</v>
      </c>
      <c r="V13" s="14">
        <f>IF(H13 = 0, 0, X13 / H13)</f>
        <v>2814.1</v>
      </c>
      <c r="W13" s="13">
        <v>28900.0</v>
      </c>
      <c r="X13" s="13">
        <v>56282.0</v>
      </c>
      <c r="Y13" s="13">
        <v>52520.29</v>
      </c>
      <c r="Z13" s="13">
        <v>49305.0</v>
      </c>
      <c r="AA13" s="13">
        <v>48042.0</v>
      </c>
      <c r="AB13" s="13">
        <v>4478.29</v>
      </c>
      <c r="AC13" s="13">
        <v>42405.987953476</v>
      </c>
      <c r="AD13" s="13">
        <v>42459.543977744</v>
      </c>
      <c r="AE13" s="13">
        <v>0.0</v>
      </c>
      <c r="AF13" s="13">
        <v>0.0</v>
      </c>
      <c r="AG13" s="13">
        <v>0.0</v>
      </c>
      <c r="AH13" s="13">
        <v>0.0</v>
      </c>
      <c r="AI13" s="13">
        <f>L13 + M13 + O13 + N13</f>
        <v>20</v>
      </c>
      <c r="AJ13" s="13">
        <f>P13 + N13</f>
        <v>1</v>
      </c>
      <c r="AK13" s="13">
        <f>L13 + M13 + O13</f>
        <v>19</v>
      </c>
    </row>
    <row r="14" spans="1:37">
      <c r="A14" s="2" t="s">
        <v>124</v>
      </c>
      <c r="B14" s="13">
        <f>IF(H14 = 0, "--", W14 / H14)</f>
        <v>608</v>
      </c>
      <c r="C14" s="14">
        <f>IF(H14 = 0, 0, Z14 / H14)</f>
        <v>1610.2777777778</v>
      </c>
      <c r="D14" s="14">
        <f>IF(I14 = 0, 0, AA14 / I14)</f>
        <v>1526.1818181818</v>
      </c>
      <c r="E14" s="14">
        <f>IF(I14 = 0, 0, AD14 / I14)</f>
        <v>1326.4169842884</v>
      </c>
      <c r="F14" s="13">
        <f>H14 + G14</f>
        <v>18</v>
      </c>
      <c r="G14" s="13">
        <v>0.0</v>
      </c>
      <c r="H14" s="13">
        <v>18.0</v>
      </c>
      <c r="I14" s="13">
        <f>L14 + N14 + M14</f>
        <v>11</v>
      </c>
      <c r="J14" s="13">
        <f>O14 + P14</f>
        <v>7</v>
      </c>
      <c r="K14" s="13">
        <v>6.0</v>
      </c>
      <c r="L14" s="13">
        <v>10.0</v>
      </c>
      <c r="M14" s="13">
        <v>0.0</v>
      </c>
      <c r="N14" s="13">
        <v>1.0</v>
      </c>
      <c r="O14" s="13">
        <f>AE14 + AF14</f>
        <v>2</v>
      </c>
      <c r="P14" s="13">
        <f>AG14 + AH14</f>
        <v>5</v>
      </c>
      <c r="Q14" s="15">
        <f>IF(H14 = 0, "--", I14 / H14)</f>
        <v>0.61111111111111</v>
      </c>
      <c r="R14" s="15">
        <f>IF(H14 = 0, "--", AI14 / H14)</f>
        <v>0.72222222222222</v>
      </c>
      <c r="S14" s="15">
        <f>IF(H14 = 0, "--", AK14 / H14)</f>
        <v>0.66666666666667</v>
      </c>
      <c r="T14" s="15">
        <f>IF(H14 = 0, "--", AJ14 / H14)</f>
        <v>0.33333333333333</v>
      </c>
      <c r="V14" s="14">
        <f>IF(H14 = 0, 0, X14 / H14)</f>
        <v>1551.4444444444</v>
      </c>
      <c r="W14" s="13">
        <v>10944.0</v>
      </c>
      <c r="X14" s="13">
        <v>27926.0</v>
      </c>
      <c r="Y14" s="13">
        <v>18444.97</v>
      </c>
      <c r="Z14" s="13">
        <v>28985.0</v>
      </c>
      <c r="AA14" s="13">
        <v>16788.0</v>
      </c>
      <c r="AB14" s="13">
        <v>1656.97</v>
      </c>
      <c r="AC14" s="13">
        <v>14607.644805195</v>
      </c>
      <c r="AD14" s="13">
        <v>14590.586827173</v>
      </c>
      <c r="AE14" s="13">
        <v>2.0</v>
      </c>
      <c r="AF14" s="13">
        <v>0.0</v>
      </c>
      <c r="AG14" s="13">
        <v>5.0</v>
      </c>
      <c r="AH14" s="13">
        <v>0.0</v>
      </c>
      <c r="AI14" s="13">
        <f>L14 + M14 + O14 + N14</f>
        <v>13</v>
      </c>
      <c r="AJ14" s="13">
        <f>P14 + N14</f>
        <v>6</v>
      </c>
      <c r="AK14" s="13">
        <f>L14 + M14 + O14</f>
        <v>12</v>
      </c>
    </row>
    <row r="15" spans="1:37">
      <c r="A15" s="2" t="s">
        <v>147</v>
      </c>
      <c r="B15" s="13">
        <f>IF(H15 = 0, "--", W15 / H15)</f>
        <v>834</v>
      </c>
      <c r="C15" s="14">
        <f>IF(H15 = 0, 0, Z15 / H15)</f>
        <v>1796</v>
      </c>
      <c r="D15" s="14">
        <f>IF(I15 = 0, 0, AA15 / I15)</f>
        <v>1760</v>
      </c>
      <c r="E15" s="14">
        <f>IF(I15 = 0, 0, AD15 / I15)</f>
        <v>1579.6182962963</v>
      </c>
      <c r="F15" s="13">
        <f>H15 + G15</f>
        <v>3</v>
      </c>
      <c r="G15" s="13">
        <v>0.0</v>
      </c>
      <c r="H15" s="13">
        <v>3.0</v>
      </c>
      <c r="I15" s="13">
        <f>L15 + N15 + M15</f>
        <v>3</v>
      </c>
      <c r="J15" s="13">
        <f>O15 + P15</f>
        <v>0</v>
      </c>
      <c r="K15" s="13">
        <v>0.0</v>
      </c>
      <c r="L15" s="13">
        <v>3.0</v>
      </c>
      <c r="M15" s="13">
        <v>0.0</v>
      </c>
      <c r="N15" s="13">
        <v>0.0</v>
      </c>
      <c r="O15" s="13">
        <f>AE15 + AF15</f>
        <v>0</v>
      </c>
      <c r="P15" s="13">
        <f>AG15 + AH15</f>
        <v>0</v>
      </c>
      <c r="Q15" s="15">
        <f>IF(H15 = 0, "--", I15 / H15)</f>
        <v>1</v>
      </c>
      <c r="R15" s="15">
        <f>IF(H15 = 0, "--", AI15 / H15)</f>
        <v>1</v>
      </c>
      <c r="S15" s="15">
        <f>IF(H15 = 0, "--", AK15 / H15)</f>
        <v>1</v>
      </c>
      <c r="T15" s="15">
        <f>IF(H15 = 0, "--", AJ15 / H15)</f>
        <v>0</v>
      </c>
      <c r="V15" s="14">
        <f>IF(H15 = 0, 0, X15 / H15)</f>
        <v>1805</v>
      </c>
      <c r="W15" s="13">
        <v>2502.0</v>
      </c>
      <c r="X15" s="13">
        <v>5415.0</v>
      </c>
      <c r="Y15" s="13">
        <v>5719.0</v>
      </c>
      <c r="Z15" s="13">
        <v>5388.0</v>
      </c>
      <c r="AA15" s="13">
        <v>5280.0</v>
      </c>
      <c r="AB15" s="13">
        <v>439.0</v>
      </c>
      <c r="AC15" s="13">
        <v>4741.6222222222</v>
      </c>
      <c r="AD15" s="13">
        <v>4738.8548888889</v>
      </c>
      <c r="AE15" s="13">
        <v>0.0</v>
      </c>
      <c r="AF15" s="13">
        <v>0.0</v>
      </c>
      <c r="AG15" s="13">
        <v>0.0</v>
      </c>
      <c r="AH15" s="13">
        <v>0.0</v>
      </c>
      <c r="AI15" s="13">
        <f>L15 + M15 + O15 + N15</f>
        <v>3</v>
      </c>
      <c r="AJ15" s="13">
        <f>P15 + N15</f>
        <v>0</v>
      </c>
      <c r="AK15" s="13">
        <f>L15 + M15 + O15</f>
        <v>3</v>
      </c>
    </row>
    <row r="16" spans="1:37">
      <c r="A16" s="2" t="s">
        <v>148</v>
      </c>
      <c r="B16" s="13">
        <f>IF(H16 = 0, "--", W16 / H16)</f>
        <v>1181</v>
      </c>
      <c r="C16" s="14">
        <f>IF(H16 = 0, 0, Z16 / H16)</f>
        <v>2148</v>
      </c>
      <c r="D16" s="14">
        <f>IF(I16 = 0, 0, AA16 / I16)</f>
        <v>2108</v>
      </c>
      <c r="E16" s="14">
        <f>IF(I16 = 0, 0, AD16 / I16)</f>
        <v>1660.1780769231</v>
      </c>
      <c r="F16" s="13">
        <f>H16 + G16</f>
        <v>4</v>
      </c>
      <c r="G16" s="13">
        <v>0.0</v>
      </c>
      <c r="H16" s="13">
        <v>4.0</v>
      </c>
      <c r="I16" s="13">
        <f>L16 + N16 + M16</f>
        <v>2</v>
      </c>
      <c r="J16" s="13">
        <f>O16 + P16</f>
        <v>2</v>
      </c>
      <c r="K16" s="13">
        <v>2.0</v>
      </c>
      <c r="L16" s="13">
        <v>2.0</v>
      </c>
      <c r="M16" s="13">
        <v>0.0</v>
      </c>
      <c r="N16" s="13">
        <v>0.0</v>
      </c>
      <c r="O16" s="13">
        <f>AE16 + AF16</f>
        <v>0</v>
      </c>
      <c r="P16" s="13">
        <f>AG16 + AH16</f>
        <v>2</v>
      </c>
      <c r="Q16" s="15">
        <f>IF(H16 = 0, "--", I16 / H16)</f>
        <v>0.5</v>
      </c>
      <c r="R16" s="15">
        <f>IF(H16 = 0, "--", AI16 / H16)</f>
        <v>0.5</v>
      </c>
      <c r="S16" s="15">
        <f>IF(H16 = 0, "--", AK16 / H16)</f>
        <v>0.5</v>
      </c>
      <c r="T16" s="15">
        <f>IF(H16 = 0, "--", AJ16 / H16)</f>
        <v>0.5</v>
      </c>
      <c r="V16" s="14">
        <f>IF(H16 = 0, 0, X16 / H16)</f>
        <v>2234.25</v>
      </c>
      <c r="W16" s="13">
        <v>4724.0</v>
      </c>
      <c r="X16" s="13">
        <v>8937.0</v>
      </c>
      <c r="Y16" s="13">
        <v>4597.0</v>
      </c>
      <c r="Z16" s="13">
        <v>8592.0</v>
      </c>
      <c r="AA16" s="13">
        <v>4216.0</v>
      </c>
      <c r="AB16" s="13">
        <v>381.0</v>
      </c>
      <c r="AC16" s="13">
        <v>3325.4615384615</v>
      </c>
      <c r="AD16" s="13">
        <v>3320.3561538462</v>
      </c>
      <c r="AE16" s="13">
        <v>0.0</v>
      </c>
      <c r="AF16" s="13">
        <v>0.0</v>
      </c>
      <c r="AG16" s="13">
        <v>1.0</v>
      </c>
      <c r="AH16" s="13">
        <v>1.0</v>
      </c>
      <c r="AI16" s="13">
        <f>L16 + M16 + O16 + N16</f>
        <v>2</v>
      </c>
      <c r="AJ16" s="13">
        <f>P16 + N16</f>
        <v>2</v>
      </c>
      <c r="AK16" s="13">
        <f>L16 + M16 + O16</f>
        <v>2</v>
      </c>
    </row>
    <row r="17" spans="1:37">
      <c r="A17" s="2" t="s">
        <v>149</v>
      </c>
      <c r="B17" s="13">
        <f>IF(H17 = 0, "--", W17 / H17)</f>
        <v>1508</v>
      </c>
      <c r="C17" s="14">
        <f>IF(H17 = 0, 0, Z17 / H17)</f>
        <v>2767.5</v>
      </c>
      <c r="D17" s="14">
        <f>IF(I17 = 0, 0, AA17 / I17)</f>
        <v>2405.7777777778</v>
      </c>
      <c r="E17" s="14">
        <f>IF(I17 = 0, 0, AD17 / I17)</f>
        <v>2191.7727751323</v>
      </c>
      <c r="F17" s="13">
        <f>H17 + G17</f>
        <v>10</v>
      </c>
      <c r="G17" s="13">
        <v>0.0</v>
      </c>
      <c r="H17" s="13">
        <v>10.0</v>
      </c>
      <c r="I17" s="13">
        <f>L17 + N17 + M17</f>
        <v>9</v>
      </c>
      <c r="J17" s="13">
        <f>O17 + P17</f>
        <v>1</v>
      </c>
      <c r="K17" s="13">
        <v>1.0</v>
      </c>
      <c r="L17" s="13">
        <v>9.0</v>
      </c>
      <c r="M17" s="13">
        <v>0.0</v>
      </c>
      <c r="N17" s="13">
        <v>0.0</v>
      </c>
      <c r="O17" s="13">
        <f>AE17 + AF17</f>
        <v>0</v>
      </c>
      <c r="P17" s="13">
        <f>AG17 + AH17</f>
        <v>1</v>
      </c>
      <c r="Q17" s="15">
        <f>IF(H17 = 0, "--", I17 / H17)</f>
        <v>0.9</v>
      </c>
      <c r="R17" s="15">
        <f>IF(H17 = 0, "--", AI17 / H17)</f>
        <v>0.9</v>
      </c>
      <c r="S17" s="15">
        <f>IF(H17 = 0, "--", AK17 / H17)</f>
        <v>0.9</v>
      </c>
      <c r="T17" s="15">
        <f>IF(H17 = 0, "--", AJ17 / H17)</f>
        <v>0.1</v>
      </c>
      <c r="V17" s="14">
        <f>IF(H17 = 0, 0, X17 / H17)</f>
        <v>2643.6</v>
      </c>
      <c r="W17" s="13">
        <v>15080.0</v>
      </c>
      <c r="X17" s="13">
        <v>26436.0</v>
      </c>
      <c r="Y17" s="13">
        <v>23032.18</v>
      </c>
      <c r="Z17" s="13">
        <v>27675.0</v>
      </c>
      <c r="AA17" s="13">
        <v>21652.0</v>
      </c>
      <c r="AB17" s="13">
        <v>1380.18</v>
      </c>
      <c r="AC17" s="13">
        <v>19811.870238095</v>
      </c>
      <c r="AD17" s="13">
        <v>19725.95497619</v>
      </c>
      <c r="AE17" s="13">
        <v>0.0</v>
      </c>
      <c r="AF17" s="13">
        <v>0.0</v>
      </c>
      <c r="AG17" s="13">
        <v>1.0</v>
      </c>
      <c r="AH17" s="13">
        <v>0.0</v>
      </c>
      <c r="AI17" s="13">
        <f>L17 + M17 + O17 + N17</f>
        <v>9</v>
      </c>
      <c r="AJ17" s="13">
        <f>P17 + N17</f>
        <v>1</v>
      </c>
      <c r="AK17" s="13">
        <f>L17 + M17 + O17</f>
        <v>9</v>
      </c>
    </row>
    <row r="18" spans="1:37">
      <c r="A18" s="2" t="s">
        <v>150</v>
      </c>
      <c r="B18" s="13">
        <f>IF(H18 = 0, "--", W18 / H18)</f>
        <v>1854</v>
      </c>
      <c r="C18" s="14">
        <f>IF(H18 = 0, 0, Z18 / H18)</f>
        <v>3559.25</v>
      </c>
      <c r="D18" s="14">
        <f>IF(I18 = 0, 0, AA18 / I18)</f>
        <v>3178.3333333333</v>
      </c>
      <c r="E18" s="14">
        <f>IF(I18 = 0, 0, AD18 / I18)</f>
        <v>2666.7405972222</v>
      </c>
      <c r="F18" s="13">
        <f>H18 + G18</f>
        <v>4</v>
      </c>
      <c r="G18" s="13">
        <v>0.0</v>
      </c>
      <c r="H18" s="13">
        <v>4.0</v>
      </c>
      <c r="I18" s="13">
        <f>L18 + N18 + M18</f>
        <v>3</v>
      </c>
      <c r="J18" s="13">
        <f>O18 + P18</f>
        <v>1</v>
      </c>
      <c r="K18" s="13">
        <v>1.0</v>
      </c>
      <c r="L18" s="13">
        <v>3.0</v>
      </c>
      <c r="M18" s="13">
        <v>0.0</v>
      </c>
      <c r="N18" s="13">
        <v>0.0</v>
      </c>
      <c r="O18" s="13">
        <f>AE18 + AF18</f>
        <v>0</v>
      </c>
      <c r="P18" s="13">
        <f>AG18 + AH18</f>
        <v>1</v>
      </c>
      <c r="Q18" s="15">
        <f>IF(H18 = 0, "--", I18 / H18)</f>
        <v>0.75</v>
      </c>
      <c r="R18" s="15">
        <f>IF(H18 = 0, "--", AI18 / H18)</f>
        <v>0.75</v>
      </c>
      <c r="S18" s="15">
        <f>IF(H18 = 0, "--", AK18 / H18)</f>
        <v>0.75</v>
      </c>
      <c r="T18" s="15">
        <f>IF(H18 = 0, "--", AJ18 / H18)</f>
        <v>0.25</v>
      </c>
      <c r="V18" s="14">
        <f>IF(H18 = 0, 0, X18 / H18)</f>
        <v>3936</v>
      </c>
      <c r="W18" s="13">
        <v>7416.0</v>
      </c>
      <c r="X18" s="13">
        <v>15744.0</v>
      </c>
      <c r="Y18" s="13">
        <v>9874.0</v>
      </c>
      <c r="Z18" s="13">
        <v>14237.0</v>
      </c>
      <c r="AA18" s="13">
        <v>9535.0</v>
      </c>
      <c r="AB18" s="13">
        <v>339.0</v>
      </c>
      <c r="AC18" s="13">
        <v>7968.41625</v>
      </c>
      <c r="AD18" s="13">
        <v>8000.2217916667</v>
      </c>
      <c r="AE18" s="13">
        <v>0.0</v>
      </c>
      <c r="AF18" s="13">
        <v>0.0</v>
      </c>
      <c r="AG18" s="13">
        <v>1.0</v>
      </c>
      <c r="AH18" s="13">
        <v>0.0</v>
      </c>
      <c r="AI18" s="13">
        <f>L18 + M18 + O18 + N18</f>
        <v>3</v>
      </c>
      <c r="AJ18" s="13">
        <f>P18 + N18</f>
        <v>1</v>
      </c>
      <c r="AK18" s="13">
        <f>L18 + M18 + O18</f>
        <v>3</v>
      </c>
    </row>
    <row r="19" spans="1:37">
      <c r="A19" s="9" t="s">
        <v>50</v>
      </c>
      <c r="B19" s="10">
        <f>IF(H19 = 0, "--", W19 / H19)</f>
        <v>1005.775</v>
      </c>
      <c r="C19" s="11">
        <f>IF(H19 = 0, 0, Z19 / H19)</f>
        <v>1992.909375</v>
      </c>
      <c r="D19" s="11">
        <f>IF(I19 = 0, 0, AA19 / I19)</f>
        <v>1927.8273381295</v>
      </c>
      <c r="E19" s="11">
        <f>IF(I19 = 0, 0, AD19 / I19)</f>
        <v>1730.8770862235</v>
      </c>
      <c r="F19" s="10">
        <f>H19 + G19</f>
        <v>320</v>
      </c>
      <c r="G19" s="10">
        <f>SUM(G8:G18)</f>
        <v>0</v>
      </c>
      <c r="H19" s="10">
        <f>SUM(H8:H18)</f>
        <v>320</v>
      </c>
      <c r="I19" s="10">
        <f>L19 + N19 + M19</f>
        <v>278</v>
      </c>
      <c r="J19" s="10">
        <f>O19 + P19</f>
        <v>42</v>
      </c>
      <c r="K19" s="10">
        <f>SUM(K8:K18)</f>
        <v>47</v>
      </c>
      <c r="L19" s="10">
        <f>SUM(L8:L18)</f>
        <v>254</v>
      </c>
      <c r="M19" s="10">
        <f>SUM(M8:M18)</f>
        <v>9</v>
      </c>
      <c r="N19" s="10">
        <f>SUM(N8:N18)</f>
        <v>15</v>
      </c>
      <c r="O19" s="10">
        <f>AE19 + AF19</f>
        <v>10</v>
      </c>
      <c r="P19" s="10">
        <f>AG19 + AH19</f>
        <v>32</v>
      </c>
      <c r="Q19" s="12">
        <f>IF(H19 = 0, "--", I19 / H19)</f>
        <v>0.86875</v>
      </c>
      <c r="R19" s="12">
        <f>IF(H19 = 0, "--", AI19 / H19)</f>
        <v>0.9</v>
      </c>
      <c r="S19" s="12">
        <f>IF(H19 = 0, "--", AK19 / H19)</f>
        <v>0.853125</v>
      </c>
      <c r="T19" s="12">
        <f>IF(H19 = 0, "--", AJ19 / H19)</f>
        <v>0.146875</v>
      </c>
      <c r="V19" s="11">
        <f>IF(H19 = 0, 0, X19 / H19)</f>
        <v>2030.584375</v>
      </c>
      <c r="W19" s="10">
        <f>SUM(W8:W18)</f>
        <v>321848</v>
      </c>
      <c r="X19" s="10">
        <f>SUM(X8:X18)</f>
        <v>649787</v>
      </c>
      <c r="Y19" s="10">
        <f>SUM(Y8:Y18)</f>
        <v>497306.1</v>
      </c>
      <c r="Z19" s="10">
        <f>SUM(Z8:Z18)</f>
        <v>637731</v>
      </c>
      <c r="AA19" s="10">
        <f>SUM(AA8:AA18)</f>
        <v>535936</v>
      </c>
      <c r="AB19" s="10">
        <f>SUM(AB8:AB18)</f>
        <v>-38629.9</v>
      </c>
      <c r="AC19" s="10">
        <f>SUM(AC8:AC18)</f>
        <v>483350.30371868</v>
      </c>
      <c r="AD19" s="10">
        <f>SUM(AD8:AD18)</f>
        <v>481183.82997013</v>
      </c>
      <c r="AE19" s="10">
        <f>SUM(AE8:AE18)</f>
        <v>9</v>
      </c>
      <c r="AF19" s="10">
        <f>SUM(AF8:AF18)</f>
        <v>1</v>
      </c>
      <c r="AG19" s="10">
        <f>SUM(AG8:AG18)</f>
        <v>29</v>
      </c>
      <c r="AH19" s="10">
        <f>SUM(AH8:AH18)</f>
        <v>3</v>
      </c>
      <c r="AI19" s="10">
        <f>L19 + M19 + O19 + N19</f>
        <v>288</v>
      </c>
      <c r="AJ19" s="10">
        <f>P19 + N19</f>
        <v>47</v>
      </c>
      <c r="AK19" s="10">
        <f>L19 + M19 + O19</f>
        <v>273</v>
      </c>
    </row>
    <row r="21" spans="1:37">
      <c r="A21" s="1" t="s">
        <v>51</v>
      </c>
    </row>
    <row r="22" spans="1:37">
      <c r="A22" s="3" t="s">
        <v>4</v>
      </c>
      <c r="B22" s="4" t="s">
        <v>10</v>
      </c>
      <c r="C22" s="4" t="s">
        <v>52</v>
      </c>
      <c r="D22" s="4" t="s">
        <v>53</v>
      </c>
      <c r="E22" s="4" t="s">
        <v>54</v>
      </c>
      <c r="F22" s="4" t="s">
        <v>55</v>
      </c>
      <c r="G22" s="4" t="s">
        <v>56</v>
      </c>
      <c r="H22" s="4" t="s">
        <v>57</v>
      </c>
      <c r="I22" s="4" t="s">
        <v>58</v>
      </c>
      <c r="J22" s="4" t="s">
        <v>60</v>
      </c>
      <c r="K22" s="4" t="s">
        <v>61</v>
      </c>
      <c r="L22" s="4" t="s">
        <v>62</v>
      </c>
      <c r="M22" s="4" t="s">
        <v>21</v>
      </c>
      <c r="V22" s="8" t="s">
        <v>59</v>
      </c>
    </row>
    <row r="23" spans="1:37">
      <c r="A23" s="2" t="s">
        <v>110</v>
      </c>
      <c r="B23" s="13">
        <v>79.0</v>
      </c>
      <c r="C23" s="13">
        <v>6.0</v>
      </c>
      <c r="D23" s="13">
        <v>0.0</v>
      </c>
      <c r="E23" s="13">
        <v>0.0</v>
      </c>
      <c r="F23" s="13">
        <v>6.0</v>
      </c>
      <c r="G23" s="13">
        <v>0.0</v>
      </c>
      <c r="H23" s="13">
        <v>2.0</v>
      </c>
      <c r="I23" s="13">
        <v>1.0</v>
      </c>
      <c r="J23" s="13">
        <v>0.0</v>
      </c>
      <c r="K23" s="13">
        <v>0.0</v>
      </c>
      <c r="L23" s="13">
        <v>0.0</v>
      </c>
      <c r="M23" s="13">
        <v>7.0</v>
      </c>
      <c r="V23" s="13">
        <v>1.0</v>
      </c>
    </row>
    <row r="24" spans="1:37">
      <c r="A24" s="2" t="s">
        <v>111</v>
      </c>
      <c r="B24" s="13">
        <v>39.0</v>
      </c>
      <c r="C24" s="13">
        <v>4.0</v>
      </c>
      <c r="D24" s="13">
        <v>0.0</v>
      </c>
      <c r="E24" s="13">
        <v>0.0</v>
      </c>
      <c r="F24" s="13">
        <v>0.0</v>
      </c>
      <c r="G24" s="13">
        <v>0.0</v>
      </c>
      <c r="H24" s="13">
        <v>1.0</v>
      </c>
      <c r="I24" s="13">
        <v>0.0</v>
      </c>
      <c r="J24" s="13">
        <v>0.0</v>
      </c>
      <c r="K24" s="13">
        <v>0.0</v>
      </c>
      <c r="L24" s="13">
        <v>0.0</v>
      </c>
      <c r="M24" s="13">
        <v>4.0</v>
      </c>
      <c r="V24" s="13">
        <v>0.0</v>
      </c>
    </row>
    <row r="25" spans="1:37">
      <c r="A25" s="2" t="s">
        <v>115</v>
      </c>
      <c r="B25" s="13">
        <v>63.0</v>
      </c>
      <c r="C25" s="13">
        <v>2.0</v>
      </c>
      <c r="D25" s="13">
        <v>0.0</v>
      </c>
      <c r="E25" s="13">
        <v>0.0</v>
      </c>
      <c r="F25" s="13">
        <v>5.0</v>
      </c>
      <c r="G25" s="13">
        <v>0.0</v>
      </c>
      <c r="H25" s="13">
        <v>2.0</v>
      </c>
      <c r="I25" s="13">
        <v>5.0</v>
      </c>
      <c r="J25" s="13">
        <v>0.0</v>
      </c>
      <c r="K25" s="13">
        <v>0.0</v>
      </c>
      <c r="L25" s="13">
        <v>0.0</v>
      </c>
      <c r="M25" s="13">
        <v>4.0</v>
      </c>
      <c r="V25" s="13">
        <v>1.0</v>
      </c>
    </row>
    <row r="26" spans="1:37">
      <c r="A26" s="2" t="s">
        <v>116</v>
      </c>
      <c r="B26" s="13">
        <v>2.0</v>
      </c>
      <c r="C26" s="13">
        <v>0.0</v>
      </c>
      <c r="D26" s="13">
        <v>0.0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3">
        <v>0.0</v>
      </c>
      <c r="V26" s="13">
        <v>0.0</v>
      </c>
    </row>
    <row r="27" spans="1:37">
      <c r="A27" s="2" t="s">
        <v>117</v>
      </c>
      <c r="B27" s="13">
        <v>78.0</v>
      </c>
      <c r="C27" s="13">
        <v>5.0</v>
      </c>
      <c r="D27" s="13">
        <v>0.0</v>
      </c>
      <c r="E27" s="13">
        <v>0.0</v>
      </c>
      <c r="F27" s="13">
        <v>3.0</v>
      </c>
      <c r="G27" s="13">
        <v>0.0</v>
      </c>
      <c r="H27" s="13">
        <v>4.0</v>
      </c>
      <c r="I27" s="13">
        <v>1.0</v>
      </c>
      <c r="J27" s="13">
        <v>0.0</v>
      </c>
      <c r="K27" s="13">
        <v>0.0</v>
      </c>
      <c r="L27" s="13">
        <v>0.0</v>
      </c>
      <c r="M27" s="13">
        <v>5.0</v>
      </c>
      <c r="V27" s="13">
        <v>1.0</v>
      </c>
    </row>
    <row r="28" spans="1:37">
      <c r="A28" s="2" t="s">
        <v>123</v>
      </c>
      <c r="B28" s="13">
        <v>20.0</v>
      </c>
      <c r="C28" s="13">
        <v>1.0</v>
      </c>
      <c r="D28" s="13">
        <v>0.0</v>
      </c>
      <c r="E28" s="13">
        <v>0.0</v>
      </c>
      <c r="F28" s="13">
        <v>1.0</v>
      </c>
      <c r="G28" s="13">
        <v>0.0</v>
      </c>
      <c r="H28" s="13">
        <v>1.0</v>
      </c>
      <c r="I28" s="13">
        <v>0.0</v>
      </c>
      <c r="J28" s="13">
        <v>0.0</v>
      </c>
      <c r="K28" s="13">
        <v>0.0</v>
      </c>
      <c r="L28" s="13">
        <v>0.0</v>
      </c>
      <c r="M28" s="13">
        <v>1.0</v>
      </c>
      <c r="V28" s="13">
        <v>0.0</v>
      </c>
    </row>
    <row r="29" spans="1:37">
      <c r="A29" s="2" t="s">
        <v>124</v>
      </c>
      <c r="B29" s="13">
        <v>18.0</v>
      </c>
      <c r="C29" s="13">
        <v>1.0</v>
      </c>
      <c r="D29" s="13">
        <v>0.0</v>
      </c>
      <c r="E29" s="13">
        <v>0.0</v>
      </c>
      <c r="F29" s="13">
        <v>0.0</v>
      </c>
      <c r="G29" s="13">
        <v>0.0</v>
      </c>
      <c r="H29" s="13">
        <v>1.0</v>
      </c>
      <c r="I29" s="13">
        <v>1.0</v>
      </c>
      <c r="J29" s="13">
        <v>0.0</v>
      </c>
      <c r="K29" s="13">
        <v>0.0</v>
      </c>
      <c r="L29" s="13">
        <v>0.0</v>
      </c>
      <c r="M29" s="13">
        <v>1.0</v>
      </c>
      <c r="V29" s="13">
        <v>0.0</v>
      </c>
    </row>
    <row r="30" spans="1:37">
      <c r="A30" s="2" t="s">
        <v>147</v>
      </c>
      <c r="B30" s="13">
        <v>3.0</v>
      </c>
      <c r="C30" s="13">
        <v>0.0</v>
      </c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3">
        <v>0.0</v>
      </c>
      <c r="V30" s="13">
        <v>0.0</v>
      </c>
    </row>
    <row r="31" spans="1:37">
      <c r="A31" s="2" t="s">
        <v>148</v>
      </c>
      <c r="B31" s="13">
        <v>4.0</v>
      </c>
      <c r="C31" s="13">
        <v>0.0</v>
      </c>
      <c r="D31" s="13">
        <v>0.0</v>
      </c>
      <c r="E31" s="13">
        <v>0.0</v>
      </c>
      <c r="F31" s="13">
        <v>1.0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3">
        <v>0.0</v>
      </c>
      <c r="V31" s="13">
        <v>0.0</v>
      </c>
    </row>
    <row r="32" spans="1:37">
      <c r="A32" s="2" t="s">
        <v>149</v>
      </c>
      <c r="B32" s="13">
        <v>10.0</v>
      </c>
      <c r="C32" s="13">
        <v>2.0</v>
      </c>
      <c r="D32" s="13">
        <v>0.0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3">
        <v>2.0</v>
      </c>
      <c r="V32" s="13">
        <v>0.0</v>
      </c>
    </row>
    <row r="33" spans="1:37">
      <c r="A33" s="2" t="s">
        <v>150</v>
      </c>
      <c r="B33" s="13">
        <v>4.0</v>
      </c>
      <c r="C33" s="13">
        <v>0.0</v>
      </c>
      <c r="D33" s="13">
        <v>0.0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3">
        <v>0.0</v>
      </c>
      <c r="V33" s="13">
        <v>0.0</v>
      </c>
    </row>
    <row r="34" spans="1:37">
      <c r="A34" s="9" t="s">
        <v>50</v>
      </c>
      <c r="B34" s="10">
        <f>SUM(B23:B33)</f>
        <v>320</v>
      </c>
      <c r="C34" s="10">
        <f>SUM(C23:C33)</f>
        <v>21</v>
      </c>
      <c r="D34" s="10">
        <f>SUM(D23:D33)</f>
        <v>0</v>
      </c>
      <c r="E34" s="10">
        <f>SUM(E23:E33)</f>
        <v>0</v>
      </c>
      <c r="F34" s="10">
        <f>SUM(F23:F33)</f>
        <v>16</v>
      </c>
      <c r="G34" s="10">
        <f>SUM(G23:G33)</f>
        <v>0</v>
      </c>
      <c r="H34" s="10">
        <f>SUM(H23:H33)</f>
        <v>11</v>
      </c>
      <c r="I34" s="10">
        <f>SUM(I23:I33)</f>
        <v>8</v>
      </c>
      <c r="J34" s="10">
        <f>SUM(J23:J33)</f>
        <v>0</v>
      </c>
      <c r="K34" s="10">
        <f>SUM(K23:K33)</f>
        <v>0</v>
      </c>
      <c r="L34" s="10">
        <f>SUM(L23:L33)</f>
        <v>0</v>
      </c>
      <c r="M34" s="10">
        <f>SUM(M23:M33)</f>
        <v>24</v>
      </c>
    </row>
    <row r="36" spans="1:37">
      <c r="A36" s="1" t="s">
        <v>63</v>
      </c>
    </row>
    <row r="37" spans="1:37">
      <c r="C37" s="16" t="s">
        <v>64</v>
      </c>
      <c r="K37" s="16" t="s">
        <v>65</v>
      </c>
      <c r="O37" s="16" t="s">
        <v>66</v>
      </c>
    </row>
    <row r="38" spans="1:37">
      <c r="A38" s="3" t="s">
        <v>4</v>
      </c>
      <c r="B38" s="4" t="s">
        <v>67</v>
      </c>
      <c r="C38" s="4" t="s">
        <v>68</v>
      </c>
      <c r="D38" s="4" t="s">
        <v>69</v>
      </c>
      <c r="E38" s="4" t="s">
        <v>70</v>
      </c>
      <c r="F38" s="4" t="s">
        <v>71</v>
      </c>
      <c r="G38" s="4" t="s">
        <v>72</v>
      </c>
      <c r="H38" s="4" t="s">
        <v>73</v>
      </c>
      <c r="I38" s="4" t="s">
        <v>74</v>
      </c>
      <c r="J38" s="4" t="s">
        <v>75</v>
      </c>
      <c r="K38" s="4" t="s">
        <v>76</v>
      </c>
      <c r="L38" s="4" t="s">
        <v>77</v>
      </c>
      <c r="M38" s="4" t="s">
        <v>78</v>
      </c>
      <c r="N38" s="4" t="s">
        <v>79</v>
      </c>
      <c r="O38" s="4" t="s">
        <v>80</v>
      </c>
    </row>
    <row r="39" spans="1:37">
      <c r="A39" s="2" t="s">
        <v>110</v>
      </c>
      <c r="B39" s="13">
        <v>17.0</v>
      </c>
      <c r="C39" s="13">
        <v>0.0</v>
      </c>
      <c r="D39" s="13">
        <v>3.0</v>
      </c>
      <c r="E39" s="13">
        <v>7.0</v>
      </c>
      <c r="F39" s="13">
        <v>3.0</v>
      </c>
      <c r="G39" s="13">
        <v>0.0</v>
      </c>
      <c r="H39" s="13">
        <v>0.0</v>
      </c>
      <c r="I39" s="13">
        <v>0.0</v>
      </c>
      <c r="J39" s="13">
        <v>4.0</v>
      </c>
      <c r="K39" s="13">
        <v>56.0</v>
      </c>
      <c r="L39" s="13">
        <v>95.0</v>
      </c>
      <c r="M39" s="13">
        <v>0.0</v>
      </c>
      <c r="N39" s="13">
        <v>53.0</v>
      </c>
      <c r="O39" s="13">
        <v>10.0</v>
      </c>
    </row>
    <row r="40" spans="1:37">
      <c r="A40" s="2" t="s">
        <v>111</v>
      </c>
      <c r="B40" s="13">
        <v>8.0</v>
      </c>
      <c r="C40" s="13">
        <v>0.0</v>
      </c>
      <c r="D40" s="13">
        <v>3.0</v>
      </c>
      <c r="E40" s="13">
        <v>2.0</v>
      </c>
      <c r="F40" s="13">
        <v>2.0</v>
      </c>
      <c r="G40" s="13">
        <v>0.0</v>
      </c>
      <c r="H40" s="13">
        <v>0.0</v>
      </c>
      <c r="I40" s="13">
        <v>1.0</v>
      </c>
      <c r="J40" s="13">
        <v>0.0</v>
      </c>
      <c r="K40" s="13">
        <v>26.0</v>
      </c>
      <c r="L40" s="13">
        <v>19.0</v>
      </c>
      <c r="M40" s="13">
        <v>0.0</v>
      </c>
      <c r="N40" s="13">
        <v>39.0</v>
      </c>
      <c r="O40" s="13">
        <v>6.0</v>
      </c>
    </row>
    <row r="41" spans="1:37">
      <c r="A41" s="2" t="s">
        <v>115</v>
      </c>
      <c r="B41" s="13">
        <v>14.0</v>
      </c>
      <c r="C41" s="13">
        <v>0.0</v>
      </c>
      <c r="D41" s="13">
        <v>4.0</v>
      </c>
      <c r="E41" s="13">
        <v>6.0</v>
      </c>
      <c r="F41" s="13">
        <v>3.0</v>
      </c>
      <c r="G41" s="13">
        <v>0.0</v>
      </c>
      <c r="H41" s="13">
        <v>0.0</v>
      </c>
      <c r="I41" s="13">
        <v>0.0</v>
      </c>
      <c r="J41" s="13">
        <v>1.0</v>
      </c>
      <c r="K41" s="13">
        <v>56.0</v>
      </c>
      <c r="L41" s="13">
        <v>68.0</v>
      </c>
      <c r="M41" s="13">
        <v>0.0</v>
      </c>
      <c r="N41" s="13">
        <v>45.0</v>
      </c>
      <c r="O41" s="13">
        <v>5.0</v>
      </c>
    </row>
    <row r="42" spans="1:37">
      <c r="A42" s="2" t="s">
        <v>117</v>
      </c>
      <c r="B42" s="13">
        <v>10.0</v>
      </c>
      <c r="C42" s="13">
        <v>0.0</v>
      </c>
      <c r="D42" s="13">
        <v>0.0</v>
      </c>
      <c r="E42" s="13">
        <v>5.0</v>
      </c>
      <c r="F42" s="13">
        <v>4.0</v>
      </c>
      <c r="G42" s="13">
        <v>0.0</v>
      </c>
      <c r="H42" s="13">
        <v>0.0</v>
      </c>
      <c r="I42" s="13">
        <v>0.0</v>
      </c>
      <c r="J42" s="13">
        <v>1.0</v>
      </c>
      <c r="K42" s="13">
        <v>37.0</v>
      </c>
      <c r="L42" s="13">
        <v>47.0</v>
      </c>
      <c r="M42" s="13">
        <v>0.0</v>
      </c>
      <c r="N42" s="13">
        <v>13.0</v>
      </c>
      <c r="O42" s="13">
        <v>6.0</v>
      </c>
    </row>
    <row r="43" spans="1:37">
      <c r="A43" s="2" t="s">
        <v>123</v>
      </c>
      <c r="B43" s="13">
        <v>0.0</v>
      </c>
      <c r="C43" s="13">
        <v>0.0</v>
      </c>
      <c r="D43" s="13">
        <v>0.0</v>
      </c>
      <c r="E43" s="13">
        <v>0.0</v>
      </c>
      <c r="F43" s="13">
        <v>0.0</v>
      </c>
      <c r="G43" s="13">
        <v>0.0</v>
      </c>
      <c r="H43" s="13">
        <v>0.0</v>
      </c>
      <c r="I43" s="13">
        <v>0.0</v>
      </c>
      <c r="J43" s="13">
        <v>0.0</v>
      </c>
      <c r="K43" s="13">
        <v>2.0</v>
      </c>
      <c r="L43" s="13">
        <v>0.0</v>
      </c>
      <c r="M43" s="13">
        <v>0.0</v>
      </c>
      <c r="N43" s="13">
        <v>2.0</v>
      </c>
      <c r="O43" s="13">
        <v>0.0</v>
      </c>
    </row>
    <row r="44" spans="1:37">
      <c r="A44" s="2" t="s">
        <v>124</v>
      </c>
      <c r="B44" s="13">
        <v>10.0</v>
      </c>
      <c r="C44" s="13">
        <v>0.0</v>
      </c>
      <c r="D44" s="13">
        <v>3.0</v>
      </c>
      <c r="E44" s="13">
        <v>7.0</v>
      </c>
      <c r="F44" s="13">
        <v>0.0</v>
      </c>
      <c r="G44" s="13">
        <v>0.0</v>
      </c>
      <c r="H44" s="13">
        <v>0.0</v>
      </c>
      <c r="I44" s="13">
        <v>0.0</v>
      </c>
      <c r="J44" s="13">
        <v>0.0</v>
      </c>
      <c r="K44" s="13">
        <v>26.0</v>
      </c>
      <c r="L44" s="13">
        <v>50.0</v>
      </c>
      <c r="M44" s="13">
        <v>0.0</v>
      </c>
      <c r="N44" s="13">
        <v>41.0</v>
      </c>
      <c r="O44" s="13">
        <v>4.0</v>
      </c>
    </row>
    <row r="45" spans="1:37">
      <c r="A45" s="2" t="s">
        <v>149</v>
      </c>
      <c r="B45" s="13">
        <v>5.0</v>
      </c>
      <c r="C45" s="13">
        <v>0.0</v>
      </c>
      <c r="D45" s="13">
        <v>3.0</v>
      </c>
      <c r="E45" s="13">
        <v>2.0</v>
      </c>
      <c r="F45" s="13">
        <v>0.0</v>
      </c>
      <c r="G45" s="13">
        <v>0.0</v>
      </c>
      <c r="H45" s="13">
        <v>0.0</v>
      </c>
      <c r="I45" s="13">
        <v>0.0</v>
      </c>
      <c r="J45" s="13">
        <v>0.0</v>
      </c>
      <c r="K45" s="13">
        <v>15.0</v>
      </c>
      <c r="L45" s="13">
        <v>29.0</v>
      </c>
      <c r="M45" s="13">
        <v>0.0</v>
      </c>
      <c r="N45" s="13">
        <v>9.0</v>
      </c>
      <c r="O45" s="13">
        <v>2.0</v>
      </c>
    </row>
    <row r="46" spans="1:37">
      <c r="A46" s="2" t="s">
        <v>150</v>
      </c>
      <c r="B46" s="13">
        <v>1.0</v>
      </c>
      <c r="C46" s="13">
        <v>0.0</v>
      </c>
      <c r="D46" s="13">
        <v>1.0</v>
      </c>
      <c r="E46" s="13">
        <v>0.0</v>
      </c>
      <c r="F46" s="13">
        <v>0.0</v>
      </c>
      <c r="G46" s="13">
        <v>0.0</v>
      </c>
      <c r="H46" s="13">
        <v>0.0</v>
      </c>
      <c r="I46" s="13">
        <v>0.0</v>
      </c>
      <c r="J46" s="13">
        <v>0.0</v>
      </c>
      <c r="K46" s="13">
        <v>1.0</v>
      </c>
      <c r="L46" s="13">
        <v>2.0</v>
      </c>
      <c r="M46" s="13">
        <v>0.0</v>
      </c>
      <c r="N46" s="13">
        <v>0.0</v>
      </c>
      <c r="O46" s="13">
        <v>0.0</v>
      </c>
    </row>
    <row r="47" spans="1:37">
      <c r="A47" s="2" t="s">
        <v>81</v>
      </c>
      <c r="B47" s="13">
        <v>152.0</v>
      </c>
      <c r="C47" s="13">
        <v>0.0</v>
      </c>
      <c r="D47" s="13">
        <v>43.0</v>
      </c>
      <c r="E47" s="13">
        <v>36.0</v>
      </c>
      <c r="F47" s="13">
        <v>21.0</v>
      </c>
      <c r="G47" s="13">
        <v>0.0</v>
      </c>
      <c r="H47" s="13">
        <v>0.0</v>
      </c>
      <c r="I47" s="13">
        <v>0.0</v>
      </c>
      <c r="J47" s="13">
        <v>52.0</v>
      </c>
      <c r="K47" s="13">
        <v>681.0</v>
      </c>
      <c r="L47" s="13">
        <v>193.0</v>
      </c>
      <c r="M47" s="13">
        <v>0.0</v>
      </c>
      <c r="N47" s="13">
        <v>235.0</v>
      </c>
      <c r="O47" s="13">
        <v>38.0</v>
      </c>
    </row>
    <row r="48" spans="1:37">
      <c r="A48" s="9" t="s">
        <v>50</v>
      </c>
      <c r="B48" s="10">
        <f>SUM(B39:B47)</f>
        <v>217</v>
      </c>
      <c r="C48" s="10">
        <f>SUM(C39:C47)</f>
        <v>0</v>
      </c>
      <c r="D48" s="10">
        <f>SUM(D39:D47)</f>
        <v>60</v>
      </c>
      <c r="E48" s="10">
        <f>SUM(E39:E47)</f>
        <v>65</v>
      </c>
      <c r="F48" s="10">
        <f>SUM(F39:F47)</f>
        <v>33</v>
      </c>
      <c r="G48" s="10">
        <f>SUM(G39:G47)</f>
        <v>0</v>
      </c>
      <c r="H48" s="10">
        <f>SUM(H39:H47)</f>
        <v>0</v>
      </c>
      <c r="I48" s="10">
        <f>SUM(I39:I47)</f>
        <v>1</v>
      </c>
      <c r="J48" s="10">
        <f>SUM(J39:J47)</f>
        <v>58</v>
      </c>
      <c r="K48" s="10">
        <f>SUM(K39:K47)</f>
        <v>900</v>
      </c>
      <c r="L48" s="10">
        <f>SUM(L39:L47)</f>
        <v>503</v>
      </c>
      <c r="M48" s="10">
        <f>SUM(M39:M47)</f>
        <v>0</v>
      </c>
      <c r="N48" s="10">
        <f>SUM(N39:N47)</f>
        <v>437</v>
      </c>
      <c r="O48" s="10">
        <f>SUM(O39:O47)</f>
        <v>71</v>
      </c>
    </row>
    <row r="50" spans="1:37">
      <c r="A50" s="1" t="s">
        <v>82</v>
      </c>
    </row>
    <row r="51" spans="1:37">
      <c r="B51" s="16" t="s">
        <v>83</v>
      </c>
      <c r="H51" s="16" t="s">
        <v>84</v>
      </c>
    </row>
    <row r="52" spans="1:37">
      <c r="A52" s="3" t="s">
        <v>4</v>
      </c>
      <c r="B52" s="4" t="s">
        <v>85</v>
      </c>
      <c r="C52" s="4" t="s">
        <v>86</v>
      </c>
      <c r="D52" s="4" t="s">
        <v>87</v>
      </c>
      <c r="E52" s="4" t="s">
        <v>88</v>
      </c>
      <c r="F52" s="4" t="s">
        <v>89</v>
      </c>
      <c r="G52" s="4" t="s">
        <v>90</v>
      </c>
      <c r="H52" s="4" t="s">
        <v>85</v>
      </c>
      <c r="I52" s="4" t="s">
        <v>87</v>
      </c>
      <c r="J52" s="4" t="s">
        <v>89</v>
      </c>
    </row>
    <row r="53" spans="1:37">
      <c r="A53" s="2" t="s">
        <v>110</v>
      </c>
      <c r="B53" s="13">
        <v>10.0</v>
      </c>
      <c r="C53" s="13">
        <v>0.0</v>
      </c>
      <c r="D53" s="13">
        <v>0.0</v>
      </c>
      <c r="E53" s="13">
        <v>0.0</v>
      </c>
      <c r="F53" s="13">
        <v>7.0</v>
      </c>
      <c r="G53" s="13">
        <v>0.0</v>
      </c>
      <c r="H53" s="13">
        <v>7.0</v>
      </c>
      <c r="I53" s="13">
        <v>0.0</v>
      </c>
      <c r="J53" s="13">
        <v>7.0</v>
      </c>
    </row>
    <row r="54" spans="1:37">
      <c r="A54" s="2" t="s">
        <v>111</v>
      </c>
      <c r="B54" s="13">
        <v>5.0</v>
      </c>
      <c r="C54" s="13">
        <v>0.0</v>
      </c>
      <c r="D54" s="13">
        <v>0.0</v>
      </c>
      <c r="E54" s="13">
        <v>0.0</v>
      </c>
      <c r="F54" s="13">
        <v>4.0</v>
      </c>
      <c r="G54" s="13">
        <v>0.0</v>
      </c>
      <c r="H54" s="13">
        <v>4.0</v>
      </c>
      <c r="I54" s="13">
        <v>0.0</v>
      </c>
      <c r="J54" s="13">
        <v>4.0</v>
      </c>
    </row>
    <row r="55" spans="1:37">
      <c r="A55" s="2" t="s">
        <v>115</v>
      </c>
      <c r="B55" s="13">
        <v>8.0</v>
      </c>
      <c r="C55" s="13">
        <v>0.0</v>
      </c>
      <c r="D55" s="13">
        <v>1.0</v>
      </c>
      <c r="E55" s="13">
        <v>2.0</v>
      </c>
      <c r="F55" s="13">
        <v>5.0</v>
      </c>
      <c r="G55" s="13">
        <v>0.0</v>
      </c>
      <c r="H55" s="13">
        <v>4.0</v>
      </c>
      <c r="I55" s="13">
        <v>1.0</v>
      </c>
      <c r="J55" s="13">
        <v>4.0</v>
      </c>
    </row>
    <row r="56" spans="1:37">
      <c r="A56" s="2" t="s">
        <v>117</v>
      </c>
      <c r="B56" s="13">
        <v>7.0</v>
      </c>
      <c r="C56" s="13">
        <v>0.0</v>
      </c>
      <c r="D56" s="13">
        <v>0.0</v>
      </c>
      <c r="E56" s="13">
        <v>2.0</v>
      </c>
      <c r="F56" s="13">
        <v>5.0</v>
      </c>
      <c r="G56" s="13">
        <v>0.0</v>
      </c>
      <c r="H56" s="13">
        <v>4.0</v>
      </c>
      <c r="I56" s="13">
        <v>0.0</v>
      </c>
      <c r="J56" s="13">
        <v>4.0</v>
      </c>
    </row>
    <row r="57" spans="1:37">
      <c r="A57" s="2" t="s">
        <v>123</v>
      </c>
      <c r="B57" s="13">
        <v>0.0</v>
      </c>
      <c r="C57" s="13">
        <v>0.0</v>
      </c>
      <c r="D57" s="13">
        <v>0.0</v>
      </c>
      <c r="E57" s="13">
        <v>0.0</v>
      </c>
      <c r="F57" s="13">
        <v>1.0</v>
      </c>
      <c r="G57" s="13">
        <v>0.0</v>
      </c>
      <c r="H57" s="13">
        <v>1.0</v>
      </c>
      <c r="I57" s="13">
        <v>0.0</v>
      </c>
      <c r="J57" s="13">
        <v>1.0</v>
      </c>
    </row>
    <row r="58" spans="1:37">
      <c r="A58" s="2" t="s">
        <v>124</v>
      </c>
      <c r="B58" s="13">
        <v>3.0</v>
      </c>
      <c r="C58" s="13">
        <v>0.0</v>
      </c>
      <c r="D58" s="13">
        <v>0.0</v>
      </c>
      <c r="E58" s="13">
        <v>0.0</v>
      </c>
      <c r="F58" s="13">
        <v>1.0</v>
      </c>
      <c r="G58" s="13">
        <v>0.0</v>
      </c>
      <c r="H58" s="13">
        <v>1.0</v>
      </c>
      <c r="I58" s="13">
        <v>0.0</v>
      </c>
      <c r="J58" s="13">
        <v>1.0</v>
      </c>
    </row>
    <row r="59" spans="1:37">
      <c r="A59" s="2" t="s">
        <v>149</v>
      </c>
      <c r="B59" s="13">
        <v>2.0</v>
      </c>
      <c r="C59" s="13">
        <v>0.0</v>
      </c>
      <c r="D59" s="13">
        <v>0.0</v>
      </c>
      <c r="E59" s="13">
        <v>0.0</v>
      </c>
      <c r="F59" s="13">
        <v>2.0</v>
      </c>
      <c r="G59" s="13">
        <v>0.0</v>
      </c>
      <c r="H59" s="13">
        <v>2.0</v>
      </c>
      <c r="I59" s="13">
        <v>0.0</v>
      </c>
      <c r="J59" s="13">
        <v>2.0</v>
      </c>
    </row>
    <row r="60" spans="1:37">
      <c r="A60" s="9" t="s">
        <v>50</v>
      </c>
      <c r="B60" s="10">
        <f>SUM(B53:B59)</f>
        <v>35</v>
      </c>
      <c r="C60" s="10">
        <f>SUM(C53:C59)</f>
        <v>0</v>
      </c>
      <c r="D60" s="10">
        <f>SUM(D53:D59)</f>
        <v>1</v>
      </c>
      <c r="E60" s="10">
        <f>SUM(E53:E59)</f>
        <v>4</v>
      </c>
      <c r="F60" s="10">
        <f>SUM(F53:F59)</f>
        <v>25</v>
      </c>
      <c r="G60" s="10">
        <f>SUM(G53:G59)</f>
        <v>0</v>
      </c>
      <c r="H60" s="10">
        <f>SUM(H53:H59)</f>
        <v>23</v>
      </c>
      <c r="I60" s="10">
        <f>SUM(I53:I59)</f>
        <v>1</v>
      </c>
      <c r="J60" s="10">
        <f>SUM(J53:J59)</f>
        <v>23</v>
      </c>
    </row>
    <row r="62" spans="1:37">
      <c r="A62" s="1" t="s">
        <v>91</v>
      </c>
    </row>
    <row r="63" spans="1:37">
      <c r="A63" s="3" t="s">
        <v>92</v>
      </c>
      <c r="B63" s="4" t="s">
        <v>19</v>
      </c>
      <c r="C63" s="4" t="s">
        <v>20</v>
      </c>
      <c r="D63" s="4" t="s">
        <v>93</v>
      </c>
      <c r="E63" s="7" t="s">
        <v>95</v>
      </c>
      <c r="V63" s="8" t="s">
        <v>94</v>
      </c>
    </row>
    <row r="64" spans="1:37">
      <c r="A64" s="2" t="s">
        <v>96</v>
      </c>
      <c r="B64" s="13">
        <v>9.0</v>
      </c>
      <c r="C64" s="13">
        <v>29.0</v>
      </c>
      <c r="D64" s="13">
        <f>B64 + C64</f>
        <v>38</v>
      </c>
      <c r="E64" s="15">
        <f>IF(0 = V64, 0, D64 / V64)</f>
        <v>0.9047619047619</v>
      </c>
      <c r="V64" s="13">
        <v>42.0</v>
      </c>
    </row>
    <row r="65" spans="1:37">
      <c r="A65" s="2" t="s">
        <v>97</v>
      </c>
      <c r="B65" s="13">
        <v>1.0</v>
      </c>
      <c r="C65" s="13">
        <v>3.0</v>
      </c>
      <c r="D65" s="13">
        <f>B65 + C65</f>
        <v>4</v>
      </c>
      <c r="E65" s="15">
        <f>IF(0 = V65, 0, D65 / V65)</f>
        <v>0.095238095238095</v>
      </c>
      <c r="V65" s="13">
        <v>42.0</v>
      </c>
    </row>
    <row r="66" spans="1:37">
      <c r="A66" s="9" t="s">
        <v>50</v>
      </c>
      <c r="B66" s="10">
        <f>SUM(B64:B65)</f>
        <v>10</v>
      </c>
      <c r="C66" s="10">
        <f>SUM(C64:C65)</f>
        <v>32</v>
      </c>
      <c r="D66" s="10">
        <f>SUM(D64:D65)</f>
        <v>42</v>
      </c>
    </row>
  </sheetData>
  <mergeCells>
    <mergeCell ref="A37:B37"/>
    <mergeCell ref="C37:J37"/>
    <mergeCell ref="K37:N37"/>
    <mergeCell ref="O37:O37"/>
    <mergeCell ref="A51:A51"/>
    <mergeCell ref="B51:G51"/>
    <mergeCell ref="H51:J51"/>
  </mergeCells>
  <printOptions gridLines="false" gridLinesSet="true" horizontalCentered="true"/>
  <pageMargins left="0.5" right="0.5" top="0.5" bottom="0.5" header="0.25" footer="0.25"/>
  <pageSetup paperSize="1" orientation="landscape" scale="100" fitToHeight="0" fitToWidth="1" pageOrder="downThenOver"/>
  <headerFooter differentOddEven="false" differentFirst="false" scaleWithDoc="true" alignWithMargins="true">
    <oddHeader>&amp;L 02 - RISE - Box Score</oddHeader>
    <oddFooter>&amp;L Page &amp;P of &amp;N &amp;R &amp;I Box Score 4.0 generated04/30/2026 at 11:35am EDT&amp;I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K36"/>
  <sheetViews>
    <sheetView tabSelected="0" workbookViewId="0" showGridLines="true" showRowColHeaders="1">
      <selection activeCell="E34" sqref="E34:E35"/>
    </sheetView>
  </sheetViews>
  <sheetFormatPr defaultRowHeight="14.4" outlineLevelRow="0" outlineLevelCol="0"/>
  <cols>
    <col min="1" max="1" width="22.142857142857" customWidth="true" style="0"/>
    <col min="2" max="2" width="22.142857142857" customWidth="true" style="0"/>
    <col min="3" max="3" width="22.142857142857" customWidth="true" style="0"/>
    <col min="4" max="4" width="22.142857142857" customWidth="true" style="0"/>
    <col min="5" max="5" width="22.142857142857" customWidth="true" style="0"/>
    <col min="6" max="6" width="20.714285714286" customWidth="true" style="0"/>
    <col min="7" max="7" width="20.714285714286" customWidth="true" style="0"/>
    <col min="8" max="8" width="21" customWidth="true" style="0"/>
    <col min="9" max="9" width="21.428571428571" customWidth="true" style="0"/>
    <col min="10" max="10" width="20.714285714286" customWidth="true" style="0"/>
    <col min="11" max="11" width="18.571428571429" customWidth="true" style="0"/>
    <col min="12" max="12" width="18.571428571429" customWidth="true" style="0"/>
    <col min="13" max="13" width="18.571428571429" customWidth="true" style="0"/>
    <col min="14" max="14" width="18.571428571429" customWidth="true" style="0"/>
    <col min="15" max="15" width="18.142857142857" customWidth="true" style="0"/>
    <col min="16" max="16" width="22.857142857143" customWidth="true" style="0"/>
    <col min="17" max="17" width="23.571428571429" customWidth="true" style="0"/>
    <col min="18" max="18" width="23.571428571429" customWidth="true" style="0"/>
    <col min="19" max="19" width="23.571428571429" customWidth="true" style="0"/>
    <col min="20" max="20" width="23.571428571429" customWidth="true" style="0"/>
    <col min="22" max="22" width="14.428571428571" hidden="true" customWidth="true" style="0"/>
    <col min="23" max="23" width="17.428571428571" hidden="true" customWidth="true" style="0"/>
    <col min="24" max="24" width="17.428571428571" hidden="true" customWidth="true" style="0"/>
    <col min="25" max="25" width="17.428571428571" hidden="true" customWidth="true" style="0"/>
    <col min="26" max="26" width="17.428571428571" hidden="true" customWidth="true" style="0"/>
    <col min="27" max="27" width="17.428571428571" hidden="true" customWidth="true" style="0"/>
    <col min="28" max="28" width="17.428571428571" hidden="true" customWidth="true" style="0"/>
    <col min="29" max="29" width="17.428571428571" hidden="true" customWidth="true" style="0"/>
    <col min="30" max="30" width="17.428571428571" hidden="true" customWidth="true" style="0"/>
    <col min="31" max="31" width="17.428571428571" hidden="true" customWidth="true" style="0"/>
    <col min="32" max="32" width="17.428571428571" hidden="true" customWidth="true" style="0"/>
    <col min="33" max="33" width="17.428571428571" hidden="true" customWidth="true" style="0"/>
    <col min="34" max="34" width="17.428571428571" hidden="true" customWidth="true" style="0"/>
    <col min="35" max="35" width="17.428571428571" hidden="true" customWidth="true" style="0"/>
    <col min="36" max="36" width="17.428571428571" hidden="true" customWidth="true" style="0"/>
    <col min="37" max="37" width="17.428571428571" hidden="true" customWidth="true" style="0"/>
  </cols>
  <sheetData>
    <row r="2" spans="1:37">
      <c r="A2" s="1" t="s">
        <v>0</v>
      </c>
    </row>
    <row r="3" spans="1:37">
      <c r="A3" s="2" t="s">
        <v>151</v>
      </c>
    </row>
    <row r="4" spans="1:37">
      <c r="A4" s="2" t="s">
        <v>2</v>
      </c>
    </row>
    <row r="6" spans="1:37">
      <c r="A6" s="1" t="s">
        <v>3</v>
      </c>
    </row>
    <row r="7" spans="1:37">
      <c r="A7" s="3" t="s">
        <v>4</v>
      </c>
      <c r="B7" s="4" t="s">
        <v>5</v>
      </c>
      <c r="C7" s="5" t="s">
        <v>6</v>
      </c>
      <c r="D7" s="5" t="s">
        <v>8</v>
      </c>
      <c r="E7" s="5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7" t="s">
        <v>13</v>
      </c>
      <c r="R7" s="7" t="s">
        <v>21</v>
      </c>
      <c r="S7" s="7" t="s">
        <v>22</v>
      </c>
      <c r="T7" s="7" t="s">
        <v>23</v>
      </c>
      <c r="V7" s="6" t="s">
        <v>7</v>
      </c>
      <c r="W7" s="8" t="s">
        <v>24</v>
      </c>
      <c r="X7" s="8" t="s">
        <v>25</v>
      </c>
      <c r="Y7" s="8" t="s">
        <v>26</v>
      </c>
      <c r="Z7" s="8" t="s">
        <v>27</v>
      </c>
      <c r="AA7" s="8" t="s">
        <v>28</v>
      </c>
      <c r="AB7" s="8" t="s">
        <v>29</v>
      </c>
      <c r="AC7" s="8" t="s">
        <v>30</v>
      </c>
      <c r="AD7" s="8" t="s">
        <v>31</v>
      </c>
      <c r="AE7" s="8" t="s">
        <v>32</v>
      </c>
      <c r="AF7" s="8" t="s">
        <v>33</v>
      </c>
      <c r="AG7" s="8" t="s">
        <v>34</v>
      </c>
      <c r="AH7" s="8" t="s">
        <v>35</v>
      </c>
      <c r="AI7" s="8" t="s">
        <v>36</v>
      </c>
      <c r="AJ7" s="8" t="s">
        <v>37</v>
      </c>
      <c r="AK7" s="8" t="s">
        <v>38</v>
      </c>
    </row>
    <row r="8" spans="1:37">
      <c r="A8" s="2" t="s">
        <v>115</v>
      </c>
      <c r="B8" s="13">
        <f>IF(H8 = 0, "--", W8 / H8)</f>
        <v>1260</v>
      </c>
      <c r="C8" s="14">
        <f>IF(H8 = 0, 0, Z8 / H8)</f>
        <v>2595</v>
      </c>
      <c r="D8" s="14">
        <f>IF(I8 = 0, 0, AA8 / I8)</f>
        <v>2385</v>
      </c>
      <c r="E8" s="14">
        <f>IF(I8 = 0, 0, AD8 / I8)</f>
        <v>2352.3846153846</v>
      </c>
      <c r="F8" s="13">
        <f>H8 + G8</f>
        <v>92</v>
      </c>
      <c r="G8" s="13">
        <v>0.0</v>
      </c>
      <c r="H8" s="13">
        <v>92.0</v>
      </c>
      <c r="I8" s="13">
        <f>L8 + N8 + M8</f>
        <v>1</v>
      </c>
      <c r="J8" s="13">
        <f>O8 + P8</f>
        <v>91</v>
      </c>
      <c r="K8" s="13">
        <v>91.0</v>
      </c>
      <c r="L8" s="13">
        <v>1.0</v>
      </c>
      <c r="M8" s="13">
        <v>0.0</v>
      </c>
      <c r="N8" s="13">
        <v>0.0</v>
      </c>
      <c r="O8" s="13">
        <f>AE8 + AF8</f>
        <v>0</v>
      </c>
      <c r="P8" s="13">
        <f>AG8 + AH8</f>
        <v>91</v>
      </c>
      <c r="Q8" s="15">
        <f>IF(H8 = 0, "--", I8 / H8)</f>
        <v>0.010869565217391</v>
      </c>
      <c r="R8" s="15">
        <f>IF(H8 = 0, "--", AI8 / H8)</f>
        <v>0.010869565217391</v>
      </c>
      <c r="S8" s="15">
        <f>IF(H8 = 0, "--", AK8 / H8)</f>
        <v>0.010869565217391</v>
      </c>
      <c r="T8" s="15">
        <f>IF(H8 = 0, "--", AJ8 / H8)</f>
        <v>0.98913043478261</v>
      </c>
      <c r="V8" s="14">
        <f>IF(H8 = 0, 0, X8 / H8)</f>
        <v>2375.652173913</v>
      </c>
      <c r="W8" s="13">
        <v>115920.0</v>
      </c>
      <c r="X8" s="13">
        <v>218560.0</v>
      </c>
      <c r="Y8" s="13">
        <v>2385.0</v>
      </c>
      <c r="Z8" s="13">
        <v>238740.0</v>
      </c>
      <c r="AA8" s="13">
        <v>2385.0</v>
      </c>
      <c r="AB8" s="13">
        <v>0.0</v>
      </c>
      <c r="AC8" s="13">
        <v>2385.0</v>
      </c>
      <c r="AD8" s="13">
        <v>2352.3846153846</v>
      </c>
      <c r="AE8" s="13">
        <v>0.0</v>
      </c>
      <c r="AF8" s="13">
        <v>0.0</v>
      </c>
      <c r="AG8" s="13">
        <v>91.0</v>
      </c>
      <c r="AH8" s="13">
        <v>0.0</v>
      </c>
      <c r="AI8" s="13">
        <f>L8 + M8 + O8 + N8</f>
        <v>1</v>
      </c>
      <c r="AJ8" s="13">
        <f>P8 + N8</f>
        <v>91</v>
      </c>
      <c r="AK8" s="13">
        <f>L8 + M8 + O8</f>
        <v>1</v>
      </c>
    </row>
    <row r="9" spans="1:37">
      <c r="A9" s="2" t="s">
        <v>123</v>
      </c>
      <c r="B9" s="13">
        <f>IF(H9 = 0, "--", W9 / H9)</f>
        <v>1527</v>
      </c>
      <c r="C9" s="14">
        <f>IF(H9 = 0, 0, Z9 / H9)</f>
        <v>2990</v>
      </c>
      <c r="D9" s="14">
        <f>IF(I9 = 0, 0, AA9 / I9)</f>
        <v>2615</v>
      </c>
      <c r="E9" s="14">
        <f>IF(I9 = 0, 0, AD9 / I9)</f>
        <v>2579.2393199554</v>
      </c>
      <c r="F9" s="13">
        <f>H9 + G9</f>
        <v>180</v>
      </c>
      <c r="G9" s="13">
        <v>0.0</v>
      </c>
      <c r="H9" s="13">
        <v>180.0</v>
      </c>
      <c r="I9" s="13">
        <f>L9 + N9 + M9</f>
        <v>1</v>
      </c>
      <c r="J9" s="13">
        <f>O9 + P9</f>
        <v>179</v>
      </c>
      <c r="K9" s="13">
        <v>177.0</v>
      </c>
      <c r="L9" s="13">
        <v>1.0</v>
      </c>
      <c r="M9" s="13">
        <v>0.0</v>
      </c>
      <c r="N9" s="13">
        <v>0.0</v>
      </c>
      <c r="O9" s="13">
        <f>AE9 + AF9</f>
        <v>2</v>
      </c>
      <c r="P9" s="13">
        <f>AG9 + AH9</f>
        <v>177</v>
      </c>
      <c r="Q9" s="15">
        <f>IF(H9 = 0, "--", I9 / H9)</f>
        <v>0.0055555555555556</v>
      </c>
      <c r="R9" s="15">
        <f>IF(H9 = 0, "--", AI9 / H9)</f>
        <v>0.016666666666667</v>
      </c>
      <c r="S9" s="15">
        <f>IF(H9 = 0, "--", AK9 / H9)</f>
        <v>0.016666666666667</v>
      </c>
      <c r="T9" s="15">
        <f>IF(H9 = 0, "--", AJ9 / H9)</f>
        <v>0.98333333333333</v>
      </c>
      <c r="V9" s="14">
        <f>IF(H9 = 0, 0, X9 / H9)</f>
        <v>2595.5555555556</v>
      </c>
      <c r="W9" s="13">
        <v>274860.0</v>
      </c>
      <c r="X9" s="13">
        <v>467200.0</v>
      </c>
      <c r="Y9" s="13">
        <v>2615.0</v>
      </c>
      <c r="Z9" s="13">
        <v>538200.0</v>
      </c>
      <c r="AA9" s="13">
        <v>2615.0</v>
      </c>
      <c r="AB9" s="13">
        <v>0.0</v>
      </c>
      <c r="AC9" s="13">
        <v>2615.0</v>
      </c>
      <c r="AD9" s="13">
        <v>2579.2393199554</v>
      </c>
      <c r="AE9" s="13">
        <v>2.0</v>
      </c>
      <c r="AF9" s="13">
        <v>0.0</v>
      </c>
      <c r="AG9" s="13">
        <v>177.0</v>
      </c>
      <c r="AH9" s="13">
        <v>0.0</v>
      </c>
      <c r="AI9" s="13">
        <f>L9 + M9 + O9 + N9</f>
        <v>3</v>
      </c>
      <c r="AJ9" s="13">
        <f>P9 + N9</f>
        <v>177</v>
      </c>
      <c r="AK9" s="13">
        <f>L9 + M9 + O9</f>
        <v>3</v>
      </c>
    </row>
    <row r="10" spans="1:37">
      <c r="A10" s="9" t="s">
        <v>50</v>
      </c>
      <c r="B10" s="10">
        <f>IF(H10 = 0, "--", W10 / H10)</f>
        <v>1436.6911764706</v>
      </c>
      <c r="C10" s="11">
        <f>IF(H10 = 0, 0, Z10 / H10)</f>
        <v>2856.3970588235</v>
      </c>
      <c r="D10" s="11">
        <f>IF(I10 = 0, 0, AA10 / I10)</f>
        <v>2500</v>
      </c>
      <c r="E10" s="11">
        <f>IF(I10 = 0, 0, AD10 / I10)</f>
        <v>2465.81196767</v>
      </c>
      <c r="F10" s="10">
        <f>H10 + G10</f>
        <v>272</v>
      </c>
      <c r="G10" s="10">
        <f>SUM(G8:G9)</f>
        <v>0</v>
      </c>
      <c r="H10" s="10">
        <f>SUM(H8:H9)</f>
        <v>272</v>
      </c>
      <c r="I10" s="10">
        <f>L10 + N10 + M10</f>
        <v>2</v>
      </c>
      <c r="J10" s="10">
        <f>O10 + P10</f>
        <v>270</v>
      </c>
      <c r="K10" s="10">
        <f>SUM(K8:K9)</f>
        <v>268</v>
      </c>
      <c r="L10" s="10">
        <f>SUM(L8:L9)</f>
        <v>2</v>
      </c>
      <c r="M10" s="10">
        <f>SUM(M8:M9)</f>
        <v>0</v>
      </c>
      <c r="N10" s="10">
        <f>SUM(N8:N9)</f>
        <v>0</v>
      </c>
      <c r="O10" s="10">
        <f>AE10 + AF10</f>
        <v>2</v>
      </c>
      <c r="P10" s="10">
        <f>AG10 + AH10</f>
        <v>268</v>
      </c>
      <c r="Q10" s="12">
        <f>IF(H10 = 0, "--", I10 / H10)</f>
        <v>0.0073529411764706</v>
      </c>
      <c r="R10" s="12">
        <f>IF(H10 = 0, "--", AI10 / H10)</f>
        <v>0.014705882352941</v>
      </c>
      <c r="S10" s="12">
        <f>IF(H10 = 0, "--", AK10 / H10)</f>
        <v>0.014705882352941</v>
      </c>
      <c r="T10" s="12">
        <f>IF(H10 = 0, "--", AJ10 / H10)</f>
        <v>0.98529411764706</v>
      </c>
      <c r="V10" s="11">
        <f>IF(H10 = 0, 0, X10 / H10)</f>
        <v>2521.1764705882</v>
      </c>
      <c r="W10" s="10">
        <f>SUM(W8:W9)</f>
        <v>390780</v>
      </c>
      <c r="X10" s="10">
        <f>SUM(X8:X9)</f>
        <v>685760</v>
      </c>
      <c r="Y10" s="10">
        <f>SUM(Y8:Y9)</f>
        <v>5000</v>
      </c>
      <c r="Z10" s="10">
        <f>SUM(Z8:Z9)</f>
        <v>776940</v>
      </c>
      <c r="AA10" s="10">
        <f>SUM(AA8:AA9)</f>
        <v>5000</v>
      </c>
      <c r="AB10" s="10">
        <f>SUM(AB8:AB9)</f>
        <v>0</v>
      </c>
      <c r="AC10" s="10">
        <f>SUM(AC8:AC9)</f>
        <v>5000</v>
      </c>
      <c r="AD10" s="10">
        <f>SUM(AD8:AD9)</f>
        <v>4931.62393534</v>
      </c>
      <c r="AE10" s="10">
        <f>SUM(AE8:AE9)</f>
        <v>2</v>
      </c>
      <c r="AF10" s="10">
        <f>SUM(AF8:AF9)</f>
        <v>0</v>
      </c>
      <c r="AG10" s="10">
        <f>SUM(AG8:AG9)</f>
        <v>268</v>
      </c>
      <c r="AH10" s="10">
        <f>SUM(AH8:AH9)</f>
        <v>0</v>
      </c>
      <c r="AI10" s="10">
        <f>L10 + M10 + O10 + N10</f>
        <v>4</v>
      </c>
      <c r="AJ10" s="10">
        <f>P10 + N10</f>
        <v>268</v>
      </c>
      <c r="AK10" s="10">
        <f>L10 + M10 + O10</f>
        <v>4</v>
      </c>
    </row>
    <row r="12" spans="1:37">
      <c r="A12" s="1" t="s">
        <v>51</v>
      </c>
    </row>
    <row r="13" spans="1:37">
      <c r="A13" s="3" t="s">
        <v>4</v>
      </c>
      <c r="B13" s="4" t="s">
        <v>10</v>
      </c>
      <c r="C13" s="4" t="s">
        <v>52</v>
      </c>
      <c r="D13" s="4" t="s">
        <v>53</v>
      </c>
      <c r="E13" s="4" t="s">
        <v>54</v>
      </c>
      <c r="F13" s="4" t="s">
        <v>55</v>
      </c>
      <c r="G13" s="4" t="s">
        <v>56</v>
      </c>
      <c r="H13" s="4" t="s">
        <v>57</v>
      </c>
      <c r="I13" s="4" t="s">
        <v>58</v>
      </c>
      <c r="J13" s="4" t="s">
        <v>60</v>
      </c>
      <c r="K13" s="4" t="s">
        <v>61</v>
      </c>
      <c r="L13" s="4" t="s">
        <v>62</v>
      </c>
      <c r="M13" s="4" t="s">
        <v>21</v>
      </c>
      <c r="V13" s="8" t="s">
        <v>59</v>
      </c>
    </row>
    <row r="14" spans="1:37">
      <c r="A14" s="2" t="s">
        <v>115</v>
      </c>
      <c r="B14" s="13">
        <v>92.0</v>
      </c>
      <c r="C14" s="13">
        <v>1.0</v>
      </c>
      <c r="D14" s="13">
        <v>0.0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0.0</v>
      </c>
      <c r="K14" s="13">
        <v>0.0</v>
      </c>
      <c r="L14" s="13">
        <v>0.0</v>
      </c>
      <c r="M14" s="13">
        <v>1.0</v>
      </c>
      <c r="V14" s="13">
        <v>0.0</v>
      </c>
    </row>
    <row r="15" spans="1:37">
      <c r="A15" s="2" t="s">
        <v>123</v>
      </c>
      <c r="B15" s="13">
        <v>180.0</v>
      </c>
      <c r="C15" s="13">
        <v>1.0</v>
      </c>
      <c r="D15" s="13">
        <v>0.0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3">
        <v>0.0</v>
      </c>
      <c r="K15" s="13">
        <v>0.0</v>
      </c>
      <c r="L15" s="13">
        <v>0.0</v>
      </c>
      <c r="M15" s="13">
        <v>1.0</v>
      </c>
      <c r="V15" s="13">
        <v>0.0</v>
      </c>
    </row>
    <row r="16" spans="1:37">
      <c r="A16" s="9" t="s">
        <v>50</v>
      </c>
      <c r="B16" s="10">
        <f>SUM(B14:B15)</f>
        <v>272</v>
      </c>
      <c r="C16" s="10">
        <f>SUM(C14:C15)</f>
        <v>2</v>
      </c>
      <c r="D16" s="10">
        <f>SUM(D14:D15)</f>
        <v>0</v>
      </c>
      <c r="E16" s="10">
        <f>SUM(E14:E15)</f>
        <v>0</v>
      </c>
      <c r="F16" s="10">
        <f>SUM(F14:F15)</f>
        <v>0</v>
      </c>
      <c r="G16" s="10">
        <f>SUM(G14:G15)</f>
        <v>0</v>
      </c>
      <c r="H16" s="10">
        <f>SUM(H14:H15)</f>
        <v>0</v>
      </c>
      <c r="I16" s="10">
        <f>SUM(I14:I15)</f>
        <v>0</v>
      </c>
      <c r="J16" s="10">
        <f>SUM(J14:J15)</f>
        <v>0</v>
      </c>
      <c r="K16" s="10">
        <f>SUM(K14:K15)</f>
        <v>0</v>
      </c>
      <c r="L16" s="10">
        <f>SUM(L14:L15)</f>
        <v>0</v>
      </c>
      <c r="M16" s="10">
        <f>SUM(M14:M15)</f>
        <v>2</v>
      </c>
    </row>
    <row r="18" spans="1:37">
      <c r="A18" s="1" t="s">
        <v>63</v>
      </c>
    </row>
    <row r="19" spans="1:37">
      <c r="C19" s="16" t="s">
        <v>64</v>
      </c>
      <c r="K19" s="16" t="s">
        <v>65</v>
      </c>
      <c r="O19" s="16" t="s">
        <v>66</v>
      </c>
    </row>
    <row r="20" spans="1:37">
      <c r="A20" s="3" t="s">
        <v>4</v>
      </c>
      <c r="B20" s="4" t="s">
        <v>67</v>
      </c>
      <c r="C20" s="4" t="s">
        <v>68</v>
      </c>
      <c r="D20" s="4" t="s">
        <v>69</v>
      </c>
      <c r="E20" s="4" t="s">
        <v>70</v>
      </c>
      <c r="F20" s="4" t="s">
        <v>71</v>
      </c>
      <c r="G20" s="4" t="s">
        <v>72</v>
      </c>
      <c r="H20" s="4" t="s">
        <v>73</v>
      </c>
      <c r="I20" s="4" t="s">
        <v>74</v>
      </c>
      <c r="J20" s="4" t="s">
        <v>75</v>
      </c>
      <c r="K20" s="4" t="s">
        <v>76</v>
      </c>
      <c r="L20" s="4" t="s">
        <v>77</v>
      </c>
      <c r="M20" s="4" t="s">
        <v>78</v>
      </c>
      <c r="N20" s="4" t="s">
        <v>79</v>
      </c>
      <c r="O20" s="4" t="s">
        <v>80</v>
      </c>
    </row>
    <row r="21" spans="1:37">
      <c r="A21" s="2" t="s">
        <v>115</v>
      </c>
      <c r="B21" s="13">
        <v>4.0</v>
      </c>
      <c r="C21" s="13">
        <v>0.0</v>
      </c>
      <c r="D21" s="13">
        <v>1.0</v>
      </c>
      <c r="E21" s="13">
        <v>2.0</v>
      </c>
      <c r="F21" s="13">
        <v>0.0</v>
      </c>
      <c r="G21" s="13">
        <v>0.0</v>
      </c>
      <c r="H21" s="13">
        <v>0.0</v>
      </c>
      <c r="I21" s="13">
        <v>0.0</v>
      </c>
      <c r="J21" s="13">
        <v>1.0</v>
      </c>
      <c r="K21" s="13">
        <v>3.0</v>
      </c>
      <c r="L21" s="13">
        <v>1.0</v>
      </c>
      <c r="M21" s="13">
        <v>0.0</v>
      </c>
      <c r="N21" s="13">
        <v>1.0</v>
      </c>
      <c r="O21" s="13">
        <v>0.0</v>
      </c>
    </row>
    <row r="22" spans="1:37">
      <c r="A22" s="2" t="s">
        <v>123</v>
      </c>
      <c r="B22" s="13">
        <v>7.0</v>
      </c>
      <c r="C22" s="13">
        <v>0.0</v>
      </c>
      <c r="D22" s="13">
        <v>2.0</v>
      </c>
      <c r="E22" s="13">
        <v>3.0</v>
      </c>
      <c r="F22" s="13">
        <v>0.0</v>
      </c>
      <c r="G22" s="13">
        <v>0.0</v>
      </c>
      <c r="H22" s="13">
        <v>0.0</v>
      </c>
      <c r="I22" s="13">
        <v>0.0</v>
      </c>
      <c r="J22" s="13">
        <v>2.0</v>
      </c>
      <c r="K22" s="13">
        <v>4.0</v>
      </c>
      <c r="L22" s="13">
        <v>19.0</v>
      </c>
      <c r="M22" s="13">
        <v>1.0</v>
      </c>
      <c r="N22" s="13">
        <v>7.0</v>
      </c>
      <c r="O22" s="13">
        <v>2.0</v>
      </c>
    </row>
    <row r="23" spans="1:37">
      <c r="A23" s="2" t="s">
        <v>81</v>
      </c>
      <c r="B23" s="13">
        <v>28.0</v>
      </c>
      <c r="C23" s="13">
        <v>0.0</v>
      </c>
      <c r="D23" s="13">
        <v>14.0</v>
      </c>
      <c r="E23" s="13">
        <v>8.0</v>
      </c>
      <c r="F23" s="13">
        <v>0.0</v>
      </c>
      <c r="G23" s="13">
        <v>0.0</v>
      </c>
      <c r="H23" s="13">
        <v>0.0</v>
      </c>
      <c r="I23" s="13">
        <v>0.0</v>
      </c>
      <c r="J23" s="13">
        <v>6.0</v>
      </c>
      <c r="K23" s="13">
        <v>88.0</v>
      </c>
      <c r="L23" s="13">
        <v>52.0</v>
      </c>
      <c r="M23" s="13">
        <v>0.0</v>
      </c>
      <c r="N23" s="13">
        <v>41.0</v>
      </c>
      <c r="O23" s="13">
        <v>2.0</v>
      </c>
    </row>
    <row r="24" spans="1:37">
      <c r="A24" s="9" t="s">
        <v>50</v>
      </c>
      <c r="B24" s="10">
        <f>SUM(B21:B23)</f>
        <v>39</v>
      </c>
      <c r="C24" s="10">
        <f>SUM(C21:C23)</f>
        <v>0</v>
      </c>
      <c r="D24" s="10">
        <f>SUM(D21:D23)</f>
        <v>17</v>
      </c>
      <c r="E24" s="10">
        <f>SUM(E21:E23)</f>
        <v>13</v>
      </c>
      <c r="F24" s="10">
        <f>SUM(F21:F23)</f>
        <v>0</v>
      </c>
      <c r="G24" s="10">
        <f>SUM(G21:G23)</f>
        <v>0</v>
      </c>
      <c r="H24" s="10">
        <f>SUM(H21:H23)</f>
        <v>0</v>
      </c>
      <c r="I24" s="10">
        <f>SUM(I21:I23)</f>
        <v>0</v>
      </c>
      <c r="J24" s="10">
        <f>SUM(J21:J23)</f>
        <v>9</v>
      </c>
      <c r="K24" s="10">
        <f>SUM(K21:K23)</f>
        <v>95</v>
      </c>
      <c r="L24" s="10">
        <f>SUM(L21:L23)</f>
        <v>72</v>
      </c>
      <c r="M24" s="10">
        <f>SUM(M21:M23)</f>
        <v>1</v>
      </c>
      <c r="N24" s="10">
        <f>SUM(N21:N23)</f>
        <v>49</v>
      </c>
      <c r="O24" s="10">
        <f>SUM(O21:O23)</f>
        <v>4</v>
      </c>
    </row>
    <row r="26" spans="1:37">
      <c r="A26" s="1" t="s">
        <v>82</v>
      </c>
    </row>
    <row r="27" spans="1:37">
      <c r="B27" s="16" t="s">
        <v>83</v>
      </c>
      <c r="H27" s="16" t="s">
        <v>84</v>
      </c>
    </row>
    <row r="28" spans="1:37">
      <c r="A28" s="3" t="s">
        <v>4</v>
      </c>
      <c r="B28" s="4" t="s">
        <v>85</v>
      </c>
      <c r="C28" s="4" t="s">
        <v>86</v>
      </c>
      <c r="D28" s="4" t="s">
        <v>87</v>
      </c>
      <c r="E28" s="4" t="s">
        <v>88</v>
      </c>
      <c r="F28" s="4" t="s">
        <v>89</v>
      </c>
      <c r="G28" s="4" t="s">
        <v>90</v>
      </c>
      <c r="H28" s="4" t="s">
        <v>85</v>
      </c>
      <c r="I28" s="4" t="s">
        <v>87</v>
      </c>
      <c r="J28" s="4" t="s">
        <v>89</v>
      </c>
    </row>
    <row r="29" spans="1:37">
      <c r="A29" s="2" t="s">
        <v>123</v>
      </c>
      <c r="B29" s="13">
        <v>3.0</v>
      </c>
      <c r="C29" s="13">
        <v>0.0</v>
      </c>
      <c r="D29" s="13">
        <v>1.0</v>
      </c>
      <c r="E29" s="13">
        <v>0.0</v>
      </c>
      <c r="F29" s="13">
        <v>0.0</v>
      </c>
      <c r="G29" s="13">
        <v>1.0</v>
      </c>
      <c r="H29" s="13">
        <v>0.0</v>
      </c>
      <c r="I29" s="13">
        <v>0.0</v>
      </c>
      <c r="J29" s="13">
        <v>0.0</v>
      </c>
    </row>
    <row r="30" spans="1:37">
      <c r="A30" s="9" t="s">
        <v>50</v>
      </c>
      <c r="B30" s="10">
        <f>SUM(B29:B29)</f>
        <v>3</v>
      </c>
      <c r="C30" s="10">
        <f>SUM(C29:C29)</f>
        <v>0</v>
      </c>
      <c r="D30" s="10">
        <f>SUM(D29:D29)</f>
        <v>1</v>
      </c>
      <c r="E30" s="10">
        <f>SUM(E29:E29)</f>
        <v>0</v>
      </c>
      <c r="F30" s="10">
        <f>SUM(F29:F29)</f>
        <v>0</v>
      </c>
      <c r="G30" s="10">
        <f>SUM(G29:G29)</f>
        <v>1</v>
      </c>
      <c r="H30" s="10">
        <f>SUM(H29:H29)</f>
        <v>0</v>
      </c>
      <c r="I30" s="10">
        <f>SUM(I29:I29)</f>
        <v>0</v>
      </c>
      <c r="J30" s="10">
        <f>SUM(J29:J29)</f>
        <v>0</v>
      </c>
    </row>
    <row r="32" spans="1:37">
      <c r="A32" s="1" t="s">
        <v>91</v>
      </c>
    </row>
    <row r="33" spans="1:37">
      <c r="A33" s="3" t="s">
        <v>92</v>
      </c>
      <c r="B33" s="4" t="s">
        <v>19</v>
      </c>
      <c r="C33" s="4" t="s">
        <v>20</v>
      </c>
      <c r="D33" s="4" t="s">
        <v>93</v>
      </c>
      <c r="E33" s="7" t="s">
        <v>95</v>
      </c>
      <c r="V33" s="8" t="s">
        <v>94</v>
      </c>
    </row>
    <row r="34" spans="1:37">
      <c r="A34" s="2" t="s">
        <v>96</v>
      </c>
      <c r="B34" s="13">
        <v>2.0</v>
      </c>
      <c r="C34" s="13">
        <v>268.0</v>
      </c>
      <c r="D34" s="13">
        <f>B34 + C34</f>
        <v>270</v>
      </c>
      <c r="E34" s="15">
        <f>IF(0 = V34, 0, D34 / V34)</f>
        <v>1</v>
      </c>
      <c r="V34" s="13">
        <v>270.0</v>
      </c>
    </row>
    <row r="35" spans="1:37">
      <c r="A35" s="2" t="s">
        <v>97</v>
      </c>
      <c r="B35" s="13">
        <v>0.0</v>
      </c>
      <c r="C35" s="13">
        <v>0.0</v>
      </c>
      <c r="D35" s="13">
        <f>B35 + C35</f>
        <v>0</v>
      </c>
      <c r="E35" s="15">
        <f>IF(0 = V35, 0, D35 / V35)</f>
        <v>0</v>
      </c>
      <c r="V35" s="13">
        <v>270.0</v>
      </c>
    </row>
    <row r="36" spans="1:37">
      <c r="A36" s="9" t="s">
        <v>50</v>
      </c>
      <c r="B36" s="10">
        <f>SUM(B34:B35)</f>
        <v>2</v>
      </c>
      <c r="C36" s="10">
        <f>SUM(C34:C35)</f>
        <v>268</v>
      </c>
      <c r="D36" s="10">
        <f>SUM(D34:D35)</f>
        <v>270</v>
      </c>
    </row>
  </sheetData>
  <mergeCells>
    <mergeCell ref="A19:B19"/>
    <mergeCell ref="C19:J19"/>
    <mergeCell ref="K19:N19"/>
    <mergeCell ref="O19:O19"/>
    <mergeCell ref="A27:A27"/>
    <mergeCell ref="B27:G27"/>
    <mergeCell ref="H27:J27"/>
  </mergeCells>
  <printOptions gridLines="false" gridLinesSet="true" horizontalCentered="true"/>
  <pageMargins left="0.5" right="0.5" top="0.5" bottom="0.5" header="0.25" footer="0.25"/>
  <pageSetup paperSize="1" orientation="landscape" scale="100" fitToHeight="0" fitToWidth="1" pageOrder="downThenOver"/>
  <headerFooter differentOddEven="false" differentFirst="false" scaleWithDoc="true" alignWithMargins="true">
    <oddHeader>&amp;L 02 - RISE - Box Score</oddHeader>
    <oddFooter>&amp;L Page &amp;P of &amp;N &amp;R &amp;I Box Score 4.0 generated04/30/2026 at 11:35am EDT&amp;I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K64"/>
  <sheetViews>
    <sheetView tabSelected="0" workbookViewId="0" showGridLines="true" showRowColHeaders="1">
      <selection activeCell="E62" sqref="E62:E63"/>
    </sheetView>
  </sheetViews>
  <sheetFormatPr defaultRowHeight="14.4" outlineLevelRow="0" outlineLevelCol="0"/>
  <cols>
    <col min="1" max="1" width="22.142857142857" customWidth="true" style="0"/>
    <col min="2" max="2" width="22.142857142857" customWidth="true" style="0"/>
    <col min="3" max="3" width="22.142857142857" customWidth="true" style="0"/>
    <col min="4" max="4" width="22.142857142857" customWidth="true" style="0"/>
    <col min="5" max="5" width="22.142857142857" customWidth="true" style="0"/>
    <col min="6" max="6" width="20.714285714286" customWidth="true" style="0"/>
    <col min="7" max="7" width="20.714285714286" customWidth="true" style="0"/>
    <col min="8" max="8" width="21" customWidth="true" style="0"/>
    <col min="9" max="9" width="21.428571428571" customWidth="true" style="0"/>
    <col min="10" max="10" width="20.714285714286" customWidth="true" style="0"/>
    <col min="11" max="11" width="18.571428571429" customWidth="true" style="0"/>
    <col min="12" max="12" width="18.571428571429" customWidth="true" style="0"/>
    <col min="13" max="13" width="18.571428571429" customWidth="true" style="0"/>
    <col min="14" max="14" width="18.571428571429" customWidth="true" style="0"/>
    <col min="15" max="15" width="18.142857142857" customWidth="true" style="0"/>
    <col min="16" max="16" width="22.857142857143" customWidth="true" style="0"/>
    <col min="17" max="17" width="23.571428571429" customWidth="true" style="0"/>
    <col min="18" max="18" width="23.571428571429" customWidth="true" style="0"/>
    <col min="19" max="19" width="23.571428571429" customWidth="true" style="0"/>
    <col min="20" max="20" width="23.571428571429" customWidth="true" style="0"/>
    <col min="22" max="22" width="14.428571428571" hidden="true" customWidth="true" style="0"/>
    <col min="23" max="23" width="17.428571428571" hidden="true" customWidth="true" style="0"/>
    <col min="24" max="24" width="17.428571428571" hidden="true" customWidth="true" style="0"/>
    <col min="25" max="25" width="17.428571428571" hidden="true" customWidth="true" style="0"/>
    <col min="26" max="26" width="17.428571428571" hidden="true" customWidth="true" style="0"/>
    <col min="27" max="27" width="17.428571428571" hidden="true" customWidth="true" style="0"/>
    <col min="28" max="28" width="17.428571428571" hidden="true" customWidth="true" style="0"/>
    <col min="29" max="29" width="17.428571428571" hidden="true" customWidth="true" style="0"/>
    <col min="30" max="30" width="17.428571428571" hidden="true" customWidth="true" style="0"/>
    <col min="31" max="31" width="17.428571428571" hidden="true" customWidth="true" style="0"/>
    <col min="32" max="32" width="17.428571428571" hidden="true" customWidth="true" style="0"/>
    <col min="33" max="33" width="17.428571428571" hidden="true" customWidth="true" style="0"/>
    <col min="34" max="34" width="17.428571428571" hidden="true" customWidth="true" style="0"/>
    <col min="35" max="35" width="17.428571428571" hidden="true" customWidth="true" style="0"/>
    <col min="36" max="36" width="17.428571428571" hidden="true" customWidth="true" style="0"/>
    <col min="37" max="37" width="17.428571428571" hidden="true" customWidth="true" style="0"/>
  </cols>
  <sheetData>
    <row r="2" spans="1:37">
      <c r="A2" s="1" t="s">
        <v>0</v>
      </c>
    </row>
    <row r="3" spans="1:37">
      <c r="A3" s="2" t="s">
        <v>152</v>
      </c>
    </row>
    <row r="4" spans="1:37">
      <c r="A4" s="2" t="s">
        <v>2</v>
      </c>
    </row>
    <row r="6" spans="1:37">
      <c r="A6" s="1" t="s">
        <v>3</v>
      </c>
    </row>
    <row r="7" spans="1:37">
      <c r="A7" s="3" t="s">
        <v>4</v>
      </c>
      <c r="B7" s="4" t="s">
        <v>5</v>
      </c>
      <c r="C7" s="5" t="s">
        <v>6</v>
      </c>
      <c r="D7" s="5" t="s">
        <v>8</v>
      </c>
      <c r="E7" s="5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7" t="s">
        <v>13</v>
      </c>
      <c r="R7" s="7" t="s">
        <v>21</v>
      </c>
      <c r="S7" s="7" t="s">
        <v>22</v>
      </c>
      <c r="T7" s="7" t="s">
        <v>23</v>
      </c>
      <c r="V7" s="6" t="s">
        <v>7</v>
      </c>
      <c r="W7" s="8" t="s">
        <v>24</v>
      </c>
      <c r="X7" s="8" t="s">
        <v>25</v>
      </c>
      <c r="Y7" s="8" t="s">
        <v>26</v>
      </c>
      <c r="Z7" s="8" t="s">
        <v>27</v>
      </c>
      <c r="AA7" s="8" t="s">
        <v>28</v>
      </c>
      <c r="AB7" s="8" t="s">
        <v>29</v>
      </c>
      <c r="AC7" s="8" t="s">
        <v>30</v>
      </c>
      <c r="AD7" s="8" t="s">
        <v>31</v>
      </c>
      <c r="AE7" s="8" t="s">
        <v>32</v>
      </c>
      <c r="AF7" s="8" t="s">
        <v>33</v>
      </c>
      <c r="AG7" s="8" t="s">
        <v>34</v>
      </c>
      <c r="AH7" s="8" t="s">
        <v>35</v>
      </c>
      <c r="AI7" s="8" t="s">
        <v>36</v>
      </c>
      <c r="AJ7" s="8" t="s">
        <v>37</v>
      </c>
      <c r="AK7" s="8" t="s">
        <v>38</v>
      </c>
    </row>
    <row r="8" spans="1:37">
      <c r="A8" s="2" t="s">
        <v>110</v>
      </c>
      <c r="B8" s="13">
        <f>IF(H8 = 0, "--", W8 / H8)</f>
        <v>684</v>
      </c>
      <c r="C8" s="14">
        <f>IF(H8 = 0, 0, Z8 / H8)</f>
        <v>1798.75</v>
      </c>
      <c r="D8" s="14">
        <f>IF(I8 = 0, 0, AA8 / I8)</f>
        <v>1800.4166666667</v>
      </c>
      <c r="E8" s="14">
        <f>IF(I8 = 0, 0, AD8 / I8)</f>
        <v>1765.6186111111</v>
      </c>
      <c r="F8" s="13">
        <f>H8 + G8</f>
        <v>24</v>
      </c>
      <c r="G8" s="13">
        <v>0.0</v>
      </c>
      <c r="H8" s="13">
        <v>24.0</v>
      </c>
      <c r="I8" s="13">
        <f>L8 + N8 + M8</f>
        <v>12</v>
      </c>
      <c r="J8" s="13">
        <f>O8 + P8</f>
        <v>12</v>
      </c>
      <c r="K8" s="13">
        <v>12.0</v>
      </c>
      <c r="L8" s="13">
        <v>11.0</v>
      </c>
      <c r="M8" s="13">
        <v>1.0</v>
      </c>
      <c r="N8" s="13">
        <v>0.0</v>
      </c>
      <c r="O8" s="13">
        <f>AE8 + AF8</f>
        <v>0</v>
      </c>
      <c r="P8" s="13">
        <f>AG8 + AH8</f>
        <v>12</v>
      </c>
      <c r="Q8" s="15">
        <f>IF(H8 = 0, "--", I8 / H8)</f>
        <v>0.5</v>
      </c>
      <c r="R8" s="15">
        <f>IF(H8 = 0, "--", AI8 / H8)</f>
        <v>0.5</v>
      </c>
      <c r="S8" s="15">
        <f>IF(H8 = 0, "--", AK8 / H8)</f>
        <v>0.5</v>
      </c>
      <c r="T8" s="15">
        <f>IF(H8 = 0, "--", AJ8 / H8)</f>
        <v>0.5</v>
      </c>
      <c r="V8" s="14">
        <f>IF(H8 = 0, 0, X8 / H8)</f>
        <v>1814.7916666667</v>
      </c>
      <c r="W8" s="13">
        <v>16416.0</v>
      </c>
      <c r="X8" s="13">
        <v>43555.0</v>
      </c>
      <c r="Y8" s="13">
        <v>23006.95</v>
      </c>
      <c r="Z8" s="13">
        <v>43170.0</v>
      </c>
      <c r="AA8" s="13">
        <v>21605.0</v>
      </c>
      <c r="AB8" s="13">
        <v>1401.95</v>
      </c>
      <c r="AC8" s="13">
        <v>21605.0</v>
      </c>
      <c r="AD8" s="13">
        <v>21187.423333333</v>
      </c>
      <c r="AE8" s="13">
        <v>0.0</v>
      </c>
      <c r="AF8" s="13">
        <v>0.0</v>
      </c>
      <c r="AG8" s="13">
        <v>9.0</v>
      </c>
      <c r="AH8" s="13">
        <v>3.0</v>
      </c>
      <c r="AI8" s="13">
        <f>L8 + M8 + O8 + N8</f>
        <v>12</v>
      </c>
      <c r="AJ8" s="13">
        <f>P8 + N8</f>
        <v>12</v>
      </c>
      <c r="AK8" s="13">
        <f>L8 + M8 + O8</f>
        <v>12</v>
      </c>
    </row>
    <row r="9" spans="1:37">
      <c r="A9" s="2" t="s">
        <v>111</v>
      </c>
      <c r="B9" s="13">
        <f>IF(H9 = 0, "--", W9 / H9)</f>
        <v>756</v>
      </c>
      <c r="C9" s="14">
        <f>IF(H9 = 0, 0, Z9 / H9)</f>
        <v>1885.75</v>
      </c>
      <c r="D9" s="14">
        <f>IF(I9 = 0, 0, AA9 / I9)</f>
        <v>1882.5</v>
      </c>
      <c r="E9" s="14">
        <f>IF(I9 = 0, 0, AD9 / I9)</f>
        <v>1847.4008472222</v>
      </c>
      <c r="F9" s="13">
        <f>H9 + G9</f>
        <v>24</v>
      </c>
      <c r="G9" s="13">
        <v>0.0</v>
      </c>
      <c r="H9" s="13">
        <v>24.0</v>
      </c>
      <c r="I9" s="13">
        <f>L9 + N9 + M9</f>
        <v>16</v>
      </c>
      <c r="J9" s="13">
        <f>O9 + P9</f>
        <v>8</v>
      </c>
      <c r="K9" s="13">
        <v>7.0</v>
      </c>
      <c r="L9" s="13">
        <v>16.0</v>
      </c>
      <c r="M9" s="13">
        <v>0.0</v>
      </c>
      <c r="N9" s="13">
        <v>0.0</v>
      </c>
      <c r="O9" s="13">
        <f>AE9 + AF9</f>
        <v>1</v>
      </c>
      <c r="P9" s="13">
        <f>AG9 + AH9</f>
        <v>7</v>
      </c>
      <c r="Q9" s="15">
        <f>IF(H9 = 0, "--", I9 / H9)</f>
        <v>0.66666666666667</v>
      </c>
      <c r="R9" s="15">
        <f>IF(H9 = 0, "--", AI9 / H9)</f>
        <v>0.70833333333333</v>
      </c>
      <c r="S9" s="15">
        <f>IF(H9 = 0, "--", AK9 / H9)</f>
        <v>0.70833333333333</v>
      </c>
      <c r="T9" s="15">
        <f>IF(H9 = 0, "--", AJ9 / H9)</f>
        <v>0.29166666666667</v>
      </c>
      <c r="V9" s="14">
        <f>IF(H9 = 0, 0, X9 / H9)</f>
        <v>1898.3333333333</v>
      </c>
      <c r="W9" s="13">
        <v>18144.0</v>
      </c>
      <c r="X9" s="13">
        <v>45560.0</v>
      </c>
      <c r="Y9" s="13">
        <v>32614.06</v>
      </c>
      <c r="Z9" s="13">
        <v>45258.0</v>
      </c>
      <c r="AA9" s="13">
        <v>30120.0</v>
      </c>
      <c r="AB9" s="13">
        <v>2494.06</v>
      </c>
      <c r="AC9" s="13">
        <v>30120.0</v>
      </c>
      <c r="AD9" s="13">
        <v>29558.413555556</v>
      </c>
      <c r="AE9" s="13">
        <v>1.0</v>
      </c>
      <c r="AF9" s="13">
        <v>0.0</v>
      </c>
      <c r="AG9" s="13">
        <v>5.0</v>
      </c>
      <c r="AH9" s="13">
        <v>2.0</v>
      </c>
      <c r="AI9" s="13">
        <f>L9 + M9 + O9 + N9</f>
        <v>17</v>
      </c>
      <c r="AJ9" s="13">
        <f>P9 + N9</f>
        <v>7</v>
      </c>
      <c r="AK9" s="13">
        <f>L9 + M9 + O9</f>
        <v>17</v>
      </c>
    </row>
    <row r="10" spans="1:37">
      <c r="A10" s="2" t="s">
        <v>112</v>
      </c>
      <c r="B10" s="13">
        <f>IF(H10 = 0, "--", W10 / H10)</f>
        <v>821</v>
      </c>
      <c r="C10" s="14">
        <f>IF(H10 = 0, 0, Z10 / H10)</f>
        <v>1955.75</v>
      </c>
      <c r="D10" s="14">
        <f>IF(I10 = 0, 0, AA10 / I10)</f>
        <v>1954.0909090909</v>
      </c>
      <c r="E10" s="14">
        <f>IF(I10 = 0, 0, AD10 / I10)</f>
        <v>1958.4227157287</v>
      </c>
      <c r="F10" s="13">
        <f>H10 + G10</f>
        <v>24</v>
      </c>
      <c r="G10" s="13">
        <v>0.0</v>
      </c>
      <c r="H10" s="13">
        <v>24.0</v>
      </c>
      <c r="I10" s="13">
        <f>L10 + N10 + M10</f>
        <v>11</v>
      </c>
      <c r="J10" s="13">
        <f>O10 + P10</f>
        <v>13</v>
      </c>
      <c r="K10" s="13">
        <v>11.0</v>
      </c>
      <c r="L10" s="13">
        <v>11.0</v>
      </c>
      <c r="M10" s="13">
        <v>0.0</v>
      </c>
      <c r="N10" s="13">
        <v>0.0</v>
      </c>
      <c r="O10" s="13">
        <f>AE10 + AF10</f>
        <v>2</v>
      </c>
      <c r="P10" s="13">
        <f>AG10 + AH10</f>
        <v>11</v>
      </c>
      <c r="Q10" s="15">
        <f>IF(H10 = 0, "--", I10 / H10)</f>
        <v>0.45833333333333</v>
      </c>
      <c r="R10" s="15">
        <f>IF(H10 = 0, "--", AI10 / H10)</f>
        <v>0.54166666666667</v>
      </c>
      <c r="S10" s="15">
        <f>IF(H10 = 0, "--", AK10 / H10)</f>
        <v>0.54166666666667</v>
      </c>
      <c r="T10" s="15">
        <f>IF(H10 = 0, "--", AJ10 / H10)</f>
        <v>0.45833333333333</v>
      </c>
      <c r="V10" s="14">
        <f>IF(H10 = 0, 0, X10 / H10)</f>
        <v>1948.75</v>
      </c>
      <c r="W10" s="13">
        <v>19704.0</v>
      </c>
      <c r="X10" s="13">
        <v>46770.0</v>
      </c>
      <c r="Y10" s="13">
        <v>22838.09</v>
      </c>
      <c r="Z10" s="13">
        <v>46938.0</v>
      </c>
      <c r="AA10" s="13">
        <v>21495.0</v>
      </c>
      <c r="AB10" s="13">
        <v>1343.09</v>
      </c>
      <c r="AC10" s="13">
        <v>21773.571428571</v>
      </c>
      <c r="AD10" s="13">
        <v>21542.649873016</v>
      </c>
      <c r="AE10" s="13">
        <v>2.0</v>
      </c>
      <c r="AF10" s="13">
        <v>0.0</v>
      </c>
      <c r="AG10" s="13">
        <v>6.0</v>
      </c>
      <c r="AH10" s="13">
        <v>5.0</v>
      </c>
      <c r="AI10" s="13">
        <f>L10 + M10 + O10 + N10</f>
        <v>13</v>
      </c>
      <c r="AJ10" s="13">
        <f>P10 + N10</f>
        <v>11</v>
      </c>
      <c r="AK10" s="13">
        <f>L10 + M10 + O10</f>
        <v>13</v>
      </c>
    </row>
    <row r="11" spans="1:37">
      <c r="A11" s="2" t="s">
        <v>102</v>
      </c>
      <c r="B11" s="13">
        <f>IF(H11 = 0, "--", W11 / H11)</f>
        <v>903</v>
      </c>
      <c r="C11" s="14">
        <f>IF(H11 = 0, 0, Z11 / H11)</f>
        <v>2086.1428571429</v>
      </c>
      <c r="D11" s="14">
        <f>IF(I11 = 0, 0, AA11 / I11)</f>
        <v>2081.25</v>
      </c>
      <c r="E11" s="14">
        <f>IF(I11 = 0, 0, AD11 / I11)</f>
        <v>2048.32525</v>
      </c>
      <c r="F11" s="13">
        <f>H11 + G11</f>
        <v>14</v>
      </c>
      <c r="G11" s="13">
        <v>0.0</v>
      </c>
      <c r="H11" s="13">
        <v>14.0</v>
      </c>
      <c r="I11" s="13">
        <f>L11 + N11 + M11</f>
        <v>8</v>
      </c>
      <c r="J11" s="13">
        <f>O11 + P11</f>
        <v>6</v>
      </c>
      <c r="K11" s="13">
        <v>5.0</v>
      </c>
      <c r="L11" s="13">
        <v>8.0</v>
      </c>
      <c r="M11" s="13">
        <v>0.0</v>
      </c>
      <c r="N11" s="13">
        <v>0.0</v>
      </c>
      <c r="O11" s="13">
        <f>AE11 + AF11</f>
        <v>1</v>
      </c>
      <c r="P11" s="13">
        <f>AG11 + AH11</f>
        <v>5</v>
      </c>
      <c r="Q11" s="15">
        <f>IF(H11 = 0, "--", I11 / H11)</f>
        <v>0.57142857142857</v>
      </c>
      <c r="R11" s="15">
        <f>IF(H11 = 0, "--", AI11 / H11)</f>
        <v>0.64285714285714</v>
      </c>
      <c r="S11" s="15">
        <f>IF(H11 = 0, "--", AK11 / H11)</f>
        <v>0.64285714285714</v>
      </c>
      <c r="T11" s="15">
        <f>IF(H11 = 0, "--", AJ11 / H11)</f>
        <v>0.35714285714286</v>
      </c>
      <c r="V11" s="14">
        <f>IF(H11 = 0, 0, X11 / H11)</f>
        <v>2078.5714285714</v>
      </c>
      <c r="W11" s="13">
        <v>12642.0</v>
      </c>
      <c r="X11" s="13">
        <v>29100.0</v>
      </c>
      <c r="Y11" s="13">
        <v>17909.3</v>
      </c>
      <c r="Z11" s="13">
        <v>29206.0</v>
      </c>
      <c r="AA11" s="13">
        <v>16650.0</v>
      </c>
      <c r="AB11" s="13">
        <v>1259.3</v>
      </c>
      <c r="AC11" s="13">
        <v>16650.0</v>
      </c>
      <c r="AD11" s="13">
        <v>16386.602</v>
      </c>
      <c r="AE11" s="13">
        <v>1.0</v>
      </c>
      <c r="AF11" s="13">
        <v>0.0</v>
      </c>
      <c r="AG11" s="13">
        <v>4.0</v>
      </c>
      <c r="AH11" s="13">
        <v>1.0</v>
      </c>
      <c r="AI11" s="13">
        <f>L11 + M11 + O11 + N11</f>
        <v>9</v>
      </c>
      <c r="AJ11" s="13">
        <f>P11 + N11</f>
        <v>5</v>
      </c>
      <c r="AK11" s="13">
        <f>L11 + M11 + O11</f>
        <v>9</v>
      </c>
    </row>
    <row r="12" spans="1:37">
      <c r="A12" s="2" t="s">
        <v>153</v>
      </c>
      <c r="B12" s="13">
        <f>IF(H12 = 0, "--", W12 / H12)</f>
        <v>950</v>
      </c>
      <c r="C12" s="14">
        <f>IF(H12 = 0, 0, Z12 / H12)</f>
        <v>2313.75</v>
      </c>
      <c r="D12" s="14">
        <f>IF(I12 = 0, 0, AA12 / I12)</f>
        <v>2300</v>
      </c>
      <c r="E12" s="14">
        <f>IF(I12 = 0, 0, AD12 / I12)</f>
        <v>2218.0908888889</v>
      </c>
      <c r="F12" s="13">
        <f>H12 + G12</f>
        <v>8</v>
      </c>
      <c r="G12" s="13">
        <v>0.0</v>
      </c>
      <c r="H12" s="13">
        <v>8.0</v>
      </c>
      <c r="I12" s="13">
        <f>L12 + N12 + M12</f>
        <v>3</v>
      </c>
      <c r="J12" s="13">
        <f>O12 + P12</f>
        <v>5</v>
      </c>
      <c r="K12" s="13">
        <v>6.0</v>
      </c>
      <c r="L12" s="13">
        <v>2.0</v>
      </c>
      <c r="M12" s="13">
        <v>0.0</v>
      </c>
      <c r="N12" s="13">
        <v>1.0</v>
      </c>
      <c r="O12" s="13">
        <f>AE12 + AF12</f>
        <v>0</v>
      </c>
      <c r="P12" s="13">
        <f>AG12 + AH12</f>
        <v>5</v>
      </c>
      <c r="Q12" s="15">
        <f>IF(H12 = 0, "--", I12 / H12)</f>
        <v>0.375</v>
      </c>
      <c r="R12" s="15">
        <f>IF(H12 = 0, "--", AI12 / H12)</f>
        <v>0.375</v>
      </c>
      <c r="S12" s="15">
        <f>IF(H12 = 0, "--", AK12 / H12)</f>
        <v>0.25</v>
      </c>
      <c r="T12" s="15">
        <f>IF(H12 = 0, "--", AJ12 / H12)</f>
        <v>0.75</v>
      </c>
      <c r="V12" s="14">
        <f>IF(H12 = 0, 0, X12 / H12)</f>
        <v>2450</v>
      </c>
      <c r="W12" s="13">
        <v>7600.0</v>
      </c>
      <c r="X12" s="13">
        <v>19600.0</v>
      </c>
      <c r="Y12" s="13">
        <v>7536.5</v>
      </c>
      <c r="Z12" s="13">
        <v>18510.0</v>
      </c>
      <c r="AA12" s="13">
        <v>6900.0</v>
      </c>
      <c r="AB12" s="13">
        <v>636.5</v>
      </c>
      <c r="AC12" s="13">
        <v>6900.0</v>
      </c>
      <c r="AD12" s="13">
        <v>6654.2726666667</v>
      </c>
      <c r="AE12" s="13">
        <v>0.0</v>
      </c>
      <c r="AF12" s="13">
        <v>0.0</v>
      </c>
      <c r="AG12" s="13">
        <v>4.0</v>
      </c>
      <c r="AH12" s="13">
        <v>1.0</v>
      </c>
      <c r="AI12" s="13">
        <f>L12 + M12 + O12 + N12</f>
        <v>3</v>
      </c>
      <c r="AJ12" s="13">
        <f>P12 + N12</f>
        <v>6</v>
      </c>
      <c r="AK12" s="13">
        <f>L12 + M12 + O12</f>
        <v>2</v>
      </c>
    </row>
    <row r="13" spans="1:37">
      <c r="A13" s="2" t="s">
        <v>115</v>
      </c>
      <c r="B13" s="13">
        <f>IF(H13 = 0, "--", W13 / H13)</f>
        <v>1202</v>
      </c>
      <c r="C13" s="14">
        <f>IF(H13 = 0, 0, Z13 / H13)</f>
        <v>2590.75</v>
      </c>
      <c r="D13" s="14">
        <f>IF(I13 = 0, 0, AA13 / I13)</f>
        <v>2561.6666666667</v>
      </c>
      <c r="E13" s="14">
        <f>IF(I13 = 0, 0, AD13 / I13)</f>
        <v>2514.3994521522</v>
      </c>
      <c r="F13" s="13">
        <f>H13 + G13</f>
        <v>32</v>
      </c>
      <c r="G13" s="13">
        <v>0.0</v>
      </c>
      <c r="H13" s="13">
        <v>32.0</v>
      </c>
      <c r="I13" s="13">
        <f>L13 + N13 + M13</f>
        <v>12</v>
      </c>
      <c r="J13" s="13">
        <f>O13 + P13</f>
        <v>20</v>
      </c>
      <c r="K13" s="13">
        <v>20.0</v>
      </c>
      <c r="L13" s="13">
        <v>11.0</v>
      </c>
      <c r="M13" s="13">
        <v>0.0</v>
      </c>
      <c r="N13" s="13">
        <v>1.0</v>
      </c>
      <c r="O13" s="13">
        <f>AE13 + AF13</f>
        <v>1</v>
      </c>
      <c r="P13" s="13">
        <f>AG13 + AH13</f>
        <v>19</v>
      </c>
      <c r="Q13" s="15">
        <f>IF(H13 = 0, "--", I13 / H13)</f>
        <v>0.375</v>
      </c>
      <c r="R13" s="15">
        <f>IF(H13 = 0, "--", AI13 / H13)</f>
        <v>0.40625</v>
      </c>
      <c r="S13" s="15">
        <f>IF(H13 = 0, "--", AK13 / H13)</f>
        <v>0.375</v>
      </c>
      <c r="T13" s="15">
        <f>IF(H13 = 0, "--", AJ13 / H13)</f>
        <v>0.625</v>
      </c>
      <c r="V13" s="14">
        <f>IF(H13 = 0, 0, X13 / H13)</f>
        <v>2564.53125</v>
      </c>
      <c r="W13" s="13">
        <v>38464.0</v>
      </c>
      <c r="X13" s="13">
        <v>82065.0</v>
      </c>
      <c r="Y13" s="13">
        <v>30244.27</v>
      </c>
      <c r="Z13" s="13">
        <v>82904.0</v>
      </c>
      <c r="AA13" s="13">
        <v>30740.0</v>
      </c>
      <c r="AB13" s="13">
        <v>-495.73</v>
      </c>
      <c r="AC13" s="13">
        <v>30396.666666667</v>
      </c>
      <c r="AD13" s="13">
        <v>30172.793425826</v>
      </c>
      <c r="AE13" s="13">
        <v>1.0</v>
      </c>
      <c r="AF13" s="13">
        <v>0.0</v>
      </c>
      <c r="AG13" s="13">
        <v>16.0</v>
      </c>
      <c r="AH13" s="13">
        <v>3.0</v>
      </c>
      <c r="AI13" s="13">
        <f>L13 + M13 + O13 + N13</f>
        <v>13</v>
      </c>
      <c r="AJ13" s="13">
        <f>P13 + N13</f>
        <v>20</v>
      </c>
      <c r="AK13" s="13">
        <f>L13 + M13 + O13</f>
        <v>12</v>
      </c>
    </row>
    <row r="14" spans="1:37">
      <c r="A14" s="2" t="s">
        <v>117</v>
      </c>
      <c r="B14" s="13">
        <f>IF(H14 = 0, "--", W14 / H14)</f>
        <v>1359</v>
      </c>
      <c r="C14" s="14">
        <f>IF(H14 = 0, 0, Z14 / H14)</f>
        <v>2801.75</v>
      </c>
      <c r="D14" s="14">
        <f>IF(I14 = 0, 0, AA14 / I14)</f>
        <v>2847.8571428571</v>
      </c>
      <c r="E14" s="14">
        <f>IF(I14 = 0, 0, AD14 / I14)</f>
        <v>2774.1525575397</v>
      </c>
      <c r="F14" s="13">
        <f>H14 + G14</f>
        <v>16</v>
      </c>
      <c r="G14" s="13">
        <v>0.0</v>
      </c>
      <c r="H14" s="13">
        <v>16.0</v>
      </c>
      <c r="I14" s="13">
        <f>L14 + N14 + M14</f>
        <v>7</v>
      </c>
      <c r="J14" s="13">
        <f>O14 + P14</f>
        <v>9</v>
      </c>
      <c r="K14" s="13">
        <v>7.0</v>
      </c>
      <c r="L14" s="13">
        <v>7.0</v>
      </c>
      <c r="M14" s="13">
        <v>0.0</v>
      </c>
      <c r="N14" s="13">
        <v>0.0</v>
      </c>
      <c r="O14" s="13">
        <f>AE14 + AF14</f>
        <v>2</v>
      </c>
      <c r="P14" s="13">
        <f>AG14 + AH14</f>
        <v>7</v>
      </c>
      <c r="Q14" s="15">
        <f>IF(H14 = 0, "--", I14 / H14)</f>
        <v>0.4375</v>
      </c>
      <c r="R14" s="15">
        <f>IF(H14 = 0, "--", AI14 / H14)</f>
        <v>0.5625</v>
      </c>
      <c r="S14" s="15">
        <f>IF(H14 = 0, "--", AK14 / H14)</f>
        <v>0.5625</v>
      </c>
      <c r="T14" s="15">
        <f>IF(H14 = 0, "--", AJ14 / H14)</f>
        <v>0.4375</v>
      </c>
      <c r="V14" s="14">
        <f>IF(H14 = 0, 0, X14 / H14)</f>
        <v>2898.75</v>
      </c>
      <c r="W14" s="13">
        <v>21744.0</v>
      </c>
      <c r="X14" s="13">
        <v>46380.0</v>
      </c>
      <c r="Y14" s="13">
        <v>21184.0</v>
      </c>
      <c r="Z14" s="13">
        <v>44828.0</v>
      </c>
      <c r="AA14" s="13">
        <v>19935.0</v>
      </c>
      <c r="AB14" s="13">
        <v>1249.0</v>
      </c>
      <c r="AC14" s="13">
        <v>19935.0</v>
      </c>
      <c r="AD14" s="13">
        <v>19419.067902778</v>
      </c>
      <c r="AE14" s="13">
        <v>2.0</v>
      </c>
      <c r="AF14" s="13">
        <v>0.0</v>
      </c>
      <c r="AG14" s="13">
        <v>5.0</v>
      </c>
      <c r="AH14" s="13">
        <v>2.0</v>
      </c>
      <c r="AI14" s="13">
        <f>L14 + M14 + O14 + N14</f>
        <v>9</v>
      </c>
      <c r="AJ14" s="13">
        <f>P14 + N14</f>
        <v>7</v>
      </c>
      <c r="AK14" s="13">
        <f>L14 + M14 + O14</f>
        <v>9</v>
      </c>
    </row>
    <row r="15" spans="1:37">
      <c r="A15" s="2" t="s">
        <v>154</v>
      </c>
      <c r="B15" s="13">
        <f>IF(H15 = 0, "--", W15 / H15)</f>
        <v>1456</v>
      </c>
      <c r="C15" s="14">
        <f>IF(H15 = 0, 0, Z15 / H15)</f>
        <v>3250</v>
      </c>
      <c r="D15" s="14">
        <f>IF(I15 = 0, 0, AA15 / I15)</f>
        <v>3250</v>
      </c>
      <c r="E15" s="14">
        <f>IF(I15 = 0, 0, AD15 / I15)</f>
        <v>3250</v>
      </c>
      <c r="F15" s="13">
        <f>H15 + G15</f>
        <v>2</v>
      </c>
      <c r="G15" s="13">
        <v>0.0</v>
      </c>
      <c r="H15" s="13">
        <v>2.0</v>
      </c>
      <c r="I15" s="13">
        <f>L15 + N15 + M15</f>
        <v>1</v>
      </c>
      <c r="J15" s="13">
        <f>O15 + P15</f>
        <v>1</v>
      </c>
      <c r="K15" s="13">
        <v>1.0</v>
      </c>
      <c r="L15" s="13">
        <v>1.0</v>
      </c>
      <c r="M15" s="13">
        <v>0.0</v>
      </c>
      <c r="N15" s="13">
        <v>0.0</v>
      </c>
      <c r="O15" s="13">
        <f>AE15 + AF15</f>
        <v>0</v>
      </c>
      <c r="P15" s="13">
        <f>AG15 + AH15</f>
        <v>1</v>
      </c>
      <c r="Q15" s="15">
        <f>IF(H15 = 0, "--", I15 / H15)</f>
        <v>0.5</v>
      </c>
      <c r="R15" s="15">
        <f>IF(H15 = 0, "--", AI15 / H15)</f>
        <v>0.5</v>
      </c>
      <c r="S15" s="15">
        <f>IF(H15 = 0, "--", AK15 / H15)</f>
        <v>0.5</v>
      </c>
      <c r="T15" s="15">
        <f>IF(H15 = 0, "--", AJ15 / H15)</f>
        <v>0.5</v>
      </c>
      <c r="V15" s="14">
        <f>IF(H15 = 0, 0, X15 / H15)</f>
        <v>3250</v>
      </c>
      <c r="W15" s="13">
        <v>2912.0</v>
      </c>
      <c r="X15" s="13">
        <v>6500.0</v>
      </c>
      <c r="Y15" s="13">
        <v>3358.0</v>
      </c>
      <c r="Z15" s="13">
        <v>6500.0</v>
      </c>
      <c r="AA15" s="13">
        <v>3250.0</v>
      </c>
      <c r="AB15" s="13">
        <v>108.0</v>
      </c>
      <c r="AC15" s="13">
        <v>3250.0</v>
      </c>
      <c r="AD15" s="13">
        <v>3250.0</v>
      </c>
      <c r="AE15" s="13">
        <v>0.0</v>
      </c>
      <c r="AF15" s="13">
        <v>0.0</v>
      </c>
      <c r="AG15" s="13">
        <v>1.0</v>
      </c>
      <c r="AH15" s="13">
        <v>0.0</v>
      </c>
      <c r="AI15" s="13">
        <f>L15 + M15 + O15 + N15</f>
        <v>1</v>
      </c>
      <c r="AJ15" s="13">
        <f>P15 + N15</f>
        <v>1</v>
      </c>
      <c r="AK15" s="13">
        <f>L15 + M15 + O15</f>
        <v>1</v>
      </c>
    </row>
    <row r="16" spans="1:37">
      <c r="A16" s="2" t="s">
        <v>155</v>
      </c>
      <c r="B16" s="13">
        <f>IF(H16 = 0, "--", W16 / H16)</f>
        <v>1620</v>
      </c>
      <c r="C16" s="14">
        <f>IF(H16 = 0, 0, Z16 / H16)</f>
        <v>3417</v>
      </c>
      <c r="D16" s="14">
        <f>IF(I16 = 0, 0, AA16 / I16)</f>
        <v>3440</v>
      </c>
      <c r="E16" s="14">
        <f>IF(I16 = 0, 0, AD16 / I16)</f>
        <v>3048.5718846154</v>
      </c>
      <c r="F16" s="13">
        <f>H16 + G16</f>
        <v>8</v>
      </c>
      <c r="G16" s="13">
        <v>0.0</v>
      </c>
      <c r="H16" s="13">
        <v>8.0</v>
      </c>
      <c r="I16" s="13">
        <f>L16 + N16 + M16</f>
        <v>5</v>
      </c>
      <c r="J16" s="13">
        <f>O16 + P16</f>
        <v>3</v>
      </c>
      <c r="K16" s="13">
        <v>0.0</v>
      </c>
      <c r="L16" s="13">
        <v>4.0</v>
      </c>
      <c r="M16" s="13">
        <v>1.0</v>
      </c>
      <c r="N16" s="13">
        <v>0.0</v>
      </c>
      <c r="O16" s="13">
        <f>AE16 + AF16</f>
        <v>3</v>
      </c>
      <c r="P16" s="13">
        <f>AG16 + AH16</f>
        <v>0</v>
      </c>
      <c r="Q16" s="15">
        <f>IF(H16 = 0, "--", I16 / H16)</f>
        <v>0.625</v>
      </c>
      <c r="R16" s="15">
        <f>IF(H16 = 0, "--", AI16 / H16)</f>
        <v>1</v>
      </c>
      <c r="S16" s="15">
        <f>IF(H16 = 0, "--", AK16 / H16)</f>
        <v>1</v>
      </c>
      <c r="T16" s="15">
        <f>IF(H16 = 0, "--", AJ16 / H16)</f>
        <v>0</v>
      </c>
      <c r="V16" s="14">
        <f>IF(H16 = 0, 0, X16 / H16)</f>
        <v>3437.5</v>
      </c>
      <c r="W16" s="13">
        <v>12960.0</v>
      </c>
      <c r="X16" s="13">
        <v>27500.0</v>
      </c>
      <c r="Y16" s="13">
        <v>14534.0</v>
      </c>
      <c r="Z16" s="13">
        <v>27336.0</v>
      </c>
      <c r="AA16" s="13">
        <v>17200.0</v>
      </c>
      <c r="AB16" s="13">
        <v>-2666.0</v>
      </c>
      <c r="AC16" s="13">
        <v>16474.615384615</v>
      </c>
      <c r="AD16" s="13">
        <v>15242.859423077</v>
      </c>
      <c r="AE16" s="13">
        <v>3.0</v>
      </c>
      <c r="AF16" s="13">
        <v>0.0</v>
      </c>
      <c r="AG16" s="13">
        <v>0.0</v>
      </c>
      <c r="AH16" s="13">
        <v>0.0</v>
      </c>
      <c r="AI16" s="13">
        <f>L16 + M16 + O16 + N16</f>
        <v>8</v>
      </c>
      <c r="AJ16" s="13">
        <f>P16 + N16</f>
        <v>0</v>
      </c>
      <c r="AK16" s="13">
        <f>L16 + M16 + O16</f>
        <v>8</v>
      </c>
    </row>
    <row r="17" spans="1:37">
      <c r="A17" s="2" t="s">
        <v>156</v>
      </c>
      <c r="B17" s="13">
        <f>IF(H17 = 0, "--", W17 / H17)</f>
        <v>1661</v>
      </c>
      <c r="C17" s="14">
        <f>IF(H17 = 0, 0, Z17 / H17)</f>
        <v>3640</v>
      </c>
      <c r="D17" s="14">
        <f>IF(I17 = 0, 0, AA17 / I17)</f>
        <v>3657.6923076923</v>
      </c>
      <c r="E17" s="14">
        <f>IF(I17 = 0, 0, AD17 / I17)</f>
        <v>3652.7730897436</v>
      </c>
      <c r="F17" s="13">
        <f>H17 + G17</f>
        <v>14</v>
      </c>
      <c r="G17" s="13">
        <v>0.0</v>
      </c>
      <c r="H17" s="13">
        <v>14.0</v>
      </c>
      <c r="I17" s="13">
        <f>L17 + N17 + M17</f>
        <v>13</v>
      </c>
      <c r="J17" s="13">
        <f>O17 + P17</f>
        <v>1</v>
      </c>
      <c r="K17" s="13">
        <v>0.0</v>
      </c>
      <c r="L17" s="13">
        <v>10.0</v>
      </c>
      <c r="M17" s="13">
        <v>3.0</v>
      </c>
      <c r="N17" s="13">
        <v>0.0</v>
      </c>
      <c r="O17" s="13">
        <f>AE17 + AF17</f>
        <v>1</v>
      </c>
      <c r="P17" s="13">
        <f>AG17 + AH17</f>
        <v>0</v>
      </c>
      <c r="Q17" s="15">
        <f>IF(H17 = 0, "--", I17 / H17)</f>
        <v>0.92857142857143</v>
      </c>
      <c r="R17" s="15">
        <f>IF(H17 = 0, "--", AI17 / H17)</f>
        <v>1</v>
      </c>
      <c r="S17" s="15">
        <f>IF(H17 = 0, "--", AK17 / H17)</f>
        <v>1</v>
      </c>
      <c r="T17" s="15">
        <f>IF(H17 = 0, "--", AJ17 / H17)</f>
        <v>0</v>
      </c>
      <c r="V17" s="14">
        <f>IF(H17 = 0, 0, X17 / H17)</f>
        <v>3650</v>
      </c>
      <c r="W17" s="13">
        <v>23254.0</v>
      </c>
      <c r="X17" s="13">
        <v>51100.0</v>
      </c>
      <c r="Y17" s="13">
        <v>49996.32</v>
      </c>
      <c r="Z17" s="13">
        <v>50960.0</v>
      </c>
      <c r="AA17" s="13">
        <v>47550.0</v>
      </c>
      <c r="AB17" s="13">
        <v>2446.32</v>
      </c>
      <c r="AC17" s="13">
        <v>47550.0</v>
      </c>
      <c r="AD17" s="13">
        <v>47486.050166667</v>
      </c>
      <c r="AE17" s="13">
        <v>1.0</v>
      </c>
      <c r="AF17" s="13">
        <v>0.0</v>
      </c>
      <c r="AG17" s="13">
        <v>0.0</v>
      </c>
      <c r="AH17" s="13">
        <v>0.0</v>
      </c>
      <c r="AI17" s="13">
        <f>L17 + M17 + O17 + N17</f>
        <v>14</v>
      </c>
      <c r="AJ17" s="13">
        <f>P17 + N17</f>
        <v>0</v>
      </c>
      <c r="AK17" s="13">
        <f>L17 + M17 + O17</f>
        <v>14</v>
      </c>
    </row>
    <row r="18" spans="1:37">
      <c r="A18" s="9" t="s">
        <v>50</v>
      </c>
      <c r="B18" s="10">
        <f>IF(H18 = 0, "--", W18 / H18)</f>
        <v>1047.2289156627</v>
      </c>
      <c r="C18" s="11">
        <f>IF(H18 = 0, 0, Z18 / H18)</f>
        <v>2383.1927710843</v>
      </c>
      <c r="D18" s="11">
        <f>IF(I18 = 0, 0, AA18 / I18)</f>
        <v>2448.2386363636</v>
      </c>
      <c r="E18" s="11">
        <f>IF(I18 = 0, 0, AD18 / I18)</f>
        <v>2396.5924130332</v>
      </c>
      <c r="F18" s="10">
        <f>H18 + G18</f>
        <v>166</v>
      </c>
      <c r="G18" s="10">
        <f>SUM(G8:G17)</f>
        <v>0</v>
      </c>
      <c r="H18" s="10">
        <f>SUM(H8:H17)</f>
        <v>166</v>
      </c>
      <c r="I18" s="10">
        <f>L18 + N18 + M18</f>
        <v>88</v>
      </c>
      <c r="J18" s="10">
        <f>O18 + P18</f>
        <v>78</v>
      </c>
      <c r="K18" s="10">
        <f>SUM(K8:K17)</f>
        <v>69</v>
      </c>
      <c r="L18" s="10">
        <f>SUM(L8:L17)</f>
        <v>81</v>
      </c>
      <c r="M18" s="10">
        <f>SUM(M8:M17)</f>
        <v>5</v>
      </c>
      <c r="N18" s="10">
        <f>SUM(N8:N17)</f>
        <v>2</v>
      </c>
      <c r="O18" s="10">
        <f>AE18 + AF18</f>
        <v>11</v>
      </c>
      <c r="P18" s="10">
        <f>AG18 + AH18</f>
        <v>67</v>
      </c>
      <c r="Q18" s="12">
        <f>IF(H18 = 0, "--", I18 / H18)</f>
        <v>0.53012048192771</v>
      </c>
      <c r="R18" s="12">
        <f>IF(H18 = 0, "--", AI18 / H18)</f>
        <v>0.59638554216867</v>
      </c>
      <c r="S18" s="12">
        <f>IF(H18 = 0, "--", AK18 / H18)</f>
        <v>0.58433734939759</v>
      </c>
      <c r="T18" s="12">
        <f>IF(H18 = 0, "--", AJ18 / H18)</f>
        <v>0.41566265060241</v>
      </c>
      <c r="V18" s="11">
        <f>IF(H18 = 0, 0, X18 / H18)</f>
        <v>2398.3734939759</v>
      </c>
      <c r="W18" s="10">
        <f>SUM(W8:W17)</f>
        <v>173840</v>
      </c>
      <c r="X18" s="10">
        <f>SUM(X8:X17)</f>
        <v>398130</v>
      </c>
      <c r="Y18" s="10">
        <f>SUM(Y8:Y17)</f>
        <v>223221.49</v>
      </c>
      <c r="Z18" s="10">
        <f>SUM(Z8:Z17)</f>
        <v>395610</v>
      </c>
      <c r="AA18" s="10">
        <f>SUM(AA8:AA17)</f>
        <v>215445</v>
      </c>
      <c r="AB18" s="10">
        <f>SUM(AB8:AB17)</f>
        <v>7776.49</v>
      </c>
      <c r="AC18" s="10">
        <f>SUM(AC8:AC17)</f>
        <v>214654.85347985</v>
      </c>
      <c r="AD18" s="10">
        <f>SUM(AD8:AD17)</f>
        <v>210900.13234692</v>
      </c>
      <c r="AE18" s="10">
        <f>SUM(AE8:AE17)</f>
        <v>11</v>
      </c>
      <c r="AF18" s="10">
        <f>SUM(AF8:AF17)</f>
        <v>0</v>
      </c>
      <c r="AG18" s="10">
        <f>SUM(AG8:AG17)</f>
        <v>50</v>
      </c>
      <c r="AH18" s="10">
        <f>SUM(AH8:AH17)</f>
        <v>17</v>
      </c>
      <c r="AI18" s="10">
        <f>L18 + M18 + O18 + N18</f>
        <v>99</v>
      </c>
      <c r="AJ18" s="10">
        <f>P18 + N18</f>
        <v>69</v>
      </c>
      <c r="AK18" s="10">
        <f>L18 + M18 + O18</f>
        <v>97</v>
      </c>
    </row>
    <row r="20" spans="1:37">
      <c r="A20" s="1" t="s">
        <v>51</v>
      </c>
    </row>
    <row r="21" spans="1:37">
      <c r="A21" s="3" t="s">
        <v>4</v>
      </c>
      <c r="B21" s="4" t="s">
        <v>10</v>
      </c>
      <c r="C21" s="4" t="s">
        <v>52</v>
      </c>
      <c r="D21" s="4" t="s">
        <v>53</v>
      </c>
      <c r="E21" s="4" t="s">
        <v>54</v>
      </c>
      <c r="F21" s="4" t="s">
        <v>55</v>
      </c>
      <c r="G21" s="4" t="s">
        <v>56</v>
      </c>
      <c r="H21" s="4" t="s">
        <v>57</v>
      </c>
      <c r="I21" s="4" t="s">
        <v>58</v>
      </c>
      <c r="J21" s="4" t="s">
        <v>60</v>
      </c>
      <c r="K21" s="4" t="s">
        <v>61</v>
      </c>
      <c r="L21" s="4" t="s">
        <v>62</v>
      </c>
      <c r="M21" s="4" t="s">
        <v>21</v>
      </c>
      <c r="V21" s="8" t="s">
        <v>59</v>
      </c>
    </row>
    <row r="22" spans="1:37">
      <c r="A22" s="2" t="s">
        <v>110</v>
      </c>
      <c r="B22" s="13">
        <v>24.0</v>
      </c>
      <c r="C22" s="13">
        <v>0.0</v>
      </c>
      <c r="D22" s="13">
        <v>0.0</v>
      </c>
      <c r="E22" s="13">
        <v>0.0</v>
      </c>
      <c r="F22" s="13">
        <v>1.0</v>
      </c>
      <c r="G22" s="13">
        <v>0.0</v>
      </c>
      <c r="H22" s="13">
        <v>0.0</v>
      </c>
      <c r="I22" s="13">
        <v>1.0</v>
      </c>
      <c r="J22" s="13">
        <v>0.0</v>
      </c>
      <c r="K22" s="13">
        <v>0.0</v>
      </c>
      <c r="L22" s="13">
        <v>0.0</v>
      </c>
      <c r="M22" s="13">
        <v>0.0</v>
      </c>
      <c r="V22" s="13">
        <v>0.0</v>
      </c>
    </row>
    <row r="23" spans="1:37">
      <c r="A23" s="2" t="s">
        <v>111</v>
      </c>
      <c r="B23" s="13">
        <v>24.0</v>
      </c>
      <c r="C23" s="13">
        <v>0.0</v>
      </c>
      <c r="D23" s="13">
        <v>0.0</v>
      </c>
      <c r="E23" s="13">
        <v>0.0</v>
      </c>
      <c r="F23" s="13">
        <v>3.0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1.0</v>
      </c>
      <c r="V23" s="13">
        <v>0.0</v>
      </c>
    </row>
    <row r="24" spans="1:37">
      <c r="A24" s="2" t="s">
        <v>112</v>
      </c>
      <c r="B24" s="13">
        <v>24.0</v>
      </c>
      <c r="C24" s="13">
        <v>1.0</v>
      </c>
      <c r="D24" s="13">
        <v>0.0</v>
      </c>
      <c r="E24" s="13">
        <v>0.0</v>
      </c>
      <c r="F24" s="13">
        <v>1.0</v>
      </c>
      <c r="G24" s="13">
        <v>0.0</v>
      </c>
      <c r="H24" s="13">
        <v>0.0</v>
      </c>
      <c r="I24" s="13">
        <v>1.0</v>
      </c>
      <c r="J24" s="13">
        <v>0.0</v>
      </c>
      <c r="K24" s="13">
        <v>0.0</v>
      </c>
      <c r="L24" s="13">
        <v>0.0</v>
      </c>
      <c r="M24" s="13">
        <v>2.0</v>
      </c>
      <c r="V24" s="13">
        <v>1.0</v>
      </c>
    </row>
    <row r="25" spans="1:37">
      <c r="A25" s="2" t="s">
        <v>102</v>
      </c>
      <c r="B25" s="13">
        <v>14.0</v>
      </c>
      <c r="C25" s="13">
        <v>1.0</v>
      </c>
      <c r="D25" s="13">
        <v>0.0</v>
      </c>
      <c r="E25" s="13">
        <v>0.0</v>
      </c>
      <c r="F25" s="13">
        <v>1.0</v>
      </c>
      <c r="G25" s="13">
        <v>1.0</v>
      </c>
      <c r="H25" s="13">
        <v>0.0</v>
      </c>
      <c r="I25" s="13">
        <v>0.0</v>
      </c>
      <c r="J25" s="13">
        <v>0.0</v>
      </c>
      <c r="K25" s="13">
        <v>0.0</v>
      </c>
      <c r="L25" s="13">
        <v>0.0</v>
      </c>
      <c r="M25" s="13">
        <v>1.0</v>
      </c>
      <c r="V25" s="13">
        <v>0.0</v>
      </c>
    </row>
    <row r="26" spans="1:37">
      <c r="A26" s="2" t="s">
        <v>153</v>
      </c>
      <c r="B26" s="13">
        <v>8.0</v>
      </c>
      <c r="C26" s="13">
        <v>0.0</v>
      </c>
      <c r="D26" s="13">
        <v>0.0</v>
      </c>
      <c r="E26" s="13">
        <v>0.0</v>
      </c>
      <c r="F26" s="13">
        <v>0.0</v>
      </c>
      <c r="G26" s="13">
        <v>0.0</v>
      </c>
      <c r="H26" s="13">
        <v>1.0</v>
      </c>
      <c r="I26" s="13">
        <v>0.0</v>
      </c>
      <c r="J26" s="13">
        <v>0.0</v>
      </c>
      <c r="K26" s="13">
        <v>0.0</v>
      </c>
      <c r="L26" s="13">
        <v>0.0</v>
      </c>
      <c r="M26" s="13">
        <v>0.0</v>
      </c>
      <c r="V26" s="13">
        <v>0.0</v>
      </c>
    </row>
    <row r="27" spans="1:37">
      <c r="A27" s="2" t="s">
        <v>115</v>
      </c>
      <c r="B27" s="13">
        <v>32.0</v>
      </c>
      <c r="C27" s="13">
        <v>1.0</v>
      </c>
      <c r="D27" s="13">
        <v>0.0</v>
      </c>
      <c r="E27" s="13">
        <v>0.0</v>
      </c>
      <c r="F27" s="13">
        <v>1.0</v>
      </c>
      <c r="G27" s="13">
        <v>0.0</v>
      </c>
      <c r="H27" s="13">
        <v>0.0</v>
      </c>
      <c r="I27" s="13">
        <v>1.0</v>
      </c>
      <c r="J27" s="13">
        <v>0.0</v>
      </c>
      <c r="K27" s="13">
        <v>0.0</v>
      </c>
      <c r="L27" s="13">
        <v>0.0</v>
      </c>
      <c r="M27" s="13">
        <v>1.0</v>
      </c>
      <c r="V27" s="13">
        <v>2.0</v>
      </c>
    </row>
    <row r="28" spans="1:37">
      <c r="A28" s="2" t="s">
        <v>117</v>
      </c>
      <c r="B28" s="13">
        <v>16.0</v>
      </c>
      <c r="C28" s="13">
        <v>0.0</v>
      </c>
      <c r="D28" s="13">
        <v>0.0</v>
      </c>
      <c r="E28" s="13">
        <v>0.0</v>
      </c>
      <c r="F28" s="13">
        <v>1.0</v>
      </c>
      <c r="G28" s="13">
        <v>0.0</v>
      </c>
      <c r="H28" s="13">
        <v>0.0</v>
      </c>
      <c r="I28" s="13">
        <v>0.0</v>
      </c>
      <c r="J28" s="13">
        <v>0.0</v>
      </c>
      <c r="K28" s="13">
        <v>0.0</v>
      </c>
      <c r="L28" s="13">
        <v>0.0</v>
      </c>
      <c r="M28" s="13">
        <v>0.0</v>
      </c>
      <c r="V28" s="13">
        <v>3.0</v>
      </c>
    </row>
    <row r="29" spans="1:37">
      <c r="A29" s="2" t="s">
        <v>154</v>
      </c>
      <c r="B29" s="13">
        <v>2.0</v>
      </c>
      <c r="C29" s="13">
        <v>0.0</v>
      </c>
      <c r="D29" s="13">
        <v>0.0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0.0</v>
      </c>
      <c r="V29" s="13">
        <v>0.0</v>
      </c>
    </row>
    <row r="30" spans="1:37">
      <c r="A30" s="2" t="s">
        <v>155</v>
      </c>
      <c r="B30" s="13">
        <v>8.0</v>
      </c>
      <c r="C30" s="13">
        <v>1.0</v>
      </c>
      <c r="D30" s="13">
        <v>0.0</v>
      </c>
      <c r="E30" s="13">
        <v>0.0</v>
      </c>
      <c r="F30" s="13">
        <v>0.0</v>
      </c>
      <c r="G30" s="13">
        <v>0.0</v>
      </c>
      <c r="H30" s="13">
        <v>1.0</v>
      </c>
      <c r="I30" s="13">
        <v>0.0</v>
      </c>
      <c r="J30" s="13">
        <v>0.0</v>
      </c>
      <c r="K30" s="13">
        <v>0.0</v>
      </c>
      <c r="L30" s="13">
        <v>0.0</v>
      </c>
      <c r="M30" s="13">
        <v>3.0</v>
      </c>
      <c r="V30" s="13">
        <v>0.0</v>
      </c>
    </row>
    <row r="31" spans="1:37">
      <c r="A31" s="2" t="s">
        <v>156</v>
      </c>
      <c r="B31" s="13">
        <v>14.0</v>
      </c>
      <c r="C31" s="13">
        <v>0.0</v>
      </c>
      <c r="D31" s="13">
        <v>0.0</v>
      </c>
      <c r="E31" s="13">
        <v>0.0</v>
      </c>
      <c r="F31" s="13">
        <v>0.0</v>
      </c>
      <c r="G31" s="13">
        <v>0.0</v>
      </c>
      <c r="H31" s="13">
        <v>2.0</v>
      </c>
      <c r="I31" s="13">
        <v>1.0</v>
      </c>
      <c r="J31" s="13">
        <v>0.0</v>
      </c>
      <c r="K31" s="13">
        <v>0.0</v>
      </c>
      <c r="L31" s="13">
        <v>0.0</v>
      </c>
      <c r="M31" s="13">
        <v>3.0</v>
      </c>
      <c r="V31" s="13">
        <v>1.0</v>
      </c>
    </row>
    <row r="32" spans="1:37">
      <c r="A32" s="9" t="s">
        <v>50</v>
      </c>
      <c r="B32" s="10">
        <f>SUM(B22:B31)</f>
        <v>166</v>
      </c>
      <c r="C32" s="10">
        <f>SUM(C22:C31)</f>
        <v>4</v>
      </c>
      <c r="D32" s="10">
        <f>SUM(D22:D31)</f>
        <v>0</v>
      </c>
      <c r="E32" s="10">
        <f>SUM(E22:E31)</f>
        <v>0</v>
      </c>
      <c r="F32" s="10">
        <f>SUM(F22:F31)</f>
        <v>8</v>
      </c>
      <c r="G32" s="10">
        <f>SUM(G22:G31)</f>
        <v>1</v>
      </c>
      <c r="H32" s="10">
        <f>SUM(H22:H31)</f>
        <v>4</v>
      </c>
      <c r="I32" s="10">
        <f>SUM(I22:I31)</f>
        <v>4</v>
      </c>
      <c r="J32" s="10">
        <f>SUM(J22:J31)</f>
        <v>0</v>
      </c>
      <c r="K32" s="10">
        <f>SUM(K22:K31)</f>
        <v>0</v>
      </c>
      <c r="L32" s="10">
        <f>SUM(L22:L31)</f>
        <v>0</v>
      </c>
      <c r="M32" s="10">
        <f>SUM(M22:M31)</f>
        <v>11</v>
      </c>
    </row>
    <row r="34" spans="1:37">
      <c r="A34" s="1" t="s">
        <v>63</v>
      </c>
    </row>
    <row r="35" spans="1:37">
      <c r="C35" s="16" t="s">
        <v>64</v>
      </c>
      <c r="K35" s="16" t="s">
        <v>65</v>
      </c>
      <c r="O35" s="16" t="s">
        <v>66</v>
      </c>
    </row>
    <row r="36" spans="1:37">
      <c r="A36" s="3" t="s">
        <v>4</v>
      </c>
      <c r="B36" s="4" t="s">
        <v>67</v>
      </c>
      <c r="C36" s="4" t="s">
        <v>68</v>
      </c>
      <c r="D36" s="4" t="s">
        <v>69</v>
      </c>
      <c r="E36" s="4" t="s">
        <v>70</v>
      </c>
      <c r="F36" s="4" t="s">
        <v>71</v>
      </c>
      <c r="G36" s="4" t="s">
        <v>72</v>
      </c>
      <c r="H36" s="4" t="s">
        <v>73</v>
      </c>
      <c r="I36" s="4" t="s">
        <v>74</v>
      </c>
      <c r="J36" s="4" t="s">
        <v>75</v>
      </c>
      <c r="K36" s="4" t="s">
        <v>76</v>
      </c>
      <c r="L36" s="4" t="s">
        <v>77</v>
      </c>
      <c r="M36" s="4" t="s">
        <v>78</v>
      </c>
      <c r="N36" s="4" t="s">
        <v>79</v>
      </c>
      <c r="O36" s="4" t="s">
        <v>80</v>
      </c>
    </row>
    <row r="37" spans="1:37">
      <c r="A37" s="2" t="s">
        <v>110</v>
      </c>
      <c r="B37" s="13">
        <v>1.0</v>
      </c>
      <c r="C37" s="13">
        <v>0.0</v>
      </c>
      <c r="D37" s="13">
        <v>0.0</v>
      </c>
      <c r="E37" s="13">
        <v>1.0</v>
      </c>
      <c r="F37" s="13">
        <v>0.0</v>
      </c>
      <c r="G37" s="13">
        <v>0.0</v>
      </c>
      <c r="H37" s="13">
        <v>0.0</v>
      </c>
      <c r="I37" s="13">
        <v>0.0</v>
      </c>
      <c r="J37" s="13">
        <v>0.0</v>
      </c>
      <c r="K37" s="13">
        <v>9.0</v>
      </c>
      <c r="L37" s="13">
        <v>9.0</v>
      </c>
      <c r="M37" s="13">
        <v>0.0</v>
      </c>
      <c r="N37" s="13">
        <v>1.0</v>
      </c>
      <c r="O37" s="13">
        <v>1.0</v>
      </c>
    </row>
    <row r="38" spans="1:37">
      <c r="A38" s="2" t="s">
        <v>111</v>
      </c>
      <c r="B38" s="13">
        <v>1.0</v>
      </c>
      <c r="C38" s="13">
        <v>0.0</v>
      </c>
      <c r="D38" s="13">
        <v>1.0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3">
        <v>0.0</v>
      </c>
      <c r="K38" s="13">
        <v>2.0</v>
      </c>
      <c r="L38" s="13">
        <v>7.0</v>
      </c>
      <c r="M38" s="13">
        <v>0.0</v>
      </c>
      <c r="N38" s="13">
        <v>1.0</v>
      </c>
      <c r="O38" s="13">
        <v>1.0</v>
      </c>
    </row>
    <row r="39" spans="1:37">
      <c r="A39" s="2" t="s">
        <v>112</v>
      </c>
      <c r="B39" s="13">
        <v>2.0</v>
      </c>
      <c r="C39" s="13">
        <v>0.0</v>
      </c>
      <c r="D39" s="13">
        <v>1.0</v>
      </c>
      <c r="E39" s="13">
        <v>0.0</v>
      </c>
      <c r="F39" s="13">
        <v>1.0</v>
      </c>
      <c r="G39" s="13">
        <v>0.0</v>
      </c>
      <c r="H39" s="13">
        <v>0.0</v>
      </c>
      <c r="I39" s="13">
        <v>0.0</v>
      </c>
      <c r="J39" s="13">
        <v>0.0</v>
      </c>
      <c r="K39" s="13">
        <v>4.0</v>
      </c>
      <c r="L39" s="13">
        <v>14.0</v>
      </c>
      <c r="M39" s="13">
        <v>0.0</v>
      </c>
      <c r="N39" s="13">
        <v>2.0</v>
      </c>
      <c r="O39" s="13">
        <v>2.0</v>
      </c>
    </row>
    <row r="40" spans="1:37">
      <c r="A40" s="2" t="s">
        <v>102</v>
      </c>
      <c r="B40" s="13">
        <v>0.0</v>
      </c>
      <c r="C40" s="13">
        <v>0.0</v>
      </c>
      <c r="D40" s="13">
        <v>0.0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  <c r="L40" s="13">
        <v>3.0</v>
      </c>
      <c r="M40" s="13">
        <v>0.0</v>
      </c>
      <c r="N40" s="13">
        <v>0.0</v>
      </c>
      <c r="O40" s="13">
        <v>0.0</v>
      </c>
    </row>
    <row r="41" spans="1:37">
      <c r="A41" s="2" t="s">
        <v>153</v>
      </c>
      <c r="B41" s="13">
        <v>0.0</v>
      </c>
      <c r="C41" s="13">
        <v>0.0</v>
      </c>
      <c r="D41" s="13">
        <v>0.0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  <c r="L41" s="13">
        <v>0.0</v>
      </c>
      <c r="M41" s="13">
        <v>0.0</v>
      </c>
      <c r="N41" s="13">
        <v>2.0</v>
      </c>
      <c r="O41" s="13">
        <v>0.0</v>
      </c>
    </row>
    <row r="42" spans="1:37">
      <c r="A42" s="2" t="s">
        <v>115</v>
      </c>
      <c r="B42" s="13">
        <v>2.0</v>
      </c>
      <c r="C42" s="13">
        <v>0.0</v>
      </c>
      <c r="D42" s="13">
        <v>2.0</v>
      </c>
      <c r="E42" s="13">
        <v>0.0</v>
      </c>
      <c r="F42" s="13">
        <v>0.0</v>
      </c>
      <c r="G42" s="13">
        <v>0.0</v>
      </c>
      <c r="H42" s="13">
        <v>0.0</v>
      </c>
      <c r="I42" s="13">
        <v>0.0</v>
      </c>
      <c r="J42" s="13">
        <v>0.0</v>
      </c>
      <c r="K42" s="13">
        <v>12.0</v>
      </c>
      <c r="L42" s="13">
        <v>21.0</v>
      </c>
      <c r="M42" s="13">
        <v>0.0</v>
      </c>
      <c r="N42" s="13">
        <v>4.0</v>
      </c>
      <c r="O42" s="13">
        <v>3.0</v>
      </c>
    </row>
    <row r="43" spans="1:37">
      <c r="A43" s="2" t="s">
        <v>117</v>
      </c>
      <c r="B43" s="13">
        <v>0.0</v>
      </c>
      <c r="C43" s="13">
        <v>0.0</v>
      </c>
      <c r="D43" s="13">
        <v>0.0</v>
      </c>
      <c r="E43" s="13">
        <v>0.0</v>
      </c>
      <c r="F43" s="13">
        <v>0.0</v>
      </c>
      <c r="G43" s="13">
        <v>0.0</v>
      </c>
      <c r="H43" s="13">
        <v>0.0</v>
      </c>
      <c r="I43" s="13">
        <v>0.0</v>
      </c>
      <c r="J43" s="13">
        <v>0.0</v>
      </c>
      <c r="K43" s="13">
        <v>3.0</v>
      </c>
      <c r="L43" s="13">
        <v>4.0</v>
      </c>
      <c r="M43" s="13">
        <v>0.0</v>
      </c>
      <c r="N43" s="13">
        <v>0.0</v>
      </c>
      <c r="O43" s="13">
        <v>0.0</v>
      </c>
    </row>
    <row r="44" spans="1:37">
      <c r="A44" s="2" t="s">
        <v>155</v>
      </c>
      <c r="B44" s="13">
        <v>2.0</v>
      </c>
      <c r="C44" s="13">
        <v>0.0</v>
      </c>
      <c r="D44" s="13">
        <v>1.0</v>
      </c>
      <c r="E44" s="13">
        <v>1.0</v>
      </c>
      <c r="F44" s="13">
        <v>0.0</v>
      </c>
      <c r="G44" s="13">
        <v>0.0</v>
      </c>
      <c r="H44" s="13">
        <v>0.0</v>
      </c>
      <c r="I44" s="13">
        <v>0.0</v>
      </c>
      <c r="J44" s="13">
        <v>0.0</v>
      </c>
      <c r="K44" s="13">
        <v>13.0</v>
      </c>
      <c r="L44" s="13">
        <v>10.0</v>
      </c>
      <c r="M44" s="13">
        <v>0.0</v>
      </c>
      <c r="N44" s="13">
        <v>3.0</v>
      </c>
      <c r="O44" s="13">
        <v>2.0</v>
      </c>
    </row>
    <row r="45" spans="1:37">
      <c r="A45" s="2" t="s">
        <v>156</v>
      </c>
      <c r="B45" s="13">
        <v>1.0</v>
      </c>
      <c r="C45" s="13">
        <v>0.0</v>
      </c>
      <c r="D45" s="13">
        <v>1.0</v>
      </c>
      <c r="E45" s="13">
        <v>0.0</v>
      </c>
      <c r="F45" s="13">
        <v>0.0</v>
      </c>
      <c r="G45" s="13">
        <v>0.0</v>
      </c>
      <c r="H45" s="13">
        <v>0.0</v>
      </c>
      <c r="I45" s="13">
        <v>0.0</v>
      </c>
      <c r="J45" s="13">
        <v>0.0</v>
      </c>
      <c r="K45" s="13">
        <v>7.0</v>
      </c>
      <c r="L45" s="13">
        <v>14.0</v>
      </c>
      <c r="M45" s="13">
        <v>0.0</v>
      </c>
      <c r="N45" s="13">
        <v>5.0</v>
      </c>
      <c r="O45" s="13">
        <v>1.0</v>
      </c>
    </row>
    <row r="46" spans="1:37">
      <c r="A46" s="2" t="s">
        <v>81</v>
      </c>
      <c r="B46" s="13">
        <v>55.0</v>
      </c>
      <c r="C46" s="13">
        <v>0.0</v>
      </c>
      <c r="D46" s="13">
        <v>17.0</v>
      </c>
      <c r="E46" s="13">
        <v>5.0</v>
      </c>
      <c r="F46" s="13">
        <v>15.0</v>
      </c>
      <c r="G46" s="13">
        <v>4.0</v>
      </c>
      <c r="H46" s="13">
        <v>0.0</v>
      </c>
      <c r="I46" s="13">
        <v>1.0</v>
      </c>
      <c r="J46" s="13">
        <v>13.0</v>
      </c>
      <c r="K46" s="13">
        <v>208.0</v>
      </c>
      <c r="L46" s="13">
        <v>339.0</v>
      </c>
      <c r="M46" s="13">
        <v>0.0</v>
      </c>
      <c r="N46" s="13">
        <v>24.0</v>
      </c>
      <c r="O46" s="13">
        <v>20.0</v>
      </c>
    </row>
    <row r="47" spans="1:37">
      <c r="A47" s="9" t="s">
        <v>50</v>
      </c>
      <c r="B47" s="10">
        <f>SUM(B37:B46)</f>
        <v>64</v>
      </c>
      <c r="C47" s="10">
        <f>SUM(C37:C46)</f>
        <v>0</v>
      </c>
      <c r="D47" s="10">
        <f>SUM(D37:D46)</f>
        <v>23</v>
      </c>
      <c r="E47" s="10">
        <f>SUM(E37:E46)</f>
        <v>7</v>
      </c>
      <c r="F47" s="10">
        <f>SUM(F37:F46)</f>
        <v>16</v>
      </c>
      <c r="G47" s="10">
        <f>SUM(G37:G46)</f>
        <v>4</v>
      </c>
      <c r="H47" s="10">
        <f>SUM(H37:H46)</f>
        <v>0</v>
      </c>
      <c r="I47" s="10">
        <f>SUM(I37:I46)</f>
        <v>1</v>
      </c>
      <c r="J47" s="10">
        <f>SUM(J37:J46)</f>
        <v>13</v>
      </c>
      <c r="K47" s="10">
        <f>SUM(K37:K46)</f>
        <v>258</v>
      </c>
      <c r="L47" s="10">
        <f>SUM(L37:L46)</f>
        <v>421</v>
      </c>
      <c r="M47" s="10">
        <f>SUM(M37:M46)</f>
        <v>0</v>
      </c>
      <c r="N47" s="10">
        <f>SUM(N37:N46)</f>
        <v>42</v>
      </c>
      <c r="O47" s="10">
        <f>SUM(O37:O46)</f>
        <v>30</v>
      </c>
    </row>
    <row r="49" spans="1:37">
      <c r="A49" s="1" t="s">
        <v>82</v>
      </c>
    </row>
    <row r="50" spans="1:37">
      <c r="B50" s="16" t="s">
        <v>83</v>
      </c>
      <c r="H50" s="16" t="s">
        <v>84</v>
      </c>
    </row>
    <row r="51" spans="1:37">
      <c r="A51" s="3" t="s">
        <v>4</v>
      </c>
      <c r="B51" s="4" t="s">
        <v>85</v>
      </c>
      <c r="C51" s="4" t="s">
        <v>86</v>
      </c>
      <c r="D51" s="4" t="s">
        <v>87</v>
      </c>
      <c r="E51" s="4" t="s">
        <v>88</v>
      </c>
      <c r="F51" s="4" t="s">
        <v>89</v>
      </c>
      <c r="G51" s="4" t="s">
        <v>90</v>
      </c>
      <c r="H51" s="4" t="s">
        <v>85</v>
      </c>
      <c r="I51" s="4" t="s">
        <v>87</v>
      </c>
      <c r="J51" s="4" t="s">
        <v>89</v>
      </c>
    </row>
    <row r="52" spans="1:37">
      <c r="A52" s="2" t="s">
        <v>110</v>
      </c>
      <c r="B52" s="13">
        <v>1.0</v>
      </c>
      <c r="C52" s="13">
        <v>0.0</v>
      </c>
      <c r="D52" s="13">
        <v>0.0</v>
      </c>
      <c r="E52" s="13">
        <v>0.0</v>
      </c>
      <c r="F52" s="13">
        <v>1.0</v>
      </c>
      <c r="G52" s="13">
        <v>0.0</v>
      </c>
      <c r="H52" s="13">
        <v>0.0</v>
      </c>
      <c r="I52" s="13">
        <v>0.0</v>
      </c>
      <c r="J52" s="13">
        <v>0.0</v>
      </c>
    </row>
    <row r="53" spans="1:37">
      <c r="A53" s="2" t="s">
        <v>111</v>
      </c>
      <c r="B53" s="13">
        <v>1.0</v>
      </c>
      <c r="C53" s="13">
        <v>0.0</v>
      </c>
      <c r="D53" s="13">
        <v>0.0</v>
      </c>
      <c r="E53" s="13">
        <v>0.0</v>
      </c>
      <c r="F53" s="13">
        <v>1.0</v>
      </c>
      <c r="G53" s="13">
        <v>0.0</v>
      </c>
      <c r="H53" s="13">
        <v>1.0</v>
      </c>
      <c r="I53" s="13">
        <v>0.0</v>
      </c>
      <c r="J53" s="13">
        <v>1.0</v>
      </c>
    </row>
    <row r="54" spans="1:37">
      <c r="A54" s="2" t="s">
        <v>112</v>
      </c>
      <c r="B54" s="13">
        <v>2.0</v>
      </c>
      <c r="C54" s="13">
        <v>0.0</v>
      </c>
      <c r="D54" s="13">
        <v>0.0</v>
      </c>
      <c r="E54" s="13">
        <v>0.0</v>
      </c>
      <c r="F54" s="13">
        <v>2.0</v>
      </c>
      <c r="G54" s="13">
        <v>0.0</v>
      </c>
      <c r="H54" s="13">
        <v>2.0</v>
      </c>
      <c r="I54" s="13">
        <v>0.0</v>
      </c>
      <c r="J54" s="13">
        <v>2.0</v>
      </c>
    </row>
    <row r="55" spans="1:37">
      <c r="A55" s="2" t="s">
        <v>115</v>
      </c>
      <c r="B55" s="13">
        <v>1.0</v>
      </c>
      <c r="C55" s="13">
        <v>0.0</v>
      </c>
      <c r="D55" s="13">
        <v>0.0</v>
      </c>
      <c r="E55" s="13">
        <v>0.0</v>
      </c>
      <c r="F55" s="13">
        <v>1.0</v>
      </c>
      <c r="G55" s="13">
        <v>0.0</v>
      </c>
      <c r="H55" s="13">
        <v>1.0</v>
      </c>
      <c r="I55" s="13">
        <v>0.0</v>
      </c>
      <c r="J55" s="13">
        <v>1.0</v>
      </c>
    </row>
    <row r="56" spans="1:37">
      <c r="A56" s="2" t="s">
        <v>155</v>
      </c>
      <c r="B56" s="13">
        <v>2.0</v>
      </c>
      <c r="C56" s="13">
        <v>0.0</v>
      </c>
      <c r="D56" s="13">
        <v>0.0</v>
      </c>
      <c r="E56" s="13">
        <v>0.0</v>
      </c>
      <c r="F56" s="13">
        <v>2.0</v>
      </c>
      <c r="G56" s="13">
        <v>0.0</v>
      </c>
      <c r="H56" s="13">
        <v>2.0</v>
      </c>
      <c r="I56" s="13">
        <v>0.0</v>
      </c>
      <c r="J56" s="13">
        <v>2.0</v>
      </c>
    </row>
    <row r="57" spans="1:37">
      <c r="A57" s="2" t="s">
        <v>156</v>
      </c>
      <c r="B57" s="13">
        <v>1.0</v>
      </c>
      <c r="C57" s="13">
        <v>0.0</v>
      </c>
      <c r="D57" s="13">
        <v>0.0</v>
      </c>
      <c r="E57" s="13">
        <v>0.0</v>
      </c>
      <c r="F57" s="13">
        <v>1.0</v>
      </c>
      <c r="G57" s="13">
        <v>0.0</v>
      </c>
      <c r="H57" s="13">
        <v>2.0</v>
      </c>
      <c r="I57" s="13">
        <v>0.0</v>
      </c>
      <c r="J57" s="13">
        <v>2.0</v>
      </c>
    </row>
    <row r="58" spans="1:37">
      <c r="A58" s="9" t="s">
        <v>50</v>
      </c>
      <c r="B58" s="10">
        <f>SUM(B52:B57)</f>
        <v>8</v>
      </c>
      <c r="C58" s="10">
        <f>SUM(C52:C57)</f>
        <v>0</v>
      </c>
      <c r="D58" s="10">
        <f>SUM(D52:D57)</f>
        <v>0</v>
      </c>
      <c r="E58" s="10">
        <f>SUM(E52:E57)</f>
        <v>0</v>
      </c>
      <c r="F58" s="10">
        <f>SUM(F52:F57)</f>
        <v>8</v>
      </c>
      <c r="G58" s="10">
        <f>SUM(G52:G57)</f>
        <v>0</v>
      </c>
      <c r="H58" s="10">
        <f>SUM(H52:H57)</f>
        <v>8</v>
      </c>
      <c r="I58" s="10">
        <f>SUM(I52:I57)</f>
        <v>0</v>
      </c>
      <c r="J58" s="10">
        <f>SUM(J52:J57)</f>
        <v>8</v>
      </c>
    </row>
    <row r="60" spans="1:37">
      <c r="A60" s="1" t="s">
        <v>91</v>
      </c>
    </row>
    <row r="61" spans="1:37">
      <c r="A61" s="3" t="s">
        <v>92</v>
      </c>
      <c r="B61" s="4" t="s">
        <v>19</v>
      </c>
      <c r="C61" s="4" t="s">
        <v>20</v>
      </c>
      <c r="D61" s="4" t="s">
        <v>93</v>
      </c>
      <c r="E61" s="7" t="s">
        <v>95</v>
      </c>
      <c r="V61" s="8" t="s">
        <v>94</v>
      </c>
    </row>
    <row r="62" spans="1:37">
      <c r="A62" s="2" t="s">
        <v>96</v>
      </c>
      <c r="B62" s="13">
        <v>11.0</v>
      </c>
      <c r="C62" s="13">
        <v>50.0</v>
      </c>
      <c r="D62" s="13">
        <f>B62 + C62</f>
        <v>61</v>
      </c>
      <c r="E62" s="15">
        <f>IF(0 = V62, 0, D62 / V62)</f>
        <v>0.78205128205128</v>
      </c>
      <c r="V62" s="13">
        <v>78.0</v>
      </c>
    </row>
    <row r="63" spans="1:37">
      <c r="A63" s="2" t="s">
        <v>97</v>
      </c>
      <c r="B63" s="13">
        <v>0.0</v>
      </c>
      <c r="C63" s="13">
        <v>17.0</v>
      </c>
      <c r="D63" s="13">
        <f>B63 + C63</f>
        <v>17</v>
      </c>
      <c r="E63" s="15">
        <f>IF(0 = V63, 0, D63 / V63)</f>
        <v>0.21794871794872</v>
      </c>
      <c r="V63" s="13">
        <v>78.0</v>
      </c>
    </row>
    <row r="64" spans="1:37">
      <c r="A64" s="9" t="s">
        <v>50</v>
      </c>
      <c r="B64" s="10">
        <f>SUM(B62:B63)</f>
        <v>11</v>
      </c>
      <c r="C64" s="10">
        <f>SUM(C62:C63)</f>
        <v>67</v>
      </c>
      <c r="D64" s="10">
        <f>SUM(D62:D63)</f>
        <v>78</v>
      </c>
    </row>
  </sheetData>
  <mergeCells>
    <mergeCell ref="A35:B35"/>
    <mergeCell ref="C35:J35"/>
    <mergeCell ref="K35:N35"/>
    <mergeCell ref="O35:O35"/>
    <mergeCell ref="A50:A50"/>
    <mergeCell ref="B50:G50"/>
    <mergeCell ref="H50:J50"/>
  </mergeCells>
  <printOptions gridLines="false" gridLinesSet="true" horizontalCentered="true"/>
  <pageMargins left="0.5" right="0.5" top="0.5" bottom="0.5" header="0.25" footer="0.25"/>
  <pageSetup paperSize="1" orientation="landscape" scale="100" fitToHeight="0" fitToWidth="1" pageOrder="downThenOver"/>
  <headerFooter differentOddEven="false" differentFirst="false" scaleWithDoc="true" alignWithMargins="true">
    <oddHeader>&amp;L 02 - RISE - Box Score</oddHeader>
    <oddFooter>&amp;L Page &amp;P of &amp;N &amp;R &amp;I Box Score 4.0 generated04/30/2026 at 11:35am EDT&amp;I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20" customWidth="true" style="0"/>
    <col min="2" max="2" width="80" customWidth="true" style="0"/>
  </cols>
  <sheetData>
    <row r="1" spans="1:2">
      <c r="A1" s="17" t="s">
        <v>157</v>
      </c>
    </row>
    <row r="2" spans="1:2">
      <c r="A2" s="17" t="s">
        <v>158</v>
      </c>
    </row>
    <row r="4" spans="1:2">
      <c r="A4" s="18" t="s">
        <v>159</v>
      </c>
      <c r="B4" s="19" t="s">
        <v>157</v>
      </c>
    </row>
    <row r="5" spans="1:2">
      <c r="A5" s="18" t="s">
        <v>160</v>
      </c>
      <c r="B5" s="19">
        <v>4.0</v>
      </c>
    </row>
    <row r="6" spans="1:2">
      <c r="A6" s="18" t="s">
        <v>161</v>
      </c>
      <c r="B6" s="19" t="s">
        <v>162</v>
      </c>
    </row>
    <row r="7" spans="1:2">
      <c r="A7" s="18" t="s">
        <v>163</v>
      </c>
      <c r="B7" s="19" t="s">
        <v>164</v>
      </c>
    </row>
    <row r="8" spans="1:2">
      <c r="A8" s="18" t="s">
        <v>165</v>
      </c>
      <c r="B8" s="19" t="s">
        <v>4</v>
      </c>
    </row>
    <row r="9" spans="1:2">
      <c r="A9" s="18" t="s">
        <v>166</v>
      </c>
      <c r="B9" s="19" t="s">
        <v>167</v>
      </c>
    </row>
    <row r="10" spans="1:2">
      <c r="A10" s="18" t="s">
        <v>168</v>
      </c>
      <c r="B10" s="19" t="s">
        <v>169</v>
      </c>
    </row>
    <row r="11" spans="1:2">
      <c r="A11" s="18" t="s">
        <v>170</v>
      </c>
      <c r="B11" s="19" t="s">
        <v>171</v>
      </c>
    </row>
    <row r="13" spans="1:2">
      <c r="A13" s="18" t="s">
        <v>172</v>
      </c>
      <c r="B13" s="19" t="s">
        <v>173</v>
      </c>
    </row>
    <row r="14" spans="1:2">
      <c r="A14" s="18" t="s">
        <v>174</v>
      </c>
      <c r="B14" s="19" t="s">
        <v>173</v>
      </c>
    </row>
  </sheetData>
  <mergeCells>
    <mergeCell ref="A1:B1"/>
    <mergeCell ref="A2: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Rise At Glen Kernan Park</vt:lpstr>
      <vt:lpstr>Rise At Nocatee</vt:lpstr>
      <vt:lpstr>Rise Bartram Park</vt:lpstr>
      <vt:lpstr>Rise Baymeadows</vt:lpstr>
      <vt:lpstr>Rise Citrus Ridge Townhomes</vt:lpstr>
      <vt:lpstr>Rise Doro</vt:lpstr>
      <vt:lpstr>Rise Florence Villa Townhomes</vt:lpstr>
      <vt:lpstr>Rise Sereno</vt:lpstr>
      <vt:lpstr>Rise St. Augustine</vt:lpstr>
      <vt:lpstr>Rise Viera</vt:lpstr>
      <vt:lpstr>Report Parameters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2026-04-30T12:47:17-06:00</dcterms:created>
  <dcterms:modified xsi:type="dcterms:W3CDTF">2026-04-30T12:47:17-06:00</dcterms:modified>
  <dc:title>Untitled Spreadsheet</dc:title>
  <dc:description/>
  <dc:subject/>
  <cp:keywords/>
  <cp:category/>
</cp:coreProperties>
</file>