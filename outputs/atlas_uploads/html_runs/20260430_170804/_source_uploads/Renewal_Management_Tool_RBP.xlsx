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cea21077-96ad-4b06-a96f-dc3e05ee4bb0/WOPIServiceId_TP_EGNYTE_PLUS/WOPIUserId_-/"/>
    </mc:Choice>
  </mc:AlternateContent>
  <xr:revisionPtr revIDLastSave="1198" documentId="8_{48A86628-314A-4F2B-8526-3992E5994988}" xr6:coauthVersionLast="47" xr6:coauthVersionMax="47" xr10:uidLastSave="{753CF1A8-2533-48A4-8DE0-D6F22263DC0D}"/>
  <bookViews>
    <workbookView xWindow="28680" yWindow="-120" windowWidth="29040" windowHeight="15720" tabRatio="500" firstSheet="2" activeTab="5" xr2:uid="{00000000-000D-0000-FFFF-FFFF00000000}"/>
  </bookViews>
  <sheets>
    <sheet name="SETUP" sheetId="1" r:id="rId1"/>
    <sheet name="March 2026" sheetId="2" r:id="rId2"/>
    <sheet name="April 2026" sheetId="4" r:id="rId3"/>
    <sheet name="May 2026" sheetId="5" r:id="rId4"/>
    <sheet name="June 2026" sheetId="6" r:id="rId5"/>
    <sheet name="July 2026" sheetId="7" r:id="rId6"/>
    <sheet name="August 2026" sheetId="8" r:id="rId7"/>
    <sheet name="September 2026" sheetId="9" r:id="rId8"/>
    <sheet name="October 2026" sheetId="10" r:id="rId9"/>
    <sheet name="November 2026" sheetId="11" r:id="rId10"/>
    <sheet name="December 2026" sheetId="12" r:id="rId11"/>
    <sheet name="TEMPLATE" sheetId="3" r:id="rId12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4" l="1"/>
  <c r="B25" i="4"/>
  <c r="G4" i="2"/>
  <c r="L11" i="4"/>
  <c r="AB11" i="4" s="1"/>
  <c r="B26" i="12"/>
  <c r="B25" i="12"/>
  <c r="B24" i="12"/>
  <c r="B23" i="12"/>
  <c r="AB19" i="12"/>
  <c r="X19" i="12"/>
  <c r="W19" i="12"/>
  <c r="V19" i="12"/>
  <c r="L19" i="12"/>
  <c r="G19" i="12"/>
  <c r="F19" i="12"/>
  <c r="E19" i="12"/>
  <c r="AB18" i="12"/>
  <c r="X18" i="12"/>
  <c r="W18" i="12"/>
  <c r="V18" i="12"/>
  <c r="L18" i="12"/>
  <c r="G18" i="12"/>
  <c r="F18" i="12"/>
  <c r="E18" i="12"/>
  <c r="AB17" i="12"/>
  <c r="X17" i="12"/>
  <c r="W17" i="12"/>
  <c r="V17" i="12"/>
  <c r="L17" i="12"/>
  <c r="G17" i="12"/>
  <c r="F17" i="12"/>
  <c r="E17" i="12"/>
  <c r="AB16" i="12"/>
  <c r="X16" i="12"/>
  <c r="W16" i="12"/>
  <c r="V16" i="12"/>
  <c r="L16" i="12"/>
  <c r="G16" i="12"/>
  <c r="F16" i="12"/>
  <c r="E16" i="12"/>
  <c r="AB15" i="12"/>
  <c r="X15" i="12"/>
  <c r="W15" i="12"/>
  <c r="V15" i="12"/>
  <c r="L15" i="12"/>
  <c r="G15" i="12"/>
  <c r="F15" i="12"/>
  <c r="E15" i="12"/>
  <c r="AB14" i="12"/>
  <c r="X14" i="12"/>
  <c r="W14" i="12"/>
  <c r="V14" i="12"/>
  <c r="L14" i="12"/>
  <c r="G14" i="12"/>
  <c r="F14" i="12"/>
  <c r="E14" i="12"/>
  <c r="AB13" i="12"/>
  <c r="X13" i="12"/>
  <c r="W13" i="12"/>
  <c r="V13" i="12"/>
  <c r="L13" i="12"/>
  <c r="G13" i="12"/>
  <c r="F13" i="12"/>
  <c r="E13" i="12"/>
  <c r="AB12" i="12"/>
  <c r="X12" i="12"/>
  <c r="W12" i="12"/>
  <c r="V12" i="12"/>
  <c r="L12" i="12"/>
  <c r="G12" i="12"/>
  <c r="F12" i="12"/>
  <c r="E12" i="12"/>
  <c r="AB11" i="12"/>
  <c r="X11" i="12"/>
  <c r="W11" i="12"/>
  <c r="V11" i="12"/>
  <c r="L11" i="12"/>
  <c r="G11" i="12"/>
  <c r="F11" i="12"/>
  <c r="E11" i="12"/>
  <c r="AB10" i="12"/>
  <c r="X10" i="12"/>
  <c r="W10" i="12"/>
  <c r="V10" i="12"/>
  <c r="L10" i="12"/>
  <c r="G10" i="12"/>
  <c r="F10" i="12"/>
  <c r="E10" i="12"/>
  <c r="AB9" i="12"/>
  <c r="X9" i="12"/>
  <c r="W9" i="12"/>
  <c r="V9" i="12"/>
  <c r="L9" i="12"/>
  <c r="G9" i="12"/>
  <c r="F9" i="12"/>
  <c r="E9" i="12"/>
  <c r="AB8" i="12"/>
  <c r="X8" i="12"/>
  <c r="W8" i="12"/>
  <c r="V8" i="12"/>
  <c r="L8" i="12"/>
  <c r="G8" i="12"/>
  <c r="F8" i="12"/>
  <c r="E8" i="12"/>
  <c r="AB7" i="12"/>
  <c r="X7" i="12"/>
  <c r="W7" i="12"/>
  <c r="V7" i="12"/>
  <c r="L7" i="12"/>
  <c r="G7" i="12"/>
  <c r="F7" i="12"/>
  <c r="E7" i="12"/>
  <c r="AB6" i="12"/>
  <c r="X6" i="12"/>
  <c r="W6" i="12"/>
  <c r="V6" i="12"/>
  <c r="L6" i="12"/>
  <c r="G6" i="12"/>
  <c r="F6" i="12"/>
  <c r="E6" i="12"/>
  <c r="AB5" i="12"/>
  <c r="X5" i="12"/>
  <c r="W5" i="12"/>
  <c r="V5" i="12"/>
  <c r="L5" i="12"/>
  <c r="G5" i="12"/>
  <c r="F5" i="12"/>
  <c r="E5" i="12"/>
  <c r="AB4" i="12"/>
  <c r="X4" i="12"/>
  <c r="W4" i="12"/>
  <c r="V4" i="12"/>
  <c r="L4" i="12"/>
  <c r="G4" i="12"/>
  <c r="F4" i="12"/>
  <c r="E4" i="12"/>
  <c r="A1" i="12"/>
  <c r="B26" i="11"/>
  <c r="B25" i="11"/>
  <c r="B24" i="11"/>
  <c r="B23" i="11"/>
  <c r="AB19" i="11"/>
  <c r="X19" i="11"/>
  <c r="W19" i="11"/>
  <c r="V19" i="11"/>
  <c r="L19" i="11"/>
  <c r="G19" i="11"/>
  <c r="F19" i="11"/>
  <c r="E19" i="11"/>
  <c r="AB18" i="11"/>
  <c r="X18" i="11"/>
  <c r="W18" i="11"/>
  <c r="V18" i="11"/>
  <c r="L18" i="11"/>
  <c r="G18" i="11"/>
  <c r="F18" i="11"/>
  <c r="E18" i="11"/>
  <c r="AB17" i="11"/>
  <c r="X17" i="11"/>
  <c r="W17" i="11"/>
  <c r="V17" i="11"/>
  <c r="L17" i="11"/>
  <c r="G17" i="11"/>
  <c r="F17" i="11"/>
  <c r="E17" i="11"/>
  <c r="AB16" i="11"/>
  <c r="X16" i="11"/>
  <c r="W16" i="11"/>
  <c r="V16" i="11"/>
  <c r="L16" i="11"/>
  <c r="G16" i="11"/>
  <c r="F16" i="11"/>
  <c r="E16" i="11"/>
  <c r="AB15" i="11"/>
  <c r="X15" i="11"/>
  <c r="W15" i="11"/>
  <c r="V15" i="11"/>
  <c r="L15" i="11"/>
  <c r="G15" i="11"/>
  <c r="F15" i="11"/>
  <c r="E15" i="11"/>
  <c r="AB14" i="11"/>
  <c r="X14" i="11"/>
  <c r="W14" i="11"/>
  <c r="V14" i="11"/>
  <c r="L14" i="11"/>
  <c r="G14" i="11"/>
  <c r="F14" i="11"/>
  <c r="E14" i="11"/>
  <c r="AB13" i="11"/>
  <c r="X13" i="11"/>
  <c r="W13" i="11"/>
  <c r="V13" i="11"/>
  <c r="L13" i="11"/>
  <c r="G13" i="11"/>
  <c r="F13" i="11"/>
  <c r="E13" i="11"/>
  <c r="AB12" i="11"/>
  <c r="X12" i="11"/>
  <c r="W12" i="11"/>
  <c r="V12" i="11"/>
  <c r="L12" i="11"/>
  <c r="G12" i="11"/>
  <c r="F12" i="11"/>
  <c r="E12" i="11"/>
  <c r="AB11" i="11"/>
  <c r="X11" i="11"/>
  <c r="W11" i="11"/>
  <c r="V11" i="11"/>
  <c r="L11" i="11"/>
  <c r="G11" i="11"/>
  <c r="F11" i="11"/>
  <c r="E11" i="11"/>
  <c r="AB10" i="11"/>
  <c r="X10" i="11"/>
  <c r="W10" i="11"/>
  <c r="V10" i="11"/>
  <c r="L10" i="11"/>
  <c r="G10" i="11"/>
  <c r="F10" i="11"/>
  <c r="E10" i="11"/>
  <c r="AB9" i="11"/>
  <c r="X9" i="11"/>
  <c r="W9" i="11"/>
  <c r="V9" i="11"/>
  <c r="L9" i="11"/>
  <c r="G9" i="11"/>
  <c r="F9" i="11"/>
  <c r="E9" i="11"/>
  <c r="AB8" i="11"/>
  <c r="X8" i="11"/>
  <c r="W8" i="11"/>
  <c r="V8" i="11"/>
  <c r="L8" i="11"/>
  <c r="G8" i="11"/>
  <c r="F8" i="11"/>
  <c r="E8" i="11"/>
  <c r="AB7" i="11"/>
  <c r="X7" i="11"/>
  <c r="W7" i="11"/>
  <c r="V7" i="11"/>
  <c r="L7" i="11"/>
  <c r="G7" i="11"/>
  <c r="F7" i="11"/>
  <c r="E7" i="11"/>
  <c r="AB6" i="11"/>
  <c r="X6" i="11"/>
  <c r="W6" i="11"/>
  <c r="V6" i="11"/>
  <c r="L6" i="11"/>
  <c r="G6" i="11"/>
  <c r="F6" i="11"/>
  <c r="E6" i="11"/>
  <c r="AB5" i="11"/>
  <c r="X5" i="11"/>
  <c r="W5" i="11"/>
  <c r="V5" i="11"/>
  <c r="L5" i="11"/>
  <c r="G5" i="11"/>
  <c r="F5" i="11"/>
  <c r="E5" i="11"/>
  <c r="AB4" i="11"/>
  <c r="X4" i="11"/>
  <c r="W4" i="11"/>
  <c r="V4" i="11"/>
  <c r="L4" i="11"/>
  <c r="G4" i="11"/>
  <c r="F4" i="11"/>
  <c r="E4" i="11"/>
  <c r="A1" i="11"/>
  <c r="B32" i="10"/>
  <c r="B31" i="10"/>
  <c r="B30" i="10"/>
  <c r="B29" i="10"/>
  <c r="AB25" i="10"/>
  <c r="X25" i="10"/>
  <c r="W25" i="10"/>
  <c r="V25" i="10"/>
  <c r="L25" i="10"/>
  <c r="G25" i="10"/>
  <c r="F25" i="10"/>
  <c r="E25" i="10"/>
  <c r="AB24" i="10"/>
  <c r="X24" i="10"/>
  <c r="W24" i="10"/>
  <c r="V24" i="10"/>
  <c r="L24" i="10"/>
  <c r="G24" i="10"/>
  <c r="F24" i="10"/>
  <c r="E24" i="10"/>
  <c r="AB23" i="10"/>
  <c r="X23" i="10"/>
  <c r="W23" i="10"/>
  <c r="V23" i="10"/>
  <c r="L23" i="10"/>
  <c r="G23" i="10"/>
  <c r="F23" i="10"/>
  <c r="E23" i="10"/>
  <c r="AB22" i="10"/>
  <c r="X22" i="10"/>
  <c r="W22" i="10"/>
  <c r="V22" i="10"/>
  <c r="L22" i="10"/>
  <c r="G22" i="10"/>
  <c r="F22" i="10"/>
  <c r="E22" i="10"/>
  <c r="AB21" i="10"/>
  <c r="X21" i="10"/>
  <c r="W21" i="10"/>
  <c r="V21" i="10"/>
  <c r="L21" i="10"/>
  <c r="G21" i="10"/>
  <c r="F21" i="10"/>
  <c r="E21" i="10"/>
  <c r="AB20" i="10"/>
  <c r="X20" i="10"/>
  <c r="W20" i="10"/>
  <c r="V20" i="10"/>
  <c r="L20" i="10"/>
  <c r="G20" i="10"/>
  <c r="F20" i="10"/>
  <c r="E20" i="10"/>
  <c r="AB19" i="10"/>
  <c r="X19" i="10"/>
  <c r="W19" i="10"/>
  <c r="V19" i="10"/>
  <c r="L19" i="10"/>
  <c r="G19" i="10"/>
  <c r="F19" i="10"/>
  <c r="E19" i="10"/>
  <c r="AB18" i="10"/>
  <c r="X18" i="10"/>
  <c r="W18" i="10"/>
  <c r="V18" i="10"/>
  <c r="L18" i="10"/>
  <c r="G18" i="10"/>
  <c r="F18" i="10"/>
  <c r="E18" i="10"/>
  <c r="AB17" i="10"/>
  <c r="X17" i="10"/>
  <c r="W17" i="10"/>
  <c r="V17" i="10"/>
  <c r="L17" i="10"/>
  <c r="G17" i="10"/>
  <c r="F17" i="10"/>
  <c r="E17" i="10"/>
  <c r="AB16" i="10"/>
  <c r="X16" i="10"/>
  <c r="W16" i="10"/>
  <c r="V16" i="10"/>
  <c r="L16" i="10"/>
  <c r="G16" i="10"/>
  <c r="F16" i="10"/>
  <c r="E16" i="10"/>
  <c r="AB15" i="10"/>
  <c r="X15" i="10"/>
  <c r="W15" i="10"/>
  <c r="V15" i="10"/>
  <c r="L15" i="10"/>
  <c r="G15" i="10"/>
  <c r="F15" i="10"/>
  <c r="E15" i="10"/>
  <c r="AB14" i="10"/>
  <c r="X14" i="10"/>
  <c r="W14" i="10"/>
  <c r="V14" i="10"/>
  <c r="L14" i="10"/>
  <c r="G14" i="10"/>
  <c r="F14" i="10"/>
  <c r="E14" i="10"/>
  <c r="AB13" i="10"/>
  <c r="X13" i="10"/>
  <c r="W13" i="10"/>
  <c r="V13" i="10"/>
  <c r="L13" i="10"/>
  <c r="G13" i="10"/>
  <c r="F13" i="10"/>
  <c r="E13" i="10"/>
  <c r="AB12" i="10"/>
  <c r="X12" i="10"/>
  <c r="W12" i="10"/>
  <c r="V12" i="10"/>
  <c r="L12" i="10"/>
  <c r="G12" i="10"/>
  <c r="F12" i="10"/>
  <c r="E12" i="10"/>
  <c r="AB11" i="10"/>
  <c r="X11" i="10"/>
  <c r="W11" i="10"/>
  <c r="V11" i="10"/>
  <c r="L11" i="10"/>
  <c r="G11" i="10"/>
  <c r="F11" i="10"/>
  <c r="E11" i="10"/>
  <c r="AB10" i="10"/>
  <c r="X10" i="10"/>
  <c r="W10" i="10"/>
  <c r="V10" i="10"/>
  <c r="L10" i="10"/>
  <c r="G10" i="10"/>
  <c r="F10" i="10"/>
  <c r="E10" i="10"/>
  <c r="AB9" i="10"/>
  <c r="X9" i="10"/>
  <c r="W9" i="10"/>
  <c r="V9" i="10"/>
  <c r="L9" i="10"/>
  <c r="G9" i="10"/>
  <c r="F9" i="10"/>
  <c r="E9" i="10"/>
  <c r="AB8" i="10"/>
  <c r="X8" i="10"/>
  <c r="W8" i="10"/>
  <c r="V8" i="10"/>
  <c r="L8" i="10"/>
  <c r="G8" i="10"/>
  <c r="F8" i="10"/>
  <c r="E8" i="10"/>
  <c r="AB7" i="10"/>
  <c r="X7" i="10"/>
  <c r="W7" i="10"/>
  <c r="V7" i="10"/>
  <c r="L7" i="10"/>
  <c r="G7" i="10"/>
  <c r="F7" i="10"/>
  <c r="E7" i="10"/>
  <c r="AB6" i="10"/>
  <c r="X6" i="10"/>
  <c r="W6" i="10"/>
  <c r="V6" i="10"/>
  <c r="L6" i="10"/>
  <c r="G6" i="10"/>
  <c r="F6" i="10"/>
  <c r="E6" i="10"/>
  <c r="AB5" i="10"/>
  <c r="X5" i="10"/>
  <c r="W5" i="10"/>
  <c r="V5" i="10"/>
  <c r="L5" i="10"/>
  <c r="G5" i="10"/>
  <c r="F5" i="10"/>
  <c r="E5" i="10"/>
  <c r="AB4" i="10"/>
  <c r="X4" i="10"/>
  <c r="W4" i="10"/>
  <c r="V4" i="10"/>
  <c r="L4" i="10"/>
  <c r="G4" i="10"/>
  <c r="F4" i="10"/>
  <c r="E4" i="10"/>
  <c r="A1" i="10"/>
  <c r="B34" i="9"/>
  <c r="B33" i="9"/>
  <c r="B32" i="9"/>
  <c r="B31" i="9"/>
  <c r="AB27" i="9"/>
  <c r="X27" i="9"/>
  <c r="W27" i="9"/>
  <c r="V27" i="9"/>
  <c r="L27" i="9"/>
  <c r="G27" i="9"/>
  <c r="F27" i="9"/>
  <c r="E27" i="9"/>
  <c r="AB26" i="9"/>
  <c r="X26" i="9"/>
  <c r="W26" i="9"/>
  <c r="V26" i="9"/>
  <c r="L26" i="9"/>
  <c r="G26" i="9"/>
  <c r="F26" i="9"/>
  <c r="E26" i="9"/>
  <c r="AB25" i="9"/>
  <c r="X25" i="9"/>
  <c r="W25" i="9"/>
  <c r="V25" i="9"/>
  <c r="L25" i="9"/>
  <c r="G25" i="9"/>
  <c r="F25" i="9"/>
  <c r="E25" i="9"/>
  <c r="AB24" i="9"/>
  <c r="X24" i="9"/>
  <c r="W24" i="9"/>
  <c r="V24" i="9"/>
  <c r="L24" i="9"/>
  <c r="G24" i="9"/>
  <c r="F24" i="9"/>
  <c r="E24" i="9"/>
  <c r="AB23" i="9"/>
  <c r="X23" i="9"/>
  <c r="W23" i="9"/>
  <c r="V23" i="9"/>
  <c r="L23" i="9"/>
  <c r="G23" i="9"/>
  <c r="F23" i="9"/>
  <c r="E23" i="9"/>
  <c r="AB22" i="9"/>
  <c r="X22" i="9"/>
  <c r="W22" i="9"/>
  <c r="V22" i="9"/>
  <c r="L22" i="9"/>
  <c r="G22" i="9"/>
  <c r="F22" i="9"/>
  <c r="E22" i="9"/>
  <c r="AB21" i="9"/>
  <c r="X21" i="9"/>
  <c r="W21" i="9"/>
  <c r="V21" i="9"/>
  <c r="L21" i="9"/>
  <c r="G21" i="9"/>
  <c r="F21" i="9"/>
  <c r="E21" i="9"/>
  <c r="AB20" i="9"/>
  <c r="X20" i="9"/>
  <c r="W20" i="9"/>
  <c r="V20" i="9"/>
  <c r="L20" i="9"/>
  <c r="G20" i="9"/>
  <c r="F20" i="9"/>
  <c r="E20" i="9"/>
  <c r="AB19" i="9"/>
  <c r="X19" i="9"/>
  <c r="W19" i="9"/>
  <c r="V19" i="9"/>
  <c r="L19" i="9"/>
  <c r="G19" i="9"/>
  <c r="F19" i="9"/>
  <c r="E19" i="9"/>
  <c r="AB18" i="9"/>
  <c r="X18" i="9"/>
  <c r="W18" i="9"/>
  <c r="V18" i="9"/>
  <c r="L18" i="9"/>
  <c r="G18" i="9"/>
  <c r="F18" i="9"/>
  <c r="E18" i="9"/>
  <c r="AB17" i="9"/>
  <c r="X17" i="9"/>
  <c r="W17" i="9"/>
  <c r="V17" i="9"/>
  <c r="L17" i="9"/>
  <c r="G17" i="9"/>
  <c r="F17" i="9"/>
  <c r="E17" i="9"/>
  <c r="AB16" i="9"/>
  <c r="X16" i="9"/>
  <c r="W16" i="9"/>
  <c r="V16" i="9"/>
  <c r="L16" i="9"/>
  <c r="G16" i="9"/>
  <c r="F16" i="9"/>
  <c r="E16" i="9"/>
  <c r="AB15" i="9"/>
  <c r="X15" i="9"/>
  <c r="W15" i="9"/>
  <c r="V15" i="9"/>
  <c r="L15" i="9"/>
  <c r="G15" i="9"/>
  <c r="F15" i="9"/>
  <c r="E15" i="9"/>
  <c r="AB14" i="9"/>
  <c r="X14" i="9"/>
  <c r="W14" i="9"/>
  <c r="V14" i="9"/>
  <c r="L14" i="9"/>
  <c r="G14" i="9"/>
  <c r="F14" i="9"/>
  <c r="E14" i="9"/>
  <c r="AB13" i="9"/>
  <c r="X13" i="9"/>
  <c r="W13" i="9"/>
  <c r="V13" i="9"/>
  <c r="L13" i="9"/>
  <c r="G13" i="9"/>
  <c r="F13" i="9"/>
  <c r="E13" i="9"/>
  <c r="AB12" i="9"/>
  <c r="X12" i="9"/>
  <c r="W12" i="9"/>
  <c r="V12" i="9"/>
  <c r="L12" i="9"/>
  <c r="G12" i="9"/>
  <c r="F12" i="9"/>
  <c r="E12" i="9"/>
  <c r="AB11" i="9"/>
  <c r="X11" i="9"/>
  <c r="W11" i="9"/>
  <c r="V11" i="9"/>
  <c r="L11" i="9"/>
  <c r="G11" i="9"/>
  <c r="F11" i="9"/>
  <c r="E11" i="9"/>
  <c r="AB10" i="9"/>
  <c r="X10" i="9"/>
  <c r="W10" i="9"/>
  <c r="V10" i="9"/>
  <c r="L10" i="9"/>
  <c r="G10" i="9"/>
  <c r="F10" i="9"/>
  <c r="E10" i="9"/>
  <c r="AB9" i="9"/>
  <c r="X9" i="9"/>
  <c r="W9" i="9"/>
  <c r="V9" i="9"/>
  <c r="L9" i="9"/>
  <c r="G9" i="9"/>
  <c r="F9" i="9"/>
  <c r="E9" i="9"/>
  <c r="AB8" i="9"/>
  <c r="X8" i="9"/>
  <c r="W8" i="9"/>
  <c r="V8" i="9"/>
  <c r="L8" i="9"/>
  <c r="G8" i="9"/>
  <c r="F8" i="9"/>
  <c r="E8" i="9"/>
  <c r="AB7" i="9"/>
  <c r="X7" i="9"/>
  <c r="W7" i="9"/>
  <c r="V7" i="9"/>
  <c r="L7" i="9"/>
  <c r="G7" i="9"/>
  <c r="F7" i="9"/>
  <c r="E7" i="9"/>
  <c r="AB6" i="9"/>
  <c r="X6" i="9"/>
  <c r="W6" i="9"/>
  <c r="V6" i="9"/>
  <c r="L6" i="9"/>
  <c r="G6" i="9"/>
  <c r="F6" i="9"/>
  <c r="E6" i="9"/>
  <c r="AB5" i="9"/>
  <c r="X5" i="9"/>
  <c r="W5" i="9"/>
  <c r="V5" i="9"/>
  <c r="L5" i="9"/>
  <c r="G5" i="9"/>
  <c r="F5" i="9"/>
  <c r="E5" i="9"/>
  <c r="AB4" i="9"/>
  <c r="X4" i="9"/>
  <c r="W4" i="9"/>
  <c r="V4" i="9"/>
  <c r="L4" i="9"/>
  <c r="G4" i="9"/>
  <c r="F4" i="9"/>
  <c r="E4" i="9"/>
  <c r="A1" i="9"/>
  <c r="B31" i="8"/>
  <c r="B30" i="8"/>
  <c r="B29" i="8"/>
  <c r="B28" i="8"/>
  <c r="AB24" i="8"/>
  <c r="X24" i="8"/>
  <c r="W24" i="8"/>
  <c r="V24" i="8"/>
  <c r="L24" i="8"/>
  <c r="G24" i="8"/>
  <c r="F24" i="8"/>
  <c r="E24" i="8"/>
  <c r="AB23" i="8"/>
  <c r="X23" i="8"/>
  <c r="W23" i="8"/>
  <c r="V23" i="8"/>
  <c r="L23" i="8"/>
  <c r="G23" i="8"/>
  <c r="F23" i="8"/>
  <c r="E23" i="8"/>
  <c r="AB22" i="8"/>
  <c r="X22" i="8"/>
  <c r="W22" i="8"/>
  <c r="V22" i="8"/>
  <c r="L22" i="8"/>
  <c r="G22" i="8"/>
  <c r="F22" i="8"/>
  <c r="E22" i="8"/>
  <c r="AB21" i="8"/>
  <c r="X21" i="8"/>
  <c r="W21" i="8"/>
  <c r="V21" i="8"/>
  <c r="L21" i="8"/>
  <c r="G21" i="8"/>
  <c r="F21" i="8"/>
  <c r="E21" i="8"/>
  <c r="AB20" i="8"/>
  <c r="X20" i="8"/>
  <c r="W20" i="8"/>
  <c r="V20" i="8"/>
  <c r="L20" i="8"/>
  <c r="G20" i="8"/>
  <c r="F20" i="8"/>
  <c r="E20" i="8"/>
  <c r="AB19" i="8"/>
  <c r="X19" i="8"/>
  <c r="W19" i="8"/>
  <c r="V19" i="8"/>
  <c r="L19" i="8"/>
  <c r="G19" i="8"/>
  <c r="F19" i="8"/>
  <c r="E19" i="8"/>
  <c r="AB18" i="8"/>
  <c r="X18" i="8"/>
  <c r="W18" i="8"/>
  <c r="V18" i="8"/>
  <c r="L18" i="8"/>
  <c r="G18" i="8"/>
  <c r="F18" i="8"/>
  <c r="E18" i="8"/>
  <c r="AB17" i="8"/>
  <c r="X17" i="8"/>
  <c r="W17" i="8"/>
  <c r="V17" i="8"/>
  <c r="L17" i="8"/>
  <c r="G17" i="8"/>
  <c r="F17" i="8"/>
  <c r="E17" i="8"/>
  <c r="AB16" i="8"/>
  <c r="X16" i="8"/>
  <c r="W16" i="8"/>
  <c r="V16" i="8"/>
  <c r="L16" i="8"/>
  <c r="G16" i="8"/>
  <c r="F16" i="8"/>
  <c r="E16" i="8"/>
  <c r="AB15" i="8"/>
  <c r="X15" i="8"/>
  <c r="W15" i="8"/>
  <c r="V15" i="8"/>
  <c r="L15" i="8"/>
  <c r="G15" i="8"/>
  <c r="F15" i="8"/>
  <c r="E15" i="8"/>
  <c r="AB14" i="8"/>
  <c r="X14" i="8"/>
  <c r="W14" i="8"/>
  <c r="V14" i="8"/>
  <c r="L14" i="8"/>
  <c r="G14" i="8"/>
  <c r="F14" i="8"/>
  <c r="E14" i="8"/>
  <c r="AB13" i="8"/>
  <c r="X13" i="8"/>
  <c r="W13" i="8"/>
  <c r="V13" i="8"/>
  <c r="L13" i="8"/>
  <c r="G13" i="8"/>
  <c r="F13" i="8"/>
  <c r="E13" i="8"/>
  <c r="AB12" i="8"/>
  <c r="X12" i="8"/>
  <c r="W12" i="8"/>
  <c r="V12" i="8"/>
  <c r="L12" i="8"/>
  <c r="G12" i="8"/>
  <c r="F12" i="8"/>
  <c r="E12" i="8"/>
  <c r="AB11" i="8"/>
  <c r="X11" i="8"/>
  <c r="W11" i="8"/>
  <c r="V11" i="8"/>
  <c r="L11" i="8"/>
  <c r="G11" i="8"/>
  <c r="F11" i="8"/>
  <c r="E11" i="8"/>
  <c r="AB10" i="8"/>
  <c r="X10" i="8"/>
  <c r="W10" i="8"/>
  <c r="V10" i="8"/>
  <c r="L10" i="8"/>
  <c r="G10" i="8"/>
  <c r="F10" i="8"/>
  <c r="E10" i="8"/>
  <c r="AB9" i="8"/>
  <c r="X9" i="8"/>
  <c r="W9" i="8"/>
  <c r="V9" i="8"/>
  <c r="L9" i="8"/>
  <c r="G9" i="8"/>
  <c r="F9" i="8"/>
  <c r="E9" i="8"/>
  <c r="AB8" i="8"/>
  <c r="X8" i="8"/>
  <c r="W8" i="8"/>
  <c r="V8" i="8"/>
  <c r="L8" i="8"/>
  <c r="G8" i="8"/>
  <c r="F8" i="8"/>
  <c r="E8" i="8"/>
  <c r="AB7" i="8"/>
  <c r="X7" i="8"/>
  <c r="W7" i="8"/>
  <c r="V7" i="8"/>
  <c r="L7" i="8"/>
  <c r="G7" i="8"/>
  <c r="F7" i="8"/>
  <c r="E7" i="8"/>
  <c r="AB6" i="8"/>
  <c r="X6" i="8"/>
  <c r="W6" i="8"/>
  <c r="V6" i="8"/>
  <c r="L6" i="8"/>
  <c r="G6" i="8"/>
  <c r="F6" i="8"/>
  <c r="E6" i="8"/>
  <c r="AB5" i="8"/>
  <c r="X5" i="8"/>
  <c r="W5" i="8"/>
  <c r="V5" i="8"/>
  <c r="L5" i="8"/>
  <c r="G5" i="8"/>
  <c r="F5" i="8"/>
  <c r="E5" i="8"/>
  <c r="AB4" i="8"/>
  <c r="X4" i="8"/>
  <c r="W4" i="8"/>
  <c r="V4" i="8"/>
  <c r="L4" i="8"/>
  <c r="G4" i="8"/>
  <c r="F4" i="8"/>
  <c r="E4" i="8"/>
  <c r="A1" i="8"/>
  <c r="B32" i="7"/>
  <c r="B31" i="7"/>
  <c r="B30" i="7"/>
  <c r="B29" i="7"/>
  <c r="X25" i="7"/>
  <c r="W25" i="7"/>
  <c r="V25" i="7"/>
  <c r="AB25" i="7"/>
  <c r="G25" i="7"/>
  <c r="F25" i="7"/>
  <c r="E25" i="7"/>
  <c r="X24" i="7"/>
  <c r="W24" i="7"/>
  <c r="V24" i="7"/>
  <c r="AB24" i="7"/>
  <c r="G24" i="7"/>
  <c r="F24" i="7"/>
  <c r="E24" i="7"/>
  <c r="AB23" i="7"/>
  <c r="X23" i="7"/>
  <c r="W23" i="7"/>
  <c r="V23" i="7"/>
  <c r="G23" i="7"/>
  <c r="F23" i="7"/>
  <c r="E23" i="7"/>
  <c r="AB22" i="7"/>
  <c r="X22" i="7"/>
  <c r="W22" i="7"/>
  <c r="V22" i="7"/>
  <c r="L22" i="7"/>
  <c r="G22" i="7"/>
  <c r="F22" i="7"/>
  <c r="E22" i="7"/>
  <c r="X21" i="7"/>
  <c r="W21" i="7"/>
  <c r="V21" i="7"/>
  <c r="AB21" i="7"/>
  <c r="G21" i="7"/>
  <c r="F21" i="7"/>
  <c r="E21" i="7"/>
  <c r="AB20" i="7"/>
  <c r="X20" i="7"/>
  <c r="W20" i="7"/>
  <c r="V20" i="7"/>
  <c r="L20" i="7"/>
  <c r="G20" i="7"/>
  <c r="F20" i="7"/>
  <c r="E20" i="7"/>
  <c r="AB19" i="7"/>
  <c r="X19" i="7"/>
  <c r="W19" i="7"/>
  <c r="V19" i="7"/>
  <c r="G19" i="7"/>
  <c r="F19" i="7"/>
  <c r="E19" i="7"/>
  <c r="AB18" i="7"/>
  <c r="X18" i="7"/>
  <c r="W18" i="7"/>
  <c r="V18" i="7"/>
  <c r="L18" i="7"/>
  <c r="G18" i="7"/>
  <c r="F18" i="7"/>
  <c r="E18" i="7"/>
  <c r="AB17" i="7"/>
  <c r="X17" i="7"/>
  <c r="W17" i="7"/>
  <c r="V17" i="7"/>
  <c r="G17" i="7"/>
  <c r="F17" i="7"/>
  <c r="E17" i="7"/>
  <c r="AB16" i="7"/>
  <c r="X16" i="7"/>
  <c r="W16" i="7"/>
  <c r="V16" i="7"/>
  <c r="L16" i="7"/>
  <c r="G16" i="7"/>
  <c r="F16" i="7"/>
  <c r="E16" i="7"/>
  <c r="AB15" i="7"/>
  <c r="X15" i="7"/>
  <c r="W15" i="7"/>
  <c r="V15" i="7"/>
  <c r="L15" i="7"/>
  <c r="G15" i="7"/>
  <c r="F15" i="7"/>
  <c r="E15" i="7"/>
  <c r="AB14" i="7"/>
  <c r="X14" i="7"/>
  <c r="W14" i="7"/>
  <c r="V14" i="7"/>
  <c r="L14" i="7"/>
  <c r="G14" i="7"/>
  <c r="F14" i="7"/>
  <c r="E14" i="7"/>
  <c r="AB13" i="7"/>
  <c r="X13" i="7"/>
  <c r="W13" i="7"/>
  <c r="V13" i="7"/>
  <c r="L13" i="7"/>
  <c r="G13" i="7"/>
  <c r="F13" i="7"/>
  <c r="E13" i="7"/>
  <c r="AB12" i="7"/>
  <c r="X12" i="7"/>
  <c r="W12" i="7"/>
  <c r="V12" i="7"/>
  <c r="L12" i="7"/>
  <c r="G12" i="7"/>
  <c r="F12" i="7"/>
  <c r="E12" i="7"/>
  <c r="AB11" i="7"/>
  <c r="X11" i="7"/>
  <c r="W11" i="7"/>
  <c r="V11" i="7"/>
  <c r="L11" i="7"/>
  <c r="G11" i="7"/>
  <c r="F11" i="7"/>
  <c r="E11" i="7"/>
  <c r="X10" i="7"/>
  <c r="W10" i="7"/>
  <c r="V10" i="7"/>
  <c r="L10" i="7"/>
  <c r="AB10" i="7" s="1"/>
  <c r="G10" i="7"/>
  <c r="F10" i="7"/>
  <c r="E10" i="7"/>
  <c r="X9" i="7"/>
  <c r="W9" i="7"/>
  <c r="V9" i="7"/>
  <c r="AB9" i="7"/>
  <c r="G9" i="7"/>
  <c r="F9" i="7"/>
  <c r="E9" i="7"/>
  <c r="AB8" i="7"/>
  <c r="X8" i="7"/>
  <c r="W8" i="7"/>
  <c r="V8" i="7"/>
  <c r="L8" i="7"/>
  <c r="G8" i="7"/>
  <c r="F8" i="7"/>
  <c r="E8" i="7"/>
  <c r="X7" i="7"/>
  <c r="W7" i="7"/>
  <c r="V7" i="7"/>
  <c r="AB7" i="7"/>
  <c r="G7" i="7"/>
  <c r="F7" i="7"/>
  <c r="E7" i="7"/>
  <c r="X6" i="7"/>
  <c r="W6" i="7"/>
  <c r="V6" i="7"/>
  <c r="G6" i="7"/>
  <c r="F6" i="7"/>
  <c r="E6" i="7"/>
  <c r="X5" i="7"/>
  <c r="W5" i="7"/>
  <c r="V5" i="7"/>
  <c r="L5" i="7"/>
  <c r="AB5" i="7" s="1"/>
  <c r="G5" i="7"/>
  <c r="F5" i="7"/>
  <c r="E5" i="7"/>
  <c r="AB4" i="7"/>
  <c r="X4" i="7"/>
  <c r="W4" i="7"/>
  <c r="V4" i="7"/>
  <c r="L4" i="7"/>
  <c r="G4" i="7"/>
  <c r="F4" i="7"/>
  <c r="E4" i="7"/>
  <c r="A1" i="7"/>
  <c r="B34" i="6"/>
  <c r="B33" i="6"/>
  <c r="B32" i="6"/>
  <c r="B31" i="6"/>
  <c r="AB27" i="6"/>
  <c r="X27" i="6"/>
  <c r="W27" i="6"/>
  <c r="V27" i="6"/>
  <c r="L27" i="6"/>
  <c r="G27" i="6"/>
  <c r="F27" i="6"/>
  <c r="E27" i="6"/>
  <c r="AB26" i="6"/>
  <c r="X26" i="6"/>
  <c r="W26" i="6"/>
  <c r="V26" i="6"/>
  <c r="L26" i="6"/>
  <c r="G26" i="6"/>
  <c r="F26" i="6"/>
  <c r="E26" i="6"/>
  <c r="AB25" i="6"/>
  <c r="X25" i="6"/>
  <c r="W25" i="6"/>
  <c r="V25" i="6"/>
  <c r="L25" i="6"/>
  <c r="G25" i="6"/>
  <c r="F25" i="6"/>
  <c r="E25" i="6"/>
  <c r="AB24" i="6"/>
  <c r="X24" i="6"/>
  <c r="W24" i="6"/>
  <c r="V24" i="6"/>
  <c r="L24" i="6"/>
  <c r="G24" i="6"/>
  <c r="F24" i="6"/>
  <c r="E24" i="6"/>
  <c r="X23" i="6"/>
  <c r="W23" i="6"/>
  <c r="V23" i="6"/>
  <c r="L23" i="6"/>
  <c r="AB23" i="6" s="1"/>
  <c r="G23" i="6"/>
  <c r="F23" i="6"/>
  <c r="E23" i="6"/>
  <c r="AB22" i="6"/>
  <c r="X22" i="6"/>
  <c r="W22" i="6"/>
  <c r="V22" i="6"/>
  <c r="L22" i="6"/>
  <c r="G22" i="6"/>
  <c r="F22" i="6"/>
  <c r="E22" i="6"/>
  <c r="AB21" i="6"/>
  <c r="X21" i="6"/>
  <c r="W21" i="6"/>
  <c r="V21" i="6"/>
  <c r="L21" i="6"/>
  <c r="G21" i="6"/>
  <c r="F21" i="6"/>
  <c r="E21" i="6"/>
  <c r="AB20" i="6"/>
  <c r="X20" i="6"/>
  <c r="W20" i="6"/>
  <c r="V20" i="6"/>
  <c r="L20" i="6"/>
  <c r="G20" i="6"/>
  <c r="F20" i="6"/>
  <c r="E20" i="6"/>
  <c r="AB19" i="6"/>
  <c r="X19" i="6"/>
  <c r="W19" i="6"/>
  <c r="V19" i="6"/>
  <c r="L19" i="6"/>
  <c r="G19" i="6"/>
  <c r="F19" i="6"/>
  <c r="E19" i="6"/>
  <c r="AB18" i="6"/>
  <c r="X18" i="6"/>
  <c r="W18" i="6"/>
  <c r="V18" i="6"/>
  <c r="L18" i="6"/>
  <c r="G18" i="6"/>
  <c r="F18" i="6"/>
  <c r="E18" i="6"/>
  <c r="AB17" i="6"/>
  <c r="X17" i="6"/>
  <c r="W17" i="6"/>
  <c r="V17" i="6"/>
  <c r="L17" i="6"/>
  <c r="G17" i="6"/>
  <c r="F17" i="6"/>
  <c r="E17" i="6"/>
  <c r="AB16" i="6"/>
  <c r="X16" i="6"/>
  <c r="W16" i="6"/>
  <c r="V16" i="6"/>
  <c r="L16" i="6"/>
  <c r="G16" i="6"/>
  <c r="F16" i="6"/>
  <c r="E16" i="6"/>
  <c r="AB15" i="6"/>
  <c r="X15" i="6"/>
  <c r="W15" i="6"/>
  <c r="V15" i="6"/>
  <c r="L15" i="6"/>
  <c r="G15" i="6"/>
  <c r="F15" i="6"/>
  <c r="E15" i="6"/>
  <c r="X14" i="6"/>
  <c r="W14" i="6"/>
  <c r="V14" i="6"/>
  <c r="L14" i="6"/>
  <c r="AB14" i="6" s="1"/>
  <c r="G14" i="6"/>
  <c r="F14" i="6"/>
  <c r="E14" i="6"/>
  <c r="AB13" i="6"/>
  <c r="X13" i="6"/>
  <c r="W13" i="6"/>
  <c r="V13" i="6"/>
  <c r="L13" i="6"/>
  <c r="G13" i="6"/>
  <c r="F13" i="6"/>
  <c r="E13" i="6"/>
  <c r="AB12" i="6"/>
  <c r="X12" i="6"/>
  <c r="W12" i="6"/>
  <c r="V12" i="6"/>
  <c r="L12" i="6"/>
  <c r="G12" i="6"/>
  <c r="F12" i="6"/>
  <c r="E12" i="6"/>
  <c r="AB11" i="6"/>
  <c r="X11" i="6"/>
  <c r="W11" i="6"/>
  <c r="V11" i="6"/>
  <c r="L11" i="6"/>
  <c r="G11" i="6"/>
  <c r="F11" i="6"/>
  <c r="E11" i="6"/>
  <c r="AB10" i="6"/>
  <c r="X10" i="6"/>
  <c r="W10" i="6"/>
  <c r="V10" i="6"/>
  <c r="L10" i="6"/>
  <c r="G10" i="6"/>
  <c r="F10" i="6"/>
  <c r="E10" i="6"/>
  <c r="X9" i="6"/>
  <c r="W9" i="6"/>
  <c r="V9" i="6"/>
  <c r="L9" i="6"/>
  <c r="AB9" i="6" s="1"/>
  <c r="G9" i="6"/>
  <c r="F9" i="6"/>
  <c r="E9" i="6"/>
  <c r="X8" i="6"/>
  <c r="W8" i="6"/>
  <c r="V8" i="6"/>
  <c r="L8" i="6"/>
  <c r="AB8" i="6" s="1"/>
  <c r="G8" i="6"/>
  <c r="F8" i="6"/>
  <c r="E8" i="6"/>
  <c r="X7" i="6"/>
  <c r="W7" i="6"/>
  <c r="V7" i="6"/>
  <c r="L7" i="6"/>
  <c r="AB7" i="6" s="1"/>
  <c r="G7" i="6"/>
  <c r="F7" i="6"/>
  <c r="E7" i="6"/>
  <c r="AB6" i="6"/>
  <c r="X6" i="6"/>
  <c r="W6" i="6"/>
  <c r="V6" i="6"/>
  <c r="L6" i="6"/>
  <c r="G6" i="6"/>
  <c r="F6" i="6"/>
  <c r="E6" i="6"/>
  <c r="AB5" i="6"/>
  <c r="X5" i="6"/>
  <c r="W5" i="6"/>
  <c r="V5" i="6"/>
  <c r="L5" i="6"/>
  <c r="G5" i="6"/>
  <c r="F5" i="6"/>
  <c r="E5" i="6"/>
  <c r="X4" i="6"/>
  <c r="W4" i="6"/>
  <c r="V4" i="6"/>
  <c r="L4" i="6"/>
  <c r="AB4" i="6" s="1"/>
  <c r="G4" i="6"/>
  <c r="F4" i="6"/>
  <c r="E4" i="6"/>
  <c r="A1" i="6"/>
  <c r="B26" i="5"/>
  <c r="B25" i="5"/>
  <c r="B24" i="5"/>
  <c r="B23" i="5"/>
  <c r="X19" i="5"/>
  <c r="W19" i="5"/>
  <c r="V19" i="5"/>
  <c r="L19" i="5"/>
  <c r="AB19" i="5" s="1"/>
  <c r="G19" i="5"/>
  <c r="F19" i="5"/>
  <c r="E19" i="5"/>
  <c r="X18" i="5"/>
  <c r="W18" i="5"/>
  <c r="V18" i="5"/>
  <c r="L18" i="5"/>
  <c r="AB18" i="5" s="1"/>
  <c r="G18" i="5"/>
  <c r="F18" i="5"/>
  <c r="E18" i="5"/>
  <c r="AB17" i="5"/>
  <c r="X17" i="5"/>
  <c r="W17" i="5"/>
  <c r="V17" i="5"/>
  <c r="O17" i="5"/>
  <c r="AA17" i="5" s="1"/>
  <c r="N17" i="5"/>
  <c r="Z17" i="5" s="1"/>
  <c r="M17" i="5"/>
  <c r="Y17" i="5" s="1"/>
  <c r="L17" i="5"/>
  <c r="J17" i="5"/>
  <c r="G17" i="5"/>
  <c r="F17" i="5"/>
  <c r="E17" i="5"/>
  <c r="X16" i="5"/>
  <c r="W16" i="5"/>
  <c r="V16" i="5"/>
  <c r="L16" i="5"/>
  <c r="AB16" i="5" s="1"/>
  <c r="G16" i="5"/>
  <c r="F16" i="5"/>
  <c r="E16" i="5"/>
  <c r="AB15" i="5"/>
  <c r="X15" i="5"/>
  <c r="W15" i="5"/>
  <c r="V15" i="5"/>
  <c r="L15" i="5"/>
  <c r="G15" i="5"/>
  <c r="F15" i="5"/>
  <c r="E15" i="5"/>
  <c r="AB14" i="5"/>
  <c r="X14" i="5"/>
  <c r="W14" i="5"/>
  <c r="V14" i="5"/>
  <c r="L14" i="5"/>
  <c r="G14" i="5"/>
  <c r="F14" i="5"/>
  <c r="E14" i="5"/>
  <c r="AB13" i="5"/>
  <c r="X13" i="5"/>
  <c r="W13" i="5"/>
  <c r="V13" i="5"/>
  <c r="O13" i="5"/>
  <c r="AA13" i="5" s="1"/>
  <c r="N13" i="5"/>
  <c r="Z13" i="5" s="1"/>
  <c r="M13" i="5"/>
  <c r="Y13" i="5" s="1"/>
  <c r="L13" i="5"/>
  <c r="J13" i="5"/>
  <c r="G13" i="5"/>
  <c r="F13" i="5"/>
  <c r="E13" i="5"/>
  <c r="X12" i="5"/>
  <c r="W12" i="5"/>
  <c r="V12" i="5"/>
  <c r="L12" i="5"/>
  <c r="AB12" i="5" s="1"/>
  <c r="G12" i="5"/>
  <c r="F12" i="5"/>
  <c r="E12" i="5"/>
  <c r="X11" i="5"/>
  <c r="W11" i="5"/>
  <c r="V11" i="5"/>
  <c r="L11" i="5"/>
  <c r="AB11" i="5" s="1"/>
  <c r="G11" i="5"/>
  <c r="F11" i="5"/>
  <c r="E11" i="5"/>
  <c r="X10" i="5"/>
  <c r="W10" i="5"/>
  <c r="V10" i="5"/>
  <c r="L10" i="5"/>
  <c r="AB10" i="5" s="1"/>
  <c r="G10" i="5"/>
  <c r="F10" i="5"/>
  <c r="E10" i="5"/>
  <c r="X9" i="5"/>
  <c r="W9" i="5"/>
  <c r="V9" i="5"/>
  <c r="L9" i="5"/>
  <c r="AB9" i="5" s="1"/>
  <c r="G9" i="5"/>
  <c r="F9" i="5"/>
  <c r="E9" i="5"/>
  <c r="X8" i="5"/>
  <c r="W8" i="5"/>
  <c r="V8" i="5"/>
  <c r="L8" i="5"/>
  <c r="AB8" i="5" s="1"/>
  <c r="G8" i="5"/>
  <c r="F8" i="5"/>
  <c r="E8" i="5"/>
  <c r="X7" i="5"/>
  <c r="W7" i="5"/>
  <c r="V7" i="5"/>
  <c r="L7" i="5"/>
  <c r="AB7" i="5" s="1"/>
  <c r="G7" i="5"/>
  <c r="F7" i="5"/>
  <c r="E7" i="5"/>
  <c r="AB6" i="5"/>
  <c r="X6" i="5"/>
  <c r="W6" i="5"/>
  <c r="V6" i="5"/>
  <c r="L6" i="5"/>
  <c r="G6" i="5"/>
  <c r="F6" i="5"/>
  <c r="E6" i="5"/>
  <c r="X5" i="5"/>
  <c r="W5" i="5"/>
  <c r="V5" i="5"/>
  <c r="L5" i="5"/>
  <c r="AB5" i="5" s="1"/>
  <c r="G5" i="5"/>
  <c r="F5" i="5"/>
  <c r="E5" i="5"/>
  <c r="X4" i="5"/>
  <c r="W4" i="5"/>
  <c r="V4" i="5"/>
  <c r="L4" i="5"/>
  <c r="AB4" i="5" s="1"/>
  <c r="G4" i="5"/>
  <c r="F4" i="5"/>
  <c r="E4" i="5"/>
  <c r="A1" i="5"/>
  <c r="B24" i="4"/>
  <c r="B23" i="4"/>
  <c r="AB19" i="4"/>
  <c r="X19" i="4"/>
  <c r="W19" i="4"/>
  <c r="V19" i="4"/>
  <c r="L19" i="4"/>
  <c r="G19" i="4"/>
  <c r="F19" i="4"/>
  <c r="E19" i="4"/>
  <c r="AB18" i="4"/>
  <c r="X18" i="4"/>
  <c r="W18" i="4"/>
  <c r="V18" i="4"/>
  <c r="L18" i="4"/>
  <c r="G18" i="4"/>
  <c r="F18" i="4"/>
  <c r="E18" i="4"/>
  <c r="AB17" i="4"/>
  <c r="X17" i="4"/>
  <c r="W17" i="4"/>
  <c r="V17" i="4"/>
  <c r="L17" i="4"/>
  <c r="G17" i="4"/>
  <c r="F17" i="4"/>
  <c r="E17" i="4"/>
  <c r="X16" i="4"/>
  <c r="W16" i="4"/>
  <c r="V16" i="4"/>
  <c r="L16" i="4"/>
  <c r="AB16" i="4" s="1"/>
  <c r="G16" i="4"/>
  <c r="F16" i="4"/>
  <c r="E16" i="4"/>
  <c r="X15" i="4"/>
  <c r="W15" i="4"/>
  <c r="V15" i="4"/>
  <c r="L15" i="4"/>
  <c r="AB15" i="4" s="1"/>
  <c r="G15" i="4"/>
  <c r="F15" i="4"/>
  <c r="E15" i="4"/>
  <c r="AB14" i="4"/>
  <c r="X14" i="4"/>
  <c r="W14" i="4"/>
  <c r="V14" i="4"/>
  <c r="G14" i="4"/>
  <c r="F14" i="4"/>
  <c r="E14" i="4"/>
  <c r="X13" i="4"/>
  <c r="W13" i="4"/>
  <c r="V13" i="4"/>
  <c r="L13" i="4"/>
  <c r="AB13" i="4" s="1"/>
  <c r="G13" i="4"/>
  <c r="F13" i="4"/>
  <c r="E13" i="4"/>
  <c r="AB12" i="4"/>
  <c r="X12" i="4"/>
  <c r="W12" i="4"/>
  <c r="V12" i="4"/>
  <c r="L12" i="4"/>
  <c r="G12" i="4"/>
  <c r="F12" i="4"/>
  <c r="E12" i="4"/>
  <c r="X11" i="4"/>
  <c r="W11" i="4"/>
  <c r="V11" i="4"/>
  <c r="G11" i="4"/>
  <c r="F11" i="4"/>
  <c r="E11" i="4"/>
  <c r="X10" i="4"/>
  <c r="W10" i="4"/>
  <c r="V10" i="4"/>
  <c r="L10" i="4"/>
  <c r="AB10" i="4" s="1"/>
  <c r="G10" i="4"/>
  <c r="F10" i="4"/>
  <c r="E10" i="4"/>
  <c r="AB9" i="4"/>
  <c r="X9" i="4"/>
  <c r="W9" i="4"/>
  <c r="V9" i="4"/>
  <c r="L9" i="4"/>
  <c r="G9" i="4"/>
  <c r="F9" i="4"/>
  <c r="E9" i="4"/>
  <c r="X8" i="4"/>
  <c r="W8" i="4"/>
  <c r="V8" i="4"/>
  <c r="L8" i="4"/>
  <c r="AB8" i="4" s="1"/>
  <c r="G8" i="4"/>
  <c r="F8" i="4"/>
  <c r="E8" i="4"/>
  <c r="X7" i="4"/>
  <c r="W7" i="4"/>
  <c r="V7" i="4"/>
  <c r="L7" i="4"/>
  <c r="AB7" i="4" s="1"/>
  <c r="G7" i="4"/>
  <c r="F7" i="4"/>
  <c r="E7" i="4"/>
  <c r="X6" i="4"/>
  <c r="W6" i="4"/>
  <c r="V6" i="4"/>
  <c r="L6" i="4"/>
  <c r="AB6" i="4" s="1"/>
  <c r="G6" i="4"/>
  <c r="F6" i="4"/>
  <c r="E6" i="4"/>
  <c r="X5" i="4"/>
  <c r="W5" i="4"/>
  <c r="V5" i="4"/>
  <c r="L5" i="4"/>
  <c r="AB5" i="4" s="1"/>
  <c r="G5" i="4"/>
  <c r="F5" i="4"/>
  <c r="E5" i="4"/>
  <c r="X4" i="4"/>
  <c r="W4" i="4"/>
  <c r="V4" i="4"/>
  <c r="L4" i="4"/>
  <c r="AB4" i="4" s="1"/>
  <c r="G4" i="4"/>
  <c r="F4" i="4"/>
  <c r="E4" i="4"/>
  <c r="A1" i="4"/>
  <c r="B41" i="3"/>
  <c r="B40" i="3"/>
  <c r="B39" i="3"/>
  <c r="B38" i="3"/>
  <c r="AB33" i="3"/>
  <c r="X33" i="3"/>
  <c r="W33" i="3"/>
  <c r="V33" i="3"/>
  <c r="O33" i="3"/>
  <c r="AA33" i="3" s="1"/>
  <c r="N33" i="3"/>
  <c r="Z33" i="3" s="1"/>
  <c r="M33" i="3"/>
  <c r="Y33" i="3" s="1"/>
  <c r="L33" i="3"/>
  <c r="J33" i="3"/>
  <c r="G33" i="3"/>
  <c r="F33" i="3"/>
  <c r="E33" i="3"/>
  <c r="AB32" i="3"/>
  <c r="X32" i="3"/>
  <c r="W32" i="3"/>
  <c r="V32" i="3"/>
  <c r="O32" i="3"/>
  <c r="AA32" i="3" s="1"/>
  <c r="N32" i="3"/>
  <c r="Z32" i="3" s="1"/>
  <c r="M32" i="3"/>
  <c r="Y32" i="3" s="1"/>
  <c r="L32" i="3"/>
  <c r="J32" i="3"/>
  <c r="G32" i="3"/>
  <c r="F32" i="3"/>
  <c r="E32" i="3"/>
  <c r="AB31" i="3"/>
  <c r="X31" i="3"/>
  <c r="W31" i="3"/>
  <c r="V31" i="3"/>
  <c r="O31" i="3"/>
  <c r="AA31" i="3" s="1"/>
  <c r="N31" i="3"/>
  <c r="Z31" i="3" s="1"/>
  <c r="M31" i="3"/>
  <c r="Y31" i="3" s="1"/>
  <c r="L31" i="3"/>
  <c r="J31" i="3"/>
  <c r="G31" i="3"/>
  <c r="F31" i="3"/>
  <c r="E31" i="3"/>
  <c r="AB30" i="3"/>
  <c r="X30" i="3"/>
  <c r="W30" i="3"/>
  <c r="V30" i="3"/>
  <c r="O30" i="3"/>
  <c r="AA30" i="3" s="1"/>
  <c r="N30" i="3"/>
  <c r="Z30" i="3" s="1"/>
  <c r="M30" i="3"/>
  <c r="Y30" i="3" s="1"/>
  <c r="L30" i="3"/>
  <c r="J30" i="3"/>
  <c r="G30" i="3"/>
  <c r="F30" i="3"/>
  <c r="E30" i="3"/>
  <c r="AB29" i="3"/>
  <c r="X29" i="3"/>
  <c r="W29" i="3"/>
  <c r="V29" i="3"/>
  <c r="O29" i="3"/>
  <c r="AA29" i="3" s="1"/>
  <c r="N29" i="3"/>
  <c r="Z29" i="3" s="1"/>
  <c r="M29" i="3"/>
  <c r="Y29" i="3" s="1"/>
  <c r="L29" i="3"/>
  <c r="J29" i="3"/>
  <c r="G29" i="3"/>
  <c r="F29" i="3"/>
  <c r="E29" i="3"/>
  <c r="AB28" i="3"/>
  <c r="X28" i="3"/>
  <c r="W28" i="3"/>
  <c r="V28" i="3"/>
  <c r="O28" i="3"/>
  <c r="AA28" i="3" s="1"/>
  <c r="N28" i="3"/>
  <c r="Z28" i="3" s="1"/>
  <c r="M28" i="3"/>
  <c r="Y28" i="3" s="1"/>
  <c r="L28" i="3"/>
  <c r="J28" i="3"/>
  <c r="G28" i="3"/>
  <c r="F28" i="3"/>
  <c r="E28" i="3"/>
  <c r="AB27" i="3"/>
  <c r="X27" i="3"/>
  <c r="W27" i="3"/>
  <c r="V27" i="3"/>
  <c r="O27" i="3"/>
  <c r="AA27" i="3" s="1"/>
  <c r="N27" i="3"/>
  <c r="Z27" i="3" s="1"/>
  <c r="M27" i="3"/>
  <c r="Y27" i="3" s="1"/>
  <c r="L27" i="3"/>
  <c r="J27" i="3"/>
  <c r="G27" i="3"/>
  <c r="F27" i="3"/>
  <c r="E27" i="3"/>
  <c r="AB26" i="3"/>
  <c r="X26" i="3"/>
  <c r="W26" i="3"/>
  <c r="V26" i="3"/>
  <c r="O26" i="3"/>
  <c r="AA26" i="3" s="1"/>
  <c r="N26" i="3"/>
  <c r="Z26" i="3" s="1"/>
  <c r="M26" i="3"/>
  <c r="Y26" i="3" s="1"/>
  <c r="L26" i="3"/>
  <c r="J26" i="3"/>
  <c r="G26" i="3"/>
  <c r="F26" i="3"/>
  <c r="E26" i="3"/>
  <c r="AB25" i="3"/>
  <c r="X25" i="3"/>
  <c r="W25" i="3"/>
  <c r="V25" i="3"/>
  <c r="O25" i="3"/>
  <c r="AA25" i="3" s="1"/>
  <c r="N25" i="3"/>
  <c r="Z25" i="3" s="1"/>
  <c r="M25" i="3"/>
  <c r="Y25" i="3" s="1"/>
  <c r="L25" i="3"/>
  <c r="J25" i="3"/>
  <c r="G25" i="3"/>
  <c r="F25" i="3"/>
  <c r="E25" i="3"/>
  <c r="AB24" i="3"/>
  <c r="X24" i="3"/>
  <c r="W24" i="3"/>
  <c r="V24" i="3"/>
  <c r="O24" i="3"/>
  <c r="AA24" i="3" s="1"/>
  <c r="N24" i="3"/>
  <c r="Z24" i="3" s="1"/>
  <c r="M24" i="3"/>
  <c r="Y24" i="3" s="1"/>
  <c r="L24" i="3"/>
  <c r="J24" i="3"/>
  <c r="G24" i="3"/>
  <c r="F24" i="3"/>
  <c r="E24" i="3"/>
  <c r="AB23" i="3"/>
  <c r="X23" i="3"/>
  <c r="W23" i="3"/>
  <c r="V23" i="3"/>
  <c r="O23" i="3"/>
  <c r="AA23" i="3" s="1"/>
  <c r="N23" i="3"/>
  <c r="Z23" i="3" s="1"/>
  <c r="M23" i="3"/>
  <c r="Y23" i="3" s="1"/>
  <c r="L23" i="3"/>
  <c r="J23" i="3"/>
  <c r="G23" i="3"/>
  <c r="F23" i="3"/>
  <c r="E23" i="3"/>
  <c r="AB22" i="3"/>
  <c r="X22" i="3"/>
  <c r="W22" i="3"/>
  <c r="V22" i="3"/>
  <c r="O22" i="3"/>
  <c r="AA22" i="3" s="1"/>
  <c r="N22" i="3"/>
  <c r="Z22" i="3" s="1"/>
  <c r="M22" i="3"/>
  <c r="Y22" i="3" s="1"/>
  <c r="L22" i="3"/>
  <c r="J22" i="3"/>
  <c r="G22" i="3"/>
  <c r="F22" i="3"/>
  <c r="E22" i="3"/>
  <c r="AB21" i="3"/>
  <c r="X21" i="3"/>
  <c r="W21" i="3"/>
  <c r="V21" i="3"/>
  <c r="O21" i="3"/>
  <c r="AA21" i="3" s="1"/>
  <c r="N21" i="3"/>
  <c r="Z21" i="3" s="1"/>
  <c r="M21" i="3"/>
  <c r="Y21" i="3" s="1"/>
  <c r="L21" i="3"/>
  <c r="J21" i="3"/>
  <c r="G21" i="3"/>
  <c r="F21" i="3"/>
  <c r="E21" i="3"/>
  <c r="AB20" i="3"/>
  <c r="X20" i="3"/>
  <c r="W20" i="3"/>
  <c r="V20" i="3"/>
  <c r="O20" i="3"/>
  <c r="AA20" i="3" s="1"/>
  <c r="N20" i="3"/>
  <c r="Z20" i="3" s="1"/>
  <c r="M20" i="3"/>
  <c r="Y20" i="3" s="1"/>
  <c r="L20" i="3"/>
  <c r="J20" i="3"/>
  <c r="G20" i="3"/>
  <c r="F20" i="3"/>
  <c r="E20" i="3"/>
  <c r="AB19" i="3"/>
  <c r="X19" i="3"/>
  <c r="W19" i="3"/>
  <c r="V19" i="3"/>
  <c r="O19" i="3"/>
  <c r="AA19" i="3" s="1"/>
  <c r="N19" i="3"/>
  <c r="Z19" i="3" s="1"/>
  <c r="M19" i="3"/>
  <c r="Y19" i="3" s="1"/>
  <c r="L19" i="3"/>
  <c r="J19" i="3"/>
  <c r="G19" i="3"/>
  <c r="F19" i="3"/>
  <c r="E19" i="3"/>
  <c r="AB18" i="3"/>
  <c r="X18" i="3"/>
  <c r="W18" i="3"/>
  <c r="V18" i="3"/>
  <c r="O18" i="3"/>
  <c r="AA18" i="3" s="1"/>
  <c r="N18" i="3"/>
  <c r="Z18" i="3" s="1"/>
  <c r="M18" i="3"/>
  <c r="Y18" i="3" s="1"/>
  <c r="L18" i="3"/>
  <c r="J18" i="3"/>
  <c r="G18" i="3"/>
  <c r="F18" i="3"/>
  <c r="E18" i="3"/>
  <c r="AB17" i="3"/>
  <c r="X17" i="3"/>
  <c r="W17" i="3"/>
  <c r="V17" i="3"/>
  <c r="O17" i="3"/>
  <c r="AA17" i="3" s="1"/>
  <c r="N17" i="3"/>
  <c r="Z17" i="3" s="1"/>
  <c r="M17" i="3"/>
  <c r="Y17" i="3" s="1"/>
  <c r="L17" i="3"/>
  <c r="J17" i="3"/>
  <c r="G17" i="3"/>
  <c r="F17" i="3"/>
  <c r="E17" i="3"/>
  <c r="AB16" i="3"/>
  <c r="X16" i="3"/>
  <c r="W16" i="3"/>
  <c r="V16" i="3"/>
  <c r="O16" i="3"/>
  <c r="AA16" i="3" s="1"/>
  <c r="N16" i="3"/>
  <c r="Z16" i="3" s="1"/>
  <c r="M16" i="3"/>
  <c r="Y16" i="3" s="1"/>
  <c r="L16" i="3"/>
  <c r="J16" i="3"/>
  <c r="G16" i="3"/>
  <c r="F16" i="3"/>
  <c r="E16" i="3"/>
  <c r="AB15" i="3"/>
  <c r="X15" i="3"/>
  <c r="W15" i="3"/>
  <c r="V15" i="3"/>
  <c r="O15" i="3"/>
  <c r="AA15" i="3" s="1"/>
  <c r="N15" i="3"/>
  <c r="Z15" i="3" s="1"/>
  <c r="M15" i="3"/>
  <c r="Y15" i="3" s="1"/>
  <c r="L15" i="3"/>
  <c r="J15" i="3"/>
  <c r="G15" i="3"/>
  <c r="F15" i="3"/>
  <c r="E15" i="3"/>
  <c r="AB14" i="3"/>
  <c r="X14" i="3"/>
  <c r="W14" i="3"/>
  <c r="V14" i="3"/>
  <c r="O14" i="3"/>
  <c r="AA14" i="3" s="1"/>
  <c r="N14" i="3"/>
  <c r="Z14" i="3" s="1"/>
  <c r="M14" i="3"/>
  <c r="Y14" i="3" s="1"/>
  <c r="L14" i="3"/>
  <c r="J14" i="3"/>
  <c r="G14" i="3"/>
  <c r="F14" i="3"/>
  <c r="E14" i="3"/>
  <c r="AB13" i="3"/>
  <c r="X13" i="3"/>
  <c r="W13" i="3"/>
  <c r="V13" i="3"/>
  <c r="O13" i="3"/>
  <c r="AA13" i="3" s="1"/>
  <c r="N13" i="3"/>
  <c r="Z13" i="3" s="1"/>
  <c r="M13" i="3"/>
  <c r="Y13" i="3" s="1"/>
  <c r="L13" i="3"/>
  <c r="J13" i="3"/>
  <c r="G13" i="3"/>
  <c r="F13" i="3"/>
  <c r="E13" i="3"/>
  <c r="AB12" i="3"/>
  <c r="X12" i="3"/>
  <c r="W12" i="3"/>
  <c r="V12" i="3"/>
  <c r="O12" i="3"/>
  <c r="AA12" i="3" s="1"/>
  <c r="N12" i="3"/>
  <c r="Z12" i="3" s="1"/>
  <c r="M12" i="3"/>
  <c r="Y12" i="3" s="1"/>
  <c r="L12" i="3"/>
  <c r="J12" i="3"/>
  <c r="G12" i="3"/>
  <c r="F12" i="3"/>
  <c r="E12" i="3"/>
  <c r="AB11" i="3"/>
  <c r="X11" i="3"/>
  <c r="W11" i="3"/>
  <c r="V11" i="3"/>
  <c r="O11" i="3"/>
  <c r="AA11" i="3" s="1"/>
  <c r="N11" i="3"/>
  <c r="Z11" i="3" s="1"/>
  <c r="M11" i="3"/>
  <c r="Y11" i="3" s="1"/>
  <c r="L11" i="3"/>
  <c r="J11" i="3"/>
  <c r="G11" i="3"/>
  <c r="F11" i="3"/>
  <c r="E11" i="3"/>
  <c r="AB10" i="3"/>
  <c r="X10" i="3"/>
  <c r="W10" i="3"/>
  <c r="V10" i="3"/>
  <c r="O10" i="3"/>
  <c r="AA10" i="3" s="1"/>
  <c r="N10" i="3"/>
  <c r="Z10" i="3" s="1"/>
  <c r="M10" i="3"/>
  <c r="Y10" i="3" s="1"/>
  <c r="L10" i="3"/>
  <c r="J10" i="3"/>
  <c r="G10" i="3"/>
  <c r="F10" i="3"/>
  <c r="E10" i="3"/>
  <c r="AB9" i="3"/>
  <c r="X9" i="3"/>
  <c r="W9" i="3"/>
  <c r="V9" i="3"/>
  <c r="O9" i="3"/>
  <c r="AA9" i="3" s="1"/>
  <c r="N9" i="3"/>
  <c r="Z9" i="3" s="1"/>
  <c r="M9" i="3"/>
  <c r="Y9" i="3" s="1"/>
  <c r="L9" i="3"/>
  <c r="J9" i="3"/>
  <c r="G9" i="3"/>
  <c r="F9" i="3"/>
  <c r="E9" i="3"/>
  <c r="AB8" i="3"/>
  <c r="X8" i="3"/>
  <c r="W8" i="3"/>
  <c r="V8" i="3"/>
  <c r="O8" i="3"/>
  <c r="AA8" i="3" s="1"/>
  <c r="N8" i="3"/>
  <c r="Z8" i="3" s="1"/>
  <c r="M8" i="3"/>
  <c r="Y8" i="3" s="1"/>
  <c r="L8" i="3"/>
  <c r="J8" i="3"/>
  <c r="G8" i="3"/>
  <c r="F8" i="3"/>
  <c r="E8" i="3"/>
  <c r="AB7" i="3"/>
  <c r="X7" i="3"/>
  <c r="W7" i="3"/>
  <c r="V7" i="3"/>
  <c r="O7" i="3"/>
  <c r="AA7" i="3" s="1"/>
  <c r="N7" i="3"/>
  <c r="Z7" i="3" s="1"/>
  <c r="M7" i="3"/>
  <c r="Y7" i="3" s="1"/>
  <c r="L7" i="3"/>
  <c r="J7" i="3"/>
  <c r="G7" i="3"/>
  <c r="F7" i="3"/>
  <c r="E7" i="3"/>
  <c r="AB6" i="3"/>
  <c r="X6" i="3"/>
  <c r="W6" i="3"/>
  <c r="V6" i="3"/>
  <c r="O6" i="3"/>
  <c r="AA6" i="3" s="1"/>
  <c r="N6" i="3"/>
  <c r="Z6" i="3" s="1"/>
  <c r="M6" i="3"/>
  <c r="Y6" i="3" s="1"/>
  <c r="L6" i="3"/>
  <c r="J6" i="3"/>
  <c r="G6" i="3"/>
  <c r="F6" i="3"/>
  <c r="E6" i="3"/>
  <c r="AB5" i="3"/>
  <c r="X5" i="3"/>
  <c r="W5" i="3"/>
  <c r="V5" i="3"/>
  <c r="O5" i="3"/>
  <c r="AA5" i="3" s="1"/>
  <c r="N5" i="3"/>
  <c r="Z5" i="3" s="1"/>
  <c r="M5" i="3"/>
  <c r="Y5" i="3" s="1"/>
  <c r="L5" i="3"/>
  <c r="J5" i="3"/>
  <c r="G5" i="3"/>
  <c r="F5" i="3"/>
  <c r="E5" i="3"/>
  <c r="AB4" i="3"/>
  <c r="X4" i="3"/>
  <c r="W4" i="3"/>
  <c r="V4" i="3"/>
  <c r="O4" i="3"/>
  <c r="AA4" i="3" s="1"/>
  <c r="N4" i="3"/>
  <c r="Z4" i="3" s="1"/>
  <c r="M4" i="3"/>
  <c r="Y4" i="3" s="1"/>
  <c r="L4" i="3"/>
  <c r="J4" i="3"/>
  <c r="G4" i="3"/>
  <c r="F4" i="3"/>
  <c r="E4" i="3"/>
  <c r="A1" i="3"/>
  <c r="B23" i="2"/>
  <c r="B22" i="2"/>
  <c r="B21" i="2"/>
  <c r="B20" i="2"/>
  <c r="X15" i="2"/>
  <c r="W15" i="2"/>
  <c r="V15" i="2"/>
  <c r="L15" i="2"/>
  <c r="AB15" i="2" s="1"/>
  <c r="G15" i="2"/>
  <c r="F15" i="2"/>
  <c r="E15" i="2"/>
  <c r="X14" i="2"/>
  <c r="W14" i="2"/>
  <c r="V14" i="2"/>
  <c r="L14" i="2"/>
  <c r="AB14" i="2" s="1"/>
  <c r="G14" i="2"/>
  <c r="F14" i="2"/>
  <c r="E14" i="2"/>
  <c r="X13" i="2"/>
  <c r="W13" i="2"/>
  <c r="V13" i="2"/>
  <c r="L13" i="2"/>
  <c r="AB13" i="2" s="1"/>
  <c r="G13" i="2"/>
  <c r="F13" i="2"/>
  <c r="E13" i="2"/>
  <c r="AB12" i="2"/>
  <c r="X12" i="2"/>
  <c r="W12" i="2"/>
  <c r="V12" i="2"/>
  <c r="L12" i="2"/>
  <c r="G12" i="2"/>
  <c r="F12" i="2"/>
  <c r="E12" i="2"/>
  <c r="AB11" i="2"/>
  <c r="X11" i="2"/>
  <c r="W11" i="2"/>
  <c r="V11" i="2"/>
  <c r="L11" i="2"/>
  <c r="G11" i="2"/>
  <c r="F11" i="2"/>
  <c r="E11" i="2"/>
  <c r="X10" i="2"/>
  <c r="W10" i="2"/>
  <c r="V10" i="2"/>
  <c r="L10" i="2"/>
  <c r="G10" i="2"/>
  <c r="F10" i="2"/>
  <c r="E10" i="2"/>
  <c r="X9" i="2"/>
  <c r="W9" i="2"/>
  <c r="V9" i="2"/>
  <c r="L9" i="2"/>
  <c r="AB9" i="2" s="1"/>
  <c r="G9" i="2"/>
  <c r="F9" i="2"/>
  <c r="E9" i="2"/>
  <c r="X8" i="2"/>
  <c r="W8" i="2"/>
  <c r="V8" i="2"/>
  <c r="L8" i="2"/>
  <c r="AB8" i="2" s="1"/>
  <c r="G8" i="2"/>
  <c r="F8" i="2"/>
  <c r="E8" i="2"/>
  <c r="X7" i="2"/>
  <c r="W7" i="2"/>
  <c r="V7" i="2"/>
  <c r="L7" i="2"/>
  <c r="AB7" i="2" s="1"/>
  <c r="G7" i="2"/>
  <c r="F7" i="2"/>
  <c r="E7" i="2"/>
  <c r="X6" i="2"/>
  <c r="W6" i="2"/>
  <c r="V6" i="2"/>
  <c r="L6" i="2"/>
  <c r="AB6" i="2" s="1"/>
  <c r="G6" i="2"/>
  <c r="F6" i="2"/>
  <c r="E6" i="2"/>
  <c r="X5" i="2"/>
  <c r="W5" i="2"/>
  <c r="V5" i="2"/>
  <c r="L5" i="2"/>
  <c r="AB5" i="2" s="1"/>
  <c r="G5" i="2"/>
  <c r="F5" i="2"/>
  <c r="E5" i="2"/>
  <c r="X4" i="2"/>
  <c r="W4" i="2"/>
  <c r="V4" i="2"/>
  <c r="L4" i="2"/>
  <c r="AB4" i="2" s="1"/>
  <c r="F4" i="2"/>
  <c r="E4" i="2"/>
  <c r="AB16" i="2"/>
  <c r="X16" i="2"/>
  <c r="W16" i="2"/>
  <c r="V16" i="2"/>
  <c r="L16" i="2"/>
  <c r="G16" i="2"/>
  <c r="F16" i="2"/>
  <c r="E16" i="2"/>
  <c r="A1" i="2"/>
  <c r="O11" i="6" l="1"/>
  <c r="AA11" i="6" s="1"/>
  <c r="N13" i="6"/>
  <c r="Z13" i="6" s="1"/>
  <c r="O13" i="6"/>
  <c r="AA13" i="6" s="1"/>
  <c r="M13" i="6"/>
  <c r="Y13" i="6" s="1"/>
  <c r="N11" i="6"/>
  <c r="Z11" i="6" s="1"/>
  <c r="M11" i="6"/>
  <c r="Y11" i="6" s="1"/>
  <c r="N19" i="9"/>
  <c r="Z19" i="9" s="1"/>
  <c r="M16" i="9"/>
  <c r="Y16" i="9" s="1"/>
  <c r="M19" i="9"/>
  <c r="Y19" i="9" s="1"/>
  <c r="O9" i="11"/>
  <c r="AA9" i="11" s="1"/>
  <c r="M20" i="9"/>
  <c r="Y20" i="9" s="1"/>
  <c r="N9" i="11"/>
  <c r="Z9" i="11" s="1"/>
  <c r="M22" i="9"/>
  <c r="Y22" i="9" s="1"/>
  <c r="N15" i="12"/>
  <c r="Z15" i="12" s="1"/>
  <c r="M18" i="12"/>
  <c r="Y18" i="12" s="1"/>
  <c r="M14" i="12"/>
  <c r="Y14" i="12" s="1"/>
  <c r="M17" i="12"/>
  <c r="Y17" i="12" s="1"/>
  <c r="N20" i="9"/>
  <c r="Z20" i="9" s="1"/>
  <c r="M27" i="9"/>
  <c r="Y27" i="9" s="1"/>
  <c r="N8" i="11"/>
  <c r="Z8" i="11" s="1"/>
  <c r="M18" i="9"/>
  <c r="Y18" i="9" s="1"/>
  <c r="M6" i="11"/>
  <c r="Y6" i="11" s="1"/>
  <c r="O21" i="9"/>
  <c r="AA21" i="9" s="1"/>
  <c r="M8" i="11"/>
  <c r="Y8" i="11" s="1"/>
  <c r="N21" i="9"/>
  <c r="Z21" i="9" s="1"/>
  <c r="N7" i="11"/>
  <c r="Z7" i="11" s="1"/>
  <c r="O7" i="11"/>
  <c r="AA7" i="11" s="1"/>
  <c r="M19" i="12"/>
  <c r="Y19" i="12" s="1"/>
  <c r="O8" i="11"/>
  <c r="AA8" i="11" s="1"/>
  <c r="O19" i="9"/>
  <c r="AA19" i="9" s="1"/>
  <c r="M9" i="11"/>
  <c r="Y9" i="11" s="1"/>
  <c r="M16" i="12"/>
  <c r="Y16" i="12" s="1"/>
  <c r="N18" i="9"/>
  <c r="Z18" i="9" s="1"/>
  <c r="N22" i="9"/>
  <c r="Z22" i="9" s="1"/>
  <c r="M12" i="12"/>
  <c r="Y12" i="12" s="1"/>
  <c r="M5" i="11"/>
  <c r="Y5" i="11" s="1"/>
  <c r="O20" i="9"/>
  <c r="AA20" i="9" s="1"/>
  <c r="N13" i="12"/>
  <c r="Z13" i="12" s="1"/>
  <c r="O12" i="9"/>
  <c r="AA12" i="9" s="1"/>
  <c r="O18" i="9"/>
  <c r="AA18" i="9" s="1"/>
  <c r="O22" i="9"/>
  <c r="AA22" i="9" s="1"/>
  <c r="O6" i="11"/>
  <c r="AA6" i="11" s="1"/>
  <c r="N5" i="11"/>
  <c r="Z5" i="11" s="1"/>
  <c r="M7" i="11"/>
  <c r="Y7" i="11" s="1"/>
  <c r="N14" i="12"/>
  <c r="Z14" i="12" s="1"/>
  <c r="N6" i="11"/>
  <c r="Z6" i="11" s="1"/>
  <c r="M21" i="9"/>
  <c r="Y21" i="9" s="1"/>
  <c r="O5" i="11"/>
  <c r="AA5" i="11" s="1"/>
  <c r="M11" i="12"/>
  <c r="Y11" i="12" s="1"/>
  <c r="M15" i="12"/>
  <c r="Y15" i="12" s="1"/>
  <c r="N16" i="12"/>
  <c r="N17" i="12"/>
  <c r="N18" i="12"/>
  <c r="N19" i="12"/>
  <c r="O16" i="12"/>
  <c r="AA16" i="12" s="1"/>
  <c r="O17" i="12"/>
  <c r="AA17" i="12" s="1"/>
  <c r="O18" i="12"/>
  <c r="AA18" i="12" s="1"/>
  <c r="O19" i="12"/>
  <c r="AA19" i="12" s="1"/>
  <c r="N13" i="11"/>
  <c r="Z13" i="11" s="1"/>
  <c r="M13" i="12"/>
  <c r="Y13" i="12" s="1"/>
  <c r="M12" i="9"/>
  <c r="Y12" i="9" s="1"/>
  <c r="N12" i="9"/>
  <c r="M4" i="12"/>
  <c r="Y4" i="12" s="1"/>
  <c r="O12" i="11"/>
  <c r="AA12" i="11" s="1"/>
  <c r="O11" i="12"/>
  <c r="AA11" i="12" s="1"/>
  <c r="N11" i="12"/>
  <c r="Z11" i="12" s="1"/>
  <c r="O10" i="11"/>
  <c r="AA10" i="11" s="1"/>
  <c r="O27" i="9"/>
  <c r="AA27" i="9" s="1"/>
  <c r="N27" i="9"/>
  <c r="Z27" i="9" s="1"/>
  <c r="O4" i="9"/>
  <c r="AA4" i="9" s="1"/>
  <c r="N4" i="9"/>
  <c r="M4" i="9"/>
  <c r="Y4" i="9" s="1"/>
  <c r="O23" i="9"/>
  <c r="AA23" i="9" s="1"/>
  <c r="N23" i="9"/>
  <c r="M23" i="9"/>
  <c r="Y23" i="9" s="1"/>
  <c r="N6" i="12"/>
  <c r="Z6" i="12" s="1"/>
  <c r="M6" i="12"/>
  <c r="Y6" i="12" s="1"/>
  <c r="N10" i="11"/>
  <c r="M10" i="11"/>
  <c r="Y10" i="11" s="1"/>
  <c r="O13" i="12"/>
  <c r="AA13" i="12" s="1"/>
  <c r="O12" i="12"/>
  <c r="N12" i="12"/>
  <c r="Z12" i="12" s="1"/>
  <c r="O9" i="12"/>
  <c r="AA9" i="12" s="1"/>
  <c r="N9" i="12"/>
  <c r="M9" i="12"/>
  <c r="Y9" i="12" s="1"/>
  <c r="M20" i="10"/>
  <c r="Y20" i="10" s="1"/>
  <c r="O14" i="12"/>
  <c r="O24" i="9"/>
  <c r="AA24" i="9" s="1"/>
  <c r="N24" i="9"/>
  <c r="M24" i="9"/>
  <c r="Y24" i="9" s="1"/>
  <c r="O15" i="12"/>
  <c r="AA15" i="12" s="1"/>
  <c r="O11" i="11"/>
  <c r="AA11" i="11" s="1"/>
  <c r="N11" i="11"/>
  <c r="M11" i="11"/>
  <c r="Y11" i="11" s="1"/>
  <c r="O25" i="9"/>
  <c r="AA25" i="9" s="1"/>
  <c r="N25" i="9"/>
  <c r="M25" i="9"/>
  <c r="Y25" i="9" s="1"/>
  <c r="N10" i="12"/>
  <c r="M10" i="12"/>
  <c r="Y10" i="12" s="1"/>
  <c r="O10" i="12"/>
  <c r="AA10" i="12" s="1"/>
  <c r="M8" i="12"/>
  <c r="Y8" i="12" s="1"/>
  <c r="N18" i="11"/>
  <c r="Z18" i="11" s="1"/>
  <c r="M18" i="11"/>
  <c r="Y18" i="11" s="1"/>
  <c r="O26" i="9"/>
  <c r="AA26" i="9" s="1"/>
  <c r="N26" i="9"/>
  <c r="M26" i="9"/>
  <c r="Y26" i="9" s="1"/>
  <c r="M5" i="12"/>
  <c r="Y5" i="12" s="1"/>
  <c r="N12" i="11"/>
  <c r="M12" i="11"/>
  <c r="Y12" i="11" s="1"/>
  <c r="M7" i="12"/>
  <c r="Y7" i="12" s="1"/>
  <c r="M19" i="11"/>
  <c r="Y19" i="11" s="1"/>
  <c r="O18" i="11"/>
  <c r="AA18" i="11" s="1"/>
  <c r="O13" i="11"/>
  <c r="AA13" i="11" s="1"/>
  <c r="O6" i="12"/>
  <c r="AA6" i="12" s="1"/>
  <c r="M13" i="11"/>
  <c r="Y13" i="11" s="1"/>
  <c r="O4" i="12"/>
  <c r="AA4" i="12" s="1"/>
  <c r="N4" i="12"/>
  <c r="Z4" i="12" s="1"/>
  <c r="M14" i="11"/>
  <c r="Y14" i="11" s="1"/>
  <c r="M5" i="10"/>
  <c r="Y5" i="10" s="1"/>
  <c r="O8" i="12"/>
  <c r="AA8" i="12" s="1"/>
  <c r="N8" i="12"/>
  <c r="O7" i="12"/>
  <c r="AA7" i="12" s="1"/>
  <c r="N7" i="12"/>
  <c r="O14" i="11"/>
  <c r="AA14" i="11" s="1"/>
  <c r="N14" i="11"/>
  <c r="Z14" i="11" s="1"/>
  <c r="O5" i="12"/>
  <c r="AA5" i="12" s="1"/>
  <c r="N5" i="12"/>
  <c r="N19" i="11"/>
  <c r="M10" i="8"/>
  <c r="Y10" i="8" s="1"/>
  <c r="O19" i="11"/>
  <c r="AA19" i="11" s="1"/>
  <c r="O15" i="11"/>
  <c r="AA15" i="11" s="1"/>
  <c r="M17" i="11"/>
  <c r="Y17" i="11" s="1"/>
  <c r="M16" i="11"/>
  <c r="Y16" i="11" s="1"/>
  <c r="O22" i="10"/>
  <c r="AA22" i="10" s="1"/>
  <c r="M24" i="10"/>
  <c r="Y24" i="10" s="1"/>
  <c r="N22" i="10"/>
  <c r="M22" i="10"/>
  <c r="Y22" i="10" s="1"/>
  <c r="N25" i="10"/>
  <c r="N21" i="10"/>
  <c r="Z21" i="10" s="1"/>
  <c r="M7" i="10"/>
  <c r="Y7" i="10" s="1"/>
  <c r="O4" i="11"/>
  <c r="AA4" i="11" s="1"/>
  <c r="O17" i="11"/>
  <c r="AA17" i="11" s="1"/>
  <c r="N17" i="11"/>
  <c r="O16" i="11"/>
  <c r="AA16" i="11" s="1"/>
  <c r="N16" i="11"/>
  <c r="O25" i="10"/>
  <c r="AA25" i="10" s="1"/>
  <c r="M25" i="10"/>
  <c r="Y25" i="10" s="1"/>
  <c r="N20" i="10"/>
  <c r="M18" i="10"/>
  <c r="Y18" i="10" s="1"/>
  <c r="N15" i="11"/>
  <c r="M15" i="11"/>
  <c r="Y15" i="11" s="1"/>
  <c r="N4" i="11"/>
  <c r="M4" i="11"/>
  <c r="Y4" i="11" s="1"/>
  <c r="O21" i="10"/>
  <c r="AA21" i="10" s="1"/>
  <c r="M21" i="10"/>
  <c r="Y21" i="10" s="1"/>
  <c r="O19" i="10"/>
  <c r="AA19" i="10" s="1"/>
  <c r="N19" i="10"/>
  <c r="M19" i="10"/>
  <c r="Y19" i="10" s="1"/>
  <c r="M9" i="10"/>
  <c r="Y9" i="10" s="1"/>
  <c r="O20" i="10"/>
  <c r="AA20" i="10" s="1"/>
  <c r="N24" i="10"/>
  <c r="O24" i="10"/>
  <c r="AA24" i="10" s="1"/>
  <c r="N23" i="10"/>
  <c r="M23" i="10"/>
  <c r="Y23" i="10" s="1"/>
  <c r="O23" i="10"/>
  <c r="AA23" i="10" s="1"/>
  <c r="O11" i="10"/>
  <c r="AA11" i="10" s="1"/>
  <c r="M8" i="10"/>
  <c r="Y8" i="10" s="1"/>
  <c r="O18" i="10"/>
  <c r="AA18" i="10" s="1"/>
  <c r="N18" i="10"/>
  <c r="M16" i="10"/>
  <c r="Y16" i="10" s="1"/>
  <c r="N16" i="10"/>
  <c r="O16" i="10"/>
  <c r="AA16" i="10" s="1"/>
  <c r="N11" i="10"/>
  <c r="M11" i="10"/>
  <c r="Y11" i="10" s="1"/>
  <c r="N5" i="10"/>
  <c r="O5" i="10"/>
  <c r="AA5" i="10" s="1"/>
  <c r="O14" i="8"/>
  <c r="AA14" i="8" s="1"/>
  <c r="N14" i="8"/>
  <c r="M14" i="8"/>
  <c r="Y14" i="8" s="1"/>
  <c r="O13" i="8"/>
  <c r="AA13" i="8" s="1"/>
  <c r="N13" i="8"/>
  <c r="M13" i="8"/>
  <c r="Y13" i="8" s="1"/>
  <c r="O12" i="8"/>
  <c r="AA12" i="8" s="1"/>
  <c r="N12" i="8"/>
  <c r="M12" i="8"/>
  <c r="Y12" i="8" s="1"/>
  <c r="M11" i="8"/>
  <c r="Y11" i="8" s="1"/>
  <c r="O11" i="8"/>
  <c r="AA11" i="8" s="1"/>
  <c r="N11" i="8"/>
  <c r="O10" i="8"/>
  <c r="AA10" i="8" s="1"/>
  <c r="N10" i="8"/>
  <c r="M9" i="8"/>
  <c r="Y9" i="8" s="1"/>
  <c r="O9" i="8"/>
  <c r="AA9" i="8" s="1"/>
  <c r="N9" i="8"/>
  <c r="O6" i="10"/>
  <c r="AA6" i="10" s="1"/>
  <c r="M19" i="8"/>
  <c r="Y19" i="8" s="1"/>
  <c r="O12" i="10"/>
  <c r="AA12" i="10" s="1"/>
  <c r="N17" i="10"/>
  <c r="O17" i="10"/>
  <c r="AA17" i="10" s="1"/>
  <c r="M17" i="10"/>
  <c r="Y17" i="10" s="1"/>
  <c r="N14" i="10"/>
  <c r="M14" i="10"/>
  <c r="Y14" i="10" s="1"/>
  <c r="O14" i="10"/>
  <c r="AA14" i="10" s="1"/>
  <c r="N10" i="10"/>
  <c r="M10" i="10"/>
  <c r="Y10" i="10" s="1"/>
  <c r="O10" i="10"/>
  <c r="AA10" i="10" s="1"/>
  <c r="N6" i="10"/>
  <c r="M6" i="10"/>
  <c r="Y6" i="10" s="1"/>
  <c r="O16" i="8"/>
  <c r="AA16" i="8" s="1"/>
  <c r="N16" i="8"/>
  <c r="M16" i="8"/>
  <c r="Y16" i="8" s="1"/>
  <c r="O15" i="8"/>
  <c r="AA15" i="8" s="1"/>
  <c r="N15" i="8"/>
  <c r="M15" i="8"/>
  <c r="Y15" i="8" s="1"/>
  <c r="N6" i="9"/>
  <c r="Z6" i="9" s="1"/>
  <c r="O15" i="10"/>
  <c r="AA15" i="10" s="1"/>
  <c r="N15" i="10"/>
  <c r="M15" i="10"/>
  <c r="Y15" i="10" s="1"/>
  <c r="M13" i="10"/>
  <c r="Y13" i="10" s="1"/>
  <c r="O13" i="10"/>
  <c r="AA13" i="10" s="1"/>
  <c r="N13" i="10"/>
  <c r="M12" i="10"/>
  <c r="Y12" i="10" s="1"/>
  <c r="N12" i="10"/>
  <c r="O9" i="10"/>
  <c r="AA9" i="10" s="1"/>
  <c r="N9" i="10"/>
  <c r="O8" i="10"/>
  <c r="AA8" i="10" s="1"/>
  <c r="N8" i="10"/>
  <c r="N7" i="10"/>
  <c r="O7" i="10"/>
  <c r="AA7" i="10" s="1"/>
  <c r="O4" i="10"/>
  <c r="AA4" i="10" s="1"/>
  <c r="N4" i="10"/>
  <c r="M4" i="10"/>
  <c r="Y4" i="10" s="1"/>
  <c r="N19" i="8"/>
  <c r="Z19" i="8" s="1"/>
  <c r="M14" i="9"/>
  <c r="Y14" i="9" s="1"/>
  <c r="M10" i="9"/>
  <c r="Y10" i="9" s="1"/>
  <c r="O5" i="9"/>
  <c r="AA5" i="9" s="1"/>
  <c r="O21" i="8"/>
  <c r="AA21" i="8" s="1"/>
  <c r="O19" i="8"/>
  <c r="AA19" i="8" s="1"/>
  <c r="O17" i="8"/>
  <c r="AA17" i="8" s="1"/>
  <c r="N17" i="8"/>
  <c r="M17" i="8"/>
  <c r="Y17" i="8" s="1"/>
  <c r="O17" i="9"/>
  <c r="AA17" i="9" s="1"/>
  <c r="N17" i="9"/>
  <c r="M17" i="9"/>
  <c r="Y17" i="9" s="1"/>
  <c r="O16" i="9"/>
  <c r="AA16" i="9" s="1"/>
  <c r="N16" i="9"/>
  <c r="O6" i="9"/>
  <c r="AA6" i="9" s="1"/>
  <c r="M6" i="9"/>
  <c r="O18" i="8"/>
  <c r="AA18" i="8" s="1"/>
  <c r="N18" i="8"/>
  <c r="M18" i="8"/>
  <c r="Y18" i="8" s="1"/>
  <c r="O15" i="9"/>
  <c r="AA15" i="9" s="1"/>
  <c r="M15" i="9"/>
  <c r="Y15" i="9" s="1"/>
  <c r="N15" i="9"/>
  <c r="O14" i="9"/>
  <c r="AA14" i="9" s="1"/>
  <c r="N14" i="9"/>
  <c r="O13" i="9"/>
  <c r="AA13" i="9" s="1"/>
  <c r="N13" i="9"/>
  <c r="M13" i="9"/>
  <c r="Y13" i="9" s="1"/>
  <c r="O11" i="9"/>
  <c r="AA11" i="9" s="1"/>
  <c r="N11" i="9"/>
  <c r="M11" i="9"/>
  <c r="Y11" i="9" s="1"/>
  <c r="N10" i="9"/>
  <c r="O10" i="9"/>
  <c r="AA10" i="9" s="1"/>
  <c r="O9" i="9"/>
  <c r="AA9" i="9" s="1"/>
  <c r="N9" i="9"/>
  <c r="M9" i="9"/>
  <c r="Y9" i="9" s="1"/>
  <c r="N8" i="9"/>
  <c r="O8" i="9"/>
  <c r="AA8" i="9" s="1"/>
  <c r="M8" i="9"/>
  <c r="Y8" i="9" s="1"/>
  <c r="O7" i="9"/>
  <c r="AA7" i="9" s="1"/>
  <c r="N7" i="9"/>
  <c r="M7" i="9"/>
  <c r="Y7" i="9" s="1"/>
  <c r="M5" i="9"/>
  <c r="Y5" i="9" s="1"/>
  <c r="N5" i="9"/>
  <c r="O20" i="8"/>
  <c r="AA20" i="8" s="1"/>
  <c r="N6" i="8"/>
  <c r="N5" i="8"/>
  <c r="O6" i="8"/>
  <c r="AA6" i="8" s="1"/>
  <c r="M6" i="8"/>
  <c r="Y6" i="8" s="1"/>
  <c r="O4" i="8"/>
  <c r="AA4" i="8" s="1"/>
  <c r="O24" i="8"/>
  <c r="AA24" i="8" s="1"/>
  <c r="N24" i="8"/>
  <c r="M24" i="8"/>
  <c r="Y24" i="8" s="1"/>
  <c r="O23" i="8"/>
  <c r="AA23" i="8" s="1"/>
  <c r="N23" i="8"/>
  <c r="M23" i="8"/>
  <c r="Y23" i="8" s="1"/>
  <c r="O22" i="8"/>
  <c r="AA22" i="8" s="1"/>
  <c r="N22" i="8"/>
  <c r="M22" i="8"/>
  <c r="Y22" i="8" s="1"/>
  <c r="M21" i="8"/>
  <c r="Y21" i="8" s="1"/>
  <c r="N21" i="8"/>
  <c r="N20" i="8"/>
  <c r="M20" i="8"/>
  <c r="Y20" i="8" s="1"/>
  <c r="M8" i="8"/>
  <c r="Y8" i="8" s="1"/>
  <c r="O8" i="8"/>
  <c r="AA8" i="8" s="1"/>
  <c r="N8" i="8"/>
  <c r="N7" i="8"/>
  <c r="M7" i="8"/>
  <c r="Y7" i="8" s="1"/>
  <c r="O7" i="8"/>
  <c r="AA7" i="8" s="1"/>
  <c r="M5" i="8"/>
  <c r="Y5" i="8" s="1"/>
  <c r="O5" i="8"/>
  <c r="AA5" i="8" s="1"/>
  <c r="M4" i="8"/>
  <c r="Y4" i="8" s="1"/>
  <c r="N4" i="8"/>
  <c r="M4" i="7"/>
  <c r="Y4" i="7" s="1"/>
  <c r="M19" i="7"/>
  <c r="Y19" i="7" s="1"/>
  <c r="M27" i="6"/>
  <c r="Y27" i="6" s="1"/>
  <c r="O25" i="7"/>
  <c r="AA25" i="7" s="1"/>
  <c r="N25" i="7"/>
  <c r="M25" i="7"/>
  <c r="Y25" i="7" s="1"/>
  <c r="O24" i="7"/>
  <c r="AA24" i="7" s="1"/>
  <c r="N24" i="7"/>
  <c r="Z24" i="7" s="1"/>
  <c r="M24" i="7"/>
  <c r="N18" i="6"/>
  <c r="O4" i="7"/>
  <c r="AA4" i="7" s="1"/>
  <c r="N4" i="7"/>
  <c r="O23" i="7"/>
  <c r="AA23" i="7" s="1"/>
  <c r="N23" i="7"/>
  <c r="M23" i="7"/>
  <c r="Y23" i="7" s="1"/>
  <c r="O22" i="7"/>
  <c r="AA22" i="7" s="1"/>
  <c r="N22" i="7"/>
  <c r="M22" i="7"/>
  <c r="Y22" i="7" s="1"/>
  <c r="O21" i="7"/>
  <c r="AA21" i="7" s="1"/>
  <c r="M21" i="7"/>
  <c r="Y21" i="7" s="1"/>
  <c r="N21" i="7"/>
  <c r="N20" i="7"/>
  <c r="O20" i="7"/>
  <c r="AA20" i="7" s="1"/>
  <c r="M20" i="7"/>
  <c r="Y20" i="7" s="1"/>
  <c r="O19" i="7"/>
  <c r="AA19" i="7" s="1"/>
  <c r="N19" i="7"/>
  <c r="O18" i="7"/>
  <c r="AA18" i="7" s="1"/>
  <c r="N18" i="7"/>
  <c r="M18" i="7"/>
  <c r="Y18" i="7" s="1"/>
  <c r="O17" i="7"/>
  <c r="AA17" i="7" s="1"/>
  <c r="N17" i="7"/>
  <c r="M17" i="7"/>
  <c r="Y17" i="7" s="1"/>
  <c r="N16" i="7"/>
  <c r="O16" i="7"/>
  <c r="AA16" i="7" s="1"/>
  <c r="M16" i="7"/>
  <c r="Y16" i="7" s="1"/>
  <c r="O15" i="7"/>
  <c r="AA15" i="7" s="1"/>
  <c r="N15" i="7"/>
  <c r="M15" i="7"/>
  <c r="Y15" i="7" s="1"/>
  <c r="M14" i="7"/>
  <c r="Y14" i="7" s="1"/>
  <c r="N14" i="7"/>
  <c r="O14" i="7"/>
  <c r="AA14" i="7" s="1"/>
  <c r="N13" i="7"/>
  <c r="O13" i="7"/>
  <c r="AA13" i="7" s="1"/>
  <c r="M13" i="7"/>
  <c r="Y13" i="7" s="1"/>
  <c r="M12" i="7"/>
  <c r="Y12" i="7" s="1"/>
  <c r="O12" i="7"/>
  <c r="AA12" i="7" s="1"/>
  <c r="N12" i="7"/>
  <c r="O11" i="7"/>
  <c r="AA11" i="7" s="1"/>
  <c r="N11" i="7"/>
  <c r="M11" i="7"/>
  <c r="Y11" i="7" s="1"/>
  <c r="O10" i="7"/>
  <c r="AA10" i="7" s="1"/>
  <c r="M10" i="7"/>
  <c r="Y10" i="7" s="1"/>
  <c r="N10" i="7"/>
  <c r="M9" i="7"/>
  <c r="Y9" i="7" s="1"/>
  <c r="O9" i="7"/>
  <c r="AA9" i="7" s="1"/>
  <c r="N9" i="7"/>
  <c r="M8" i="7"/>
  <c r="Y8" i="7" s="1"/>
  <c r="N8" i="7"/>
  <c r="O8" i="7"/>
  <c r="AA8" i="7" s="1"/>
  <c r="O7" i="7"/>
  <c r="AA7" i="7" s="1"/>
  <c r="N7" i="7"/>
  <c r="M7" i="7"/>
  <c r="Y7" i="7" s="1"/>
  <c r="N6" i="7"/>
  <c r="M6" i="7"/>
  <c r="O6" i="7"/>
  <c r="AA6" i="7" s="1"/>
  <c r="O5" i="7"/>
  <c r="AA5" i="7" s="1"/>
  <c r="N5" i="7"/>
  <c r="M5" i="7"/>
  <c r="Y5" i="7" s="1"/>
  <c r="M21" i="6"/>
  <c r="Y21" i="6" s="1"/>
  <c r="N27" i="6"/>
  <c r="O27" i="6"/>
  <c r="AA27" i="6" s="1"/>
  <c r="M25" i="6"/>
  <c r="Y25" i="6" s="1"/>
  <c r="N25" i="6"/>
  <c r="O24" i="6"/>
  <c r="AA24" i="6" s="1"/>
  <c r="N24" i="6"/>
  <c r="M24" i="6"/>
  <c r="Y24" i="6" s="1"/>
  <c r="O25" i="6"/>
  <c r="AA25" i="6" s="1"/>
  <c r="O23" i="6"/>
  <c r="AA23" i="6" s="1"/>
  <c r="M23" i="6"/>
  <c r="Y23" i="6" s="1"/>
  <c r="N23" i="6"/>
  <c r="O22" i="6"/>
  <c r="AA22" i="6" s="1"/>
  <c r="N22" i="6"/>
  <c r="M22" i="6"/>
  <c r="Y22" i="6" s="1"/>
  <c r="M18" i="6"/>
  <c r="Y18" i="6" s="1"/>
  <c r="N19" i="6"/>
  <c r="N21" i="6"/>
  <c r="O21" i="6"/>
  <c r="AA21" i="6" s="1"/>
  <c r="N20" i="6"/>
  <c r="Z20" i="6" s="1"/>
  <c r="M20" i="6"/>
  <c r="Y20" i="6" s="1"/>
  <c r="M19" i="6"/>
  <c r="Y19" i="6" s="1"/>
  <c r="O19" i="6"/>
  <c r="AA19" i="6" s="1"/>
  <c r="O20" i="6"/>
  <c r="AA20" i="6" s="1"/>
  <c r="O18" i="6"/>
  <c r="AA18" i="6" s="1"/>
  <c r="O17" i="6"/>
  <c r="AA17" i="6" s="1"/>
  <c r="N17" i="6"/>
  <c r="M17" i="6"/>
  <c r="Y17" i="6" s="1"/>
  <c r="M16" i="6"/>
  <c r="Y16" i="6" s="1"/>
  <c r="M15" i="6"/>
  <c r="Y15" i="6" s="1"/>
  <c r="N16" i="6"/>
  <c r="O16" i="6"/>
  <c r="AA16" i="6" s="1"/>
  <c r="O15" i="6"/>
  <c r="AA15" i="6" s="1"/>
  <c r="N15" i="6"/>
  <c r="M14" i="6"/>
  <c r="N14" i="6"/>
  <c r="Z14" i="6" s="1"/>
  <c r="O14" i="6"/>
  <c r="AA14" i="6" s="1"/>
  <c r="M9" i="6"/>
  <c r="Y9" i="6" s="1"/>
  <c r="M8" i="6"/>
  <c r="Y8" i="6" s="1"/>
  <c r="N9" i="6"/>
  <c r="O9" i="6"/>
  <c r="AA9" i="6" s="1"/>
  <c r="O8" i="6"/>
  <c r="AA8" i="6" s="1"/>
  <c r="N8" i="6"/>
  <c r="O7" i="6"/>
  <c r="AA7" i="6" s="1"/>
  <c r="N7" i="6"/>
  <c r="M7" i="6"/>
  <c r="Y7" i="6" s="1"/>
  <c r="M5" i="6"/>
  <c r="Y5" i="6" s="1"/>
  <c r="O5" i="6"/>
  <c r="AA5" i="6" s="1"/>
  <c r="N5" i="6"/>
  <c r="M4" i="6"/>
  <c r="Y4" i="6" s="1"/>
  <c r="N4" i="6"/>
  <c r="Z4" i="6" s="1"/>
  <c r="O4" i="6"/>
  <c r="M26" i="6"/>
  <c r="Y26" i="6" s="1"/>
  <c r="N26" i="6"/>
  <c r="O26" i="6"/>
  <c r="AA26" i="6" s="1"/>
  <c r="O12" i="6"/>
  <c r="AA12" i="6" s="1"/>
  <c r="N12" i="6"/>
  <c r="M12" i="6"/>
  <c r="Y12" i="6" s="1"/>
  <c r="M6" i="6"/>
  <c r="Y6" i="6" s="1"/>
  <c r="O6" i="6"/>
  <c r="AA6" i="6" s="1"/>
  <c r="N6" i="6"/>
  <c r="N10" i="6"/>
  <c r="O10" i="6"/>
  <c r="AA10" i="6" s="1"/>
  <c r="M10" i="6"/>
  <c r="Y10" i="6" s="1"/>
  <c r="M18" i="5"/>
  <c r="Y18" i="5" s="1"/>
  <c r="M19" i="4"/>
  <c r="Y19" i="4" s="1"/>
  <c r="O19" i="4"/>
  <c r="AA19" i="4" s="1"/>
  <c r="N19" i="4"/>
  <c r="N10" i="5"/>
  <c r="O10" i="5"/>
  <c r="AA10" i="5" s="1"/>
  <c r="M10" i="5"/>
  <c r="Y10" i="5" s="1"/>
  <c r="O9" i="5"/>
  <c r="AA9" i="5" s="1"/>
  <c r="M9" i="5"/>
  <c r="Y9" i="5" s="1"/>
  <c r="N9" i="5"/>
  <c r="O8" i="5"/>
  <c r="AA8" i="5" s="1"/>
  <c r="M8" i="5"/>
  <c r="Y8" i="5" s="1"/>
  <c r="N8" i="5"/>
  <c r="N7" i="5"/>
  <c r="M7" i="5"/>
  <c r="Y7" i="5" s="1"/>
  <c r="O7" i="5"/>
  <c r="AA7" i="5" s="1"/>
  <c r="O6" i="5"/>
  <c r="AA6" i="5" s="1"/>
  <c r="M6" i="5"/>
  <c r="Y6" i="5" s="1"/>
  <c r="N6" i="5"/>
  <c r="O5" i="5"/>
  <c r="AA5" i="5" s="1"/>
  <c r="M5" i="5"/>
  <c r="Y5" i="5" s="1"/>
  <c r="N5" i="5"/>
  <c r="N4" i="5"/>
  <c r="O4" i="5"/>
  <c r="AA4" i="5" s="1"/>
  <c r="M4" i="5"/>
  <c r="Y4" i="5" s="1"/>
  <c r="N19" i="5"/>
  <c r="M19" i="5"/>
  <c r="Y19" i="5" s="1"/>
  <c r="O19" i="5"/>
  <c r="AA19" i="5" s="1"/>
  <c r="O11" i="5"/>
  <c r="AA11" i="5" s="1"/>
  <c r="N11" i="5"/>
  <c r="M11" i="5"/>
  <c r="Y11" i="5" s="1"/>
  <c r="O18" i="5"/>
  <c r="AA18" i="5" s="1"/>
  <c r="N18" i="5"/>
  <c r="M16" i="5"/>
  <c r="Y16" i="5" s="1"/>
  <c r="N16" i="5"/>
  <c r="O16" i="5"/>
  <c r="AA16" i="5" s="1"/>
  <c r="O15" i="5"/>
  <c r="AA15" i="5" s="1"/>
  <c r="N15" i="5"/>
  <c r="M15" i="5"/>
  <c r="Y15" i="5" s="1"/>
  <c r="N14" i="5"/>
  <c r="O14" i="5"/>
  <c r="AA14" i="5" s="1"/>
  <c r="M14" i="5"/>
  <c r="Y14" i="5" s="1"/>
  <c r="M12" i="5"/>
  <c r="Y12" i="5" s="1"/>
  <c r="N12" i="5"/>
  <c r="O12" i="5"/>
  <c r="AA12" i="5" s="1"/>
  <c r="O17" i="4"/>
  <c r="AA17" i="4" s="1"/>
  <c r="N17" i="4"/>
  <c r="M17" i="4"/>
  <c r="Y17" i="4" s="1"/>
  <c r="O18" i="4"/>
  <c r="AA18" i="4" s="1"/>
  <c r="N18" i="4"/>
  <c r="Z18" i="4" s="1"/>
  <c r="M18" i="4"/>
  <c r="M16" i="4"/>
  <c r="Y16" i="4" s="1"/>
  <c r="O16" i="4"/>
  <c r="AA16" i="4" s="1"/>
  <c r="N16" i="4"/>
  <c r="M15" i="4"/>
  <c r="Y15" i="4" s="1"/>
  <c r="O15" i="4"/>
  <c r="AA15" i="4" s="1"/>
  <c r="N15" i="4"/>
  <c r="M14" i="4"/>
  <c r="Y14" i="4" s="1"/>
  <c r="O14" i="4"/>
  <c r="AA14" i="4" s="1"/>
  <c r="N14" i="4"/>
  <c r="O13" i="4"/>
  <c r="AA13" i="4" s="1"/>
  <c r="M13" i="4"/>
  <c r="Y13" i="4" s="1"/>
  <c r="N13" i="4"/>
  <c r="N12" i="4"/>
  <c r="O12" i="4"/>
  <c r="AA12" i="4" s="1"/>
  <c r="M12" i="4"/>
  <c r="Y12" i="4" s="1"/>
  <c r="N11" i="4"/>
  <c r="M11" i="4"/>
  <c r="Y11" i="4" s="1"/>
  <c r="O11" i="4"/>
  <c r="AA11" i="4" s="1"/>
  <c r="O10" i="4"/>
  <c r="AA10" i="4" s="1"/>
  <c r="M10" i="4"/>
  <c r="Y10" i="4" s="1"/>
  <c r="N10" i="4"/>
  <c r="M9" i="4"/>
  <c r="Y9" i="4" s="1"/>
  <c r="N9" i="4"/>
  <c r="O9" i="4"/>
  <c r="AA9" i="4" s="1"/>
  <c r="N8" i="4"/>
  <c r="M8" i="4"/>
  <c r="Y8" i="4" s="1"/>
  <c r="O8" i="4"/>
  <c r="AA8" i="4" s="1"/>
  <c r="M7" i="4"/>
  <c r="Y7" i="4" s="1"/>
  <c r="N7" i="4"/>
  <c r="O7" i="4"/>
  <c r="AA7" i="4" s="1"/>
  <c r="N6" i="4"/>
  <c r="O6" i="4"/>
  <c r="AA6" i="4" s="1"/>
  <c r="M6" i="4"/>
  <c r="Y6" i="4" s="1"/>
  <c r="M5" i="4"/>
  <c r="Y5" i="4" s="1"/>
  <c r="O5" i="4"/>
  <c r="AA5" i="4" s="1"/>
  <c r="N5" i="4"/>
  <c r="M4" i="4"/>
  <c r="Y4" i="4" s="1"/>
  <c r="O4" i="4"/>
  <c r="AA4" i="4" s="1"/>
  <c r="N4" i="4"/>
  <c r="C26" i="12"/>
  <c r="D25" i="12"/>
  <c r="C25" i="12"/>
  <c r="C29" i="12"/>
  <c r="C30" i="12"/>
  <c r="D24" i="12"/>
  <c r="C24" i="12"/>
  <c r="D29" i="12"/>
  <c r="B27" i="12"/>
  <c r="E25" i="12"/>
  <c r="E24" i="12"/>
  <c r="C26" i="11"/>
  <c r="D25" i="11"/>
  <c r="C25" i="11"/>
  <c r="C29" i="11"/>
  <c r="C30" i="11"/>
  <c r="D24" i="11"/>
  <c r="C24" i="11"/>
  <c r="D29" i="11"/>
  <c r="B27" i="11"/>
  <c r="E25" i="11"/>
  <c r="E24" i="11"/>
  <c r="C32" i="10"/>
  <c r="D31" i="10"/>
  <c r="C31" i="10"/>
  <c r="C35" i="10"/>
  <c r="C36" i="10"/>
  <c r="D30" i="10"/>
  <c r="C30" i="10"/>
  <c r="D35" i="10"/>
  <c r="B33" i="10"/>
  <c r="E31" i="10"/>
  <c r="E30" i="10"/>
  <c r="C34" i="9"/>
  <c r="D33" i="9"/>
  <c r="C33" i="9"/>
  <c r="C37" i="9"/>
  <c r="C38" i="9"/>
  <c r="D32" i="9"/>
  <c r="C32" i="9"/>
  <c r="D37" i="9"/>
  <c r="B35" i="9"/>
  <c r="E33" i="9"/>
  <c r="E32" i="9"/>
  <c r="C31" i="8"/>
  <c r="D30" i="8"/>
  <c r="C30" i="8"/>
  <c r="C34" i="8"/>
  <c r="C35" i="8"/>
  <c r="D29" i="8"/>
  <c r="C29" i="8"/>
  <c r="D34" i="8"/>
  <c r="B32" i="8"/>
  <c r="E30" i="8"/>
  <c r="E29" i="8"/>
  <c r="C32" i="7"/>
  <c r="D31" i="7"/>
  <c r="C31" i="7"/>
  <c r="C35" i="7"/>
  <c r="C36" i="7"/>
  <c r="D30" i="7"/>
  <c r="C30" i="7"/>
  <c r="D35" i="7"/>
  <c r="B33" i="7"/>
  <c r="E31" i="7"/>
  <c r="E30" i="7"/>
  <c r="C34" i="6"/>
  <c r="D33" i="6"/>
  <c r="C33" i="6"/>
  <c r="C37" i="6"/>
  <c r="C38" i="6"/>
  <c r="D32" i="6"/>
  <c r="C32" i="6"/>
  <c r="D37" i="6"/>
  <c r="B35" i="6"/>
  <c r="E33" i="6"/>
  <c r="E32" i="6"/>
  <c r="C26" i="5"/>
  <c r="D25" i="5"/>
  <c r="C25" i="5"/>
  <c r="C29" i="5"/>
  <c r="C30" i="5"/>
  <c r="D24" i="5"/>
  <c r="C24" i="5"/>
  <c r="D29" i="5"/>
  <c r="B27" i="5"/>
  <c r="E25" i="5"/>
  <c r="E24" i="5"/>
  <c r="C26" i="4"/>
  <c r="D25" i="4"/>
  <c r="C25" i="4"/>
  <c r="C29" i="4"/>
  <c r="C30" i="4"/>
  <c r="D24" i="4"/>
  <c r="C24" i="4"/>
  <c r="D29" i="4"/>
  <c r="B27" i="4"/>
  <c r="E25" i="4"/>
  <c r="E24" i="4"/>
  <c r="C41" i="3"/>
  <c r="M14" i="2"/>
  <c r="Y14" i="2" s="1"/>
  <c r="AB34" i="3"/>
  <c r="AA34" i="3"/>
  <c r="Z34" i="3"/>
  <c r="Y34" i="3"/>
  <c r="C23" i="2"/>
  <c r="M13" i="2"/>
  <c r="O13" i="2"/>
  <c r="AA13" i="2" s="1"/>
  <c r="N13" i="2"/>
  <c r="Z13" i="2" s="1"/>
  <c r="D40" i="3"/>
  <c r="C40" i="3"/>
  <c r="C44" i="3"/>
  <c r="C45" i="3"/>
  <c r="D39" i="3"/>
  <c r="C39" i="3"/>
  <c r="D44" i="3"/>
  <c r="B42" i="3"/>
  <c r="E40" i="3"/>
  <c r="E39" i="3"/>
  <c r="C22" i="2"/>
  <c r="D22" i="2"/>
  <c r="D21" i="2"/>
  <c r="C21" i="2"/>
  <c r="C26" i="2"/>
  <c r="C27" i="2"/>
  <c r="E21" i="2"/>
  <c r="E22" i="2"/>
  <c r="B24" i="2"/>
  <c r="D26" i="2"/>
  <c r="M15" i="2"/>
  <c r="Y15" i="2" s="1"/>
  <c r="N15" i="2"/>
  <c r="O15" i="2"/>
  <c r="AA15" i="2" s="1"/>
  <c r="N14" i="2"/>
  <c r="O14" i="2"/>
  <c r="AA14" i="2" s="1"/>
  <c r="N12" i="2"/>
  <c r="O12" i="2"/>
  <c r="AA12" i="2" s="1"/>
  <c r="M12" i="2"/>
  <c r="Y12" i="2" s="1"/>
  <c r="M11" i="2"/>
  <c r="Y11" i="2" s="1"/>
  <c r="N11" i="2"/>
  <c r="O11" i="2"/>
  <c r="AA11" i="2" s="1"/>
  <c r="O10" i="2"/>
  <c r="AA10" i="2" s="1"/>
  <c r="N10" i="2"/>
  <c r="M10" i="2"/>
  <c r="M9" i="2"/>
  <c r="Y9" i="2" s="1"/>
  <c r="N9" i="2"/>
  <c r="O9" i="2"/>
  <c r="AA9" i="2" s="1"/>
  <c r="O8" i="2"/>
  <c r="AA8" i="2" s="1"/>
  <c r="M8" i="2"/>
  <c r="Y8" i="2" s="1"/>
  <c r="N8" i="2"/>
  <c r="N7" i="2"/>
  <c r="O7" i="2"/>
  <c r="AA7" i="2" s="1"/>
  <c r="M7" i="2"/>
  <c r="Y7" i="2" s="1"/>
  <c r="N6" i="2"/>
  <c r="O6" i="2"/>
  <c r="AA6" i="2" s="1"/>
  <c r="M6" i="2"/>
  <c r="Y6" i="2" s="1"/>
  <c r="M5" i="2"/>
  <c r="Y5" i="2" s="1"/>
  <c r="O5" i="2"/>
  <c r="AA5" i="2" s="1"/>
  <c r="N5" i="2"/>
  <c r="O4" i="2"/>
  <c r="AA4" i="2" s="1"/>
  <c r="M4" i="2"/>
  <c r="Y4" i="2" s="1"/>
  <c r="N4" i="2"/>
  <c r="N16" i="2"/>
  <c r="O16" i="2"/>
  <c r="AA16" i="2" s="1"/>
  <c r="M16" i="2"/>
  <c r="Y16" i="2" s="1"/>
  <c r="J13" i="6" l="1"/>
  <c r="J11" i="6"/>
  <c r="Y6" i="7"/>
  <c r="AB6" i="7"/>
  <c r="J19" i="9"/>
  <c r="J27" i="9"/>
  <c r="J21" i="9"/>
  <c r="J14" i="12"/>
  <c r="J8" i="11"/>
  <c r="J22" i="9"/>
  <c r="J7" i="11"/>
  <c r="J9" i="11"/>
  <c r="J20" i="9"/>
  <c r="J13" i="12"/>
  <c r="J12" i="12"/>
  <c r="AA14" i="12"/>
  <c r="J18" i="9"/>
  <c r="J6" i="11"/>
  <c r="J13" i="11"/>
  <c r="J5" i="11"/>
  <c r="J15" i="12"/>
  <c r="J6" i="12"/>
  <c r="J18" i="11"/>
  <c r="AA12" i="12"/>
  <c r="J4" i="12"/>
  <c r="Z19" i="12"/>
  <c r="J19" i="12"/>
  <c r="Z12" i="9"/>
  <c r="J12" i="9"/>
  <c r="Z18" i="12"/>
  <c r="J18" i="12"/>
  <c r="Z17" i="12"/>
  <c r="J17" i="12"/>
  <c r="J14" i="11"/>
  <c r="Z16" i="12"/>
  <c r="J16" i="12"/>
  <c r="J11" i="12"/>
  <c r="Z10" i="12"/>
  <c r="J10" i="12"/>
  <c r="Z9" i="12"/>
  <c r="J9" i="12"/>
  <c r="Z8" i="12"/>
  <c r="J8" i="12"/>
  <c r="J4" i="9"/>
  <c r="Z4" i="9"/>
  <c r="Z7" i="12"/>
  <c r="J7" i="12"/>
  <c r="Z5" i="12"/>
  <c r="J5" i="12"/>
  <c r="J23" i="9"/>
  <c r="Z23" i="9"/>
  <c r="J10" i="11"/>
  <c r="Z10" i="11"/>
  <c r="J24" i="9"/>
  <c r="Z24" i="9"/>
  <c r="Z19" i="11"/>
  <c r="J19" i="11"/>
  <c r="Z17" i="11"/>
  <c r="J17" i="11"/>
  <c r="Z16" i="11"/>
  <c r="J16" i="11"/>
  <c r="J11" i="11"/>
  <c r="Z11" i="11"/>
  <c r="J25" i="9"/>
  <c r="Z25" i="9"/>
  <c r="J26" i="9"/>
  <c r="Z26" i="9"/>
  <c r="J12" i="11"/>
  <c r="Z12" i="11"/>
  <c r="J21" i="10"/>
  <c r="J22" i="10"/>
  <c r="Z22" i="10"/>
  <c r="J25" i="10"/>
  <c r="Z25" i="10"/>
  <c r="Z20" i="10"/>
  <c r="J20" i="10"/>
  <c r="Z19" i="10"/>
  <c r="J19" i="10"/>
  <c r="Z16" i="10"/>
  <c r="J16" i="10"/>
  <c r="J11" i="10"/>
  <c r="Z11" i="10"/>
  <c r="J15" i="11"/>
  <c r="Z15" i="11"/>
  <c r="J4" i="11"/>
  <c r="Z4" i="11"/>
  <c r="Z14" i="10"/>
  <c r="J14" i="10"/>
  <c r="Z10" i="10"/>
  <c r="J10" i="10"/>
  <c r="J24" i="10"/>
  <c r="Z24" i="10"/>
  <c r="J23" i="10"/>
  <c r="Z23" i="10"/>
  <c r="J5" i="10"/>
  <c r="Z5" i="10"/>
  <c r="Y24" i="7"/>
  <c r="J24" i="7"/>
  <c r="J18" i="10"/>
  <c r="Z18" i="10"/>
  <c r="J6" i="10"/>
  <c r="Z6" i="10"/>
  <c r="J14" i="8"/>
  <c r="Z14" i="8"/>
  <c r="J13" i="8"/>
  <c r="Z13" i="8"/>
  <c r="J12" i="8"/>
  <c r="Z12" i="8"/>
  <c r="J11" i="8"/>
  <c r="Z11" i="8"/>
  <c r="J10" i="8"/>
  <c r="Z10" i="8"/>
  <c r="J9" i="8"/>
  <c r="Z9" i="8"/>
  <c r="J19" i="8"/>
  <c r="J17" i="10"/>
  <c r="Z17" i="10"/>
  <c r="J16" i="8"/>
  <c r="Z16" i="8"/>
  <c r="J15" i="8"/>
  <c r="Z15" i="8"/>
  <c r="J15" i="10"/>
  <c r="Z15" i="10"/>
  <c r="J13" i="10"/>
  <c r="Z13" i="10"/>
  <c r="J12" i="10"/>
  <c r="Z12" i="10"/>
  <c r="J9" i="10"/>
  <c r="Z9" i="10"/>
  <c r="J8" i="10"/>
  <c r="Z8" i="10"/>
  <c r="J7" i="10"/>
  <c r="Z7" i="10"/>
  <c r="J4" i="10"/>
  <c r="Z4" i="10"/>
  <c r="Y6" i="9"/>
  <c r="J6" i="9"/>
  <c r="J17" i="8"/>
  <c r="Z17" i="8"/>
  <c r="J17" i="9"/>
  <c r="Z17" i="9"/>
  <c r="J16" i="9"/>
  <c r="Z16" i="9"/>
  <c r="J18" i="8"/>
  <c r="Z18" i="8"/>
  <c r="J6" i="8"/>
  <c r="Z6" i="8"/>
  <c r="J15" i="9"/>
  <c r="Z15" i="9"/>
  <c r="J14" i="9"/>
  <c r="Z14" i="9"/>
  <c r="J13" i="9"/>
  <c r="Z13" i="9"/>
  <c r="J11" i="9"/>
  <c r="Z11" i="9"/>
  <c r="J10" i="9"/>
  <c r="Z10" i="9"/>
  <c r="J9" i="9"/>
  <c r="Z9" i="9"/>
  <c r="J8" i="9"/>
  <c r="Z8" i="9"/>
  <c r="J7" i="9"/>
  <c r="Z7" i="9"/>
  <c r="J5" i="9"/>
  <c r="Z5" i="9"/>
  <c r="J5" i="8"/>
  <c r="Z5" i="8"/>
  <c r="J24" i="8"/>
  <c r="Z24" i="8"/>
  <c r="J23" i="8"/>
  <c r="Z23" i="8"/>
  <c r="J22" i="8"/>
  <c r="Z22" i="8"/>
  <c r="J21" i="8"/>
  <c r="Z21" i="8"/>
  <c r="J20" i="8"/>
  <c r="Z20" i="8"/>
  <c r="J8" i="8"/>
  <c r="Z8" i="8"/>
  <c r="J7" i="8"/>
  <c r="Z7" i="8"/>
  <c r="J4" i="8"/>
  <c r="Z4" i="8"/>
  <c r="Z25" i="6"/>
  <c r="J25" i="6"/>
  <c r="J20" i="6"/>
  <c r="J25" i="7"/>
  <c r="Z25" i="7"/>
  <c r="Z18" i="6"/>
  <c r="J18" i="6"/>
  <c r="J19" i="6"/>
  <c r="Z19" i="6"/>
  <c r="J4" i="7"/>
  <c r="Z4" i="7"/>
  <c r="J23" i="7"/>
  <c r="Z23" i="7"/>
  <c r="J22" i="7"/>
  <c r="Z22" i="7"/>
  <c r="J21" i="7"/>
  <c r="Z21" i="7"/>
  <c r="J20" i="7"/>
  <c r="Z20" i="7"/>
  <c r="J19" i="7"/>
  <c r="Z19" i="7"/>
  <c r="J18" i="7"/>
  <c r="Z18" i="7"/>
  <c r="J17" i="7"/>
  <c r="Z17" i="7"/>
  <c r="J16" i="7"/>
  <c r="Z16" i="7"/>
  <c r="J15" i="7"/>
  <c r="Z15" i="7"/>
  <c r="J14" i="7"/>
  <c r="Z14" i="7"/>
  <c r="J13" i="7"/>
  <c r="Z13" i="7"/>
  <c r="J12" i="7"/>
  <c r="Z12" i="7"/>
  <c r="J11" i="7"/>
  <c r="Z11" i="7"/>
  <c r="J10" i="7"/>
  <c r="Z10" i="7"/>
  <c r="J9" i="7"/>
  <c r="Z9" i="7"/>
  <c r="J8" i="7"/>
  <c r="Z8" i="7"/>
  <c r="J7" i="7"/>
  <c r="Z7" i="7"/>
  <c r="J6" i="7"/>
  <c r="Z6" i="7"/>
  <c r="J5" i="7"/>
  <c r="Z5" i="7"/>
  <c r="J27" i="6"/>
  <c r="Z27" i="6"/>
  <c r="J24" i="6"/>
  <c r="Z24" i="6"/>
  <c r="Z22" i="6"/>
  <c r="J22" i="6"/>
  <c r="Z21" i="6"/>
  <c r="J21" i="6"/>
  <c r="J23" i="6"/>
  <c r="Z23" i="6"/>
  <c r="Y14" i="6"/>
  <c r="J14" i="6"/>
  <c r="J17" i="6"/>
  <c r="Z17" i="6"/>
  <c r="J16" i="6"/>
  <c r="Z16" i="6"/>
  <c r="J15" i="6"/>
  <c r="Z15" i="6"/>
  <c r="J9" i="6"/>
  <c r="Z9" i="6"/>
  <c r="J8" i="6"/>
  <c r="Z8" i="6"/>
  <c r="AA4" i="6"/>
  <c r="J4" i="6"/>
  <c r="J7" i="6"/>
  <c r="Z7" i="6"/>
  <c r="J5" i="6"/>
  <c r="Z5" i="6"/>
  <c r="J26" i="6"/>
  <c r="Z26" i="6"/>
  <c r="J12" i="6"/>
  <c r="Z12" i="6"/>
  <c r="J6" i="6"/>
  <c r="Z6" i="6"/>
  <c r="J10" i="6"/>
  <c r="Z10" i="6"/>
  <c r="Y10" i="2"/>
  <c r="AB10" i="2"/>
  <c r="J19" i="4"/>
  <c r="Z19" i="4"/>
  <c r="J10" i="5"/>
  <c r="Z10" i="5"/>
  <c r="J9" i="5"/>
  <c r="Z9" i="5"/>
  <c r="J8" i="5"/>
  <c r="Z8" i="5"/>
  <c r="J7" i="5"/>
  <c r="Z7" i="5"/>
  <c r="J6" i="5"/>
  <c r="Z6" i="5"/>
  <c r="J5" i="5"/>
  <c r="Z5" i="5"/>
  <c r="J4" i="5"/>
  <c r="Z4" i="5"/>
  <c r="J19" i="5"/>
  <c r="Z19" i="5"/>
  <c r="J11" i="5"/>
  <c r="Z11" i="5"/>
  <c r="Y18" i="4"/>
  <c r="J18" i="4"/>
  <c r="J18" i="5"/>
  <c r="Z18" i="5"/>
  <c r="J16" i="5"/>
  <c r="Z16" i="5"/>
  <c r="J15" i="5"/>
  <c r="Z15" i="5"/>
  <c r="J14" i="5"/>
  <c r="Z14" i="5"/>
  <c r="J12" i="5"/>
  <c r="Z12" i="5"/>
  <c r="J17" i="4"/>
  <c r="Z17" i="4"/>
  <c r="J16" i="4"/>
  <c r="Z16" i="4"/>
  <c r="J15" i="4"/>
  <c r="Z15" i="4"/>
  <c r="J14" i="4"/>
  <c r="Z14" i="4"/>
  <c r="J13" i="4"/>
  <c r="Z13" i="4"/>
  <c r="Z10" i="4"/>
  <c r="J10" i="4"/>
  <c r="J12" i="4"/>
  <c r="Z12" i="4"/>
  <c r="J11" i="4"/>
  <c r="Z11" i="4"/>
  <c r="J9" i="4"/>
  <c r="Z9" i="4"/>
  <c r="J8" i="4"/>
  <c r="Z8" i="4"/>
  <c r="J7" i="4"/>
  <c r="Z7" i="4"/>
  <c r="Z4" i="4"/>
  <c r="J4" i="4"/>
  <c r="J6" i="4"/>
  <c r="Z6" i="4"/>
  <c r="J5" i="4"/>
  <c r="Z5" i="4"/>
  <c r="C27" i="12"/>
  <c r="E27" i="12"/>
  <c r="C27" i="11"/>
  <c r="E27" i="11"/>
  <c r="C33" i="10"/>
  <c r="E33" i="10"/>
  <c r="C35" i="9"/>
  <c r="E35" i="9"/>
  <c r="C32" i="8"/>
  <c r="E32" i="8"/>
  <c r="C33" i="7"/>
  <c r="E33" i="7"/>
  <c r="C35" i="6"/>
  <c r="E35" i="6"/>
  <c r="C27" i="5"/>
  <c r="E27" i="5"/>
  <c r="C27" i="4"/>
  <c r="E27" i="4"/>
  <c r="Y13" i="2"/>
  <c r="J13" i="2"/>
  <c r="C42" i="3"/>
  <c r="E42" i="3"/>
  <c r="C24" i="2"/>
  <c r="E24" i="2"/>
  <c r="Z15" i="2"/>
  <c r="J15" i="2"/>
  <c r="J14" i="2"/>
  <c r="Z14" i="2"/>
  <c r="Z12" i="2"/>
  <c r="J12" i="2"/>
  <c r="Z11" i="2"/>
  <c r="J11" i="2"/>
  <c r="J10" i="2"/>
  <c r="Z10" i="2"/>
  <c r="J9" i="2"/>
  <c r="Z9" i="2"/>
  <c r="Z8" i="2"/>
  <c r="J8" i="2"/>
  <c r="J7" i="2"/>
  <c r="Z7" i="2"/>
  <c r="Z6" i="2"/>
  <c r="J6" i="2"/>
  <c r="J5" i="2"/>
  <c r="Z5" i="2"/>
  <c r="Z4" i="2"/>
  <c r="J4" i="2"/>
  <c r="Z16" i="2"/>
  <c r="J16" i="2"/>
</calcChain>
</file>

<file path=xl/sharedStrings.xml><?xml version="1.0" encoding="utf-8"?>
<sst xmlns="http://schemas.openxmlformats.org/spreadsheetml/2006/main" count="1835" uniqueCount="733">
  <si>
    <t>RENEWAL MANAGEMENT TOOL  —  PROPERTY SETUP</t>
  </si>
  <si>
    <t>PROPERTY CONFIGURATION</t>
  </si>
  <si>
    <t>Property Name:</t>
  </si>
  <si>
    <t>← Enter your property name here (blue = input cell)</t>
  </si>
  <si>
    <t>Month / Year:</t>
  </si>
  <si>
    <t>← Enter month and year (e.g., 'April 2026')</t>
  </si>
  <si>
    <t>FLOOR PLAN CONFIGURATION  —  Rates &amp; Occupancy by Unit Type</t>
  </si>
  <si>
    <t>Enter each floor plan type, its current market rate, budget rate, and occupancy status. The renewal tracker sheet uses these values to auto-populate offers — just enter the Unit Type and everything calculates.</t>
  </si>
  <si>
    <t>Floor Plan
Type</t>
  </si>
  <si>
    <t>Market Rate
($)</t>
  </si>
  <si>
    <t>Budget
Rate ($)</t>
  </si>
  <si>
    <t>Occupancy Status
(Under / Over)</t>
  </si>
  <si>
    <t>Unit Description / Notes</t>
  </si>
  <si>
    <t>B1</t>
  </si>
  <si>
    <t>Under</t>
  </si>
  <si>
    <t>1 Bed / 1 Bath</t>
  </si>
  <si>
    <t>C1</t>
  </si>
  <si>
    <t>2 Bed / 2 Bath</t>
  </si>
  <si>
    <t>⚠  Occupancy Status: Type "Under" when floor plan is below occupancy budget target, "Over" when above it. This controls which offer formula tier is applied.</t>
  </si>
  <si>
    <t>HOW TO USE THIS TOOL</t>
  </si>
  <si>
    <t>Step 1 — Configure:</t>
  </si>
  <si>
    <t>Update Property Name and Month/Year above. Enter all floor plan types with market rates, budget rates, and occupancy status (Under/Over). These feed every renewal sheet automatically.</t>
  </si>
  <si>
    <t>Step 2 — Enter Residents:</t>
  </si>
  <si>
    <t>Go to the monthly renewal sheet (e.g., 'Mar 2026'). Type resident data in the orange columns: Name, Unit, Unit Type, Expiration Date, Deposit Held, and Current Rate. All other columns calculate automatically.</t>
  </si>
  <si>
    <t>Step 3 — Track Decisions:</t>
  </si>
  <si>
    <t>As decisions come in, enter dates or notes in the Renewal Signed, Transfer, or NTV Rcv'd columns. Rows auto-color: Green = Renewed, Red = NTV, Blue = Transfer, Yellow = Pending.</t>
  </si>
  <si>
    <t>Step 4 — New Month:</t>
  </si>
  <si>
    <t>Right-click the TEMPLATE tab → 'Move or Copy' → check 'Create a copy' → rename to new month (e.g., 'Apr 2026'). Update Month/Year in this SETUP sheet.</t>
  </si>
  <si>
    <t>Step 5 — New Property:</t>
  </si>
  <si>
    <t>Save a copy of this entire workbook with the new property name. Then update SETUP with the new property name and its floor plan configuration. All sheets reference SETUP automatically.</t>
  </si>
  <si>
    <t>ROW COLOR CODING (auto-applied based on status entries)</t>
  </si>
  <si>
    <t>Renewed</t>
  </si>
  <si>
    <t>A date/value entered in 'Renewal Signed' column (N) turns the row green</t>
  </si>
  <si>
    <t>NTV (Notice to Vacate)</t>
  </si>
  <si>
    <t>A date/value entered in 'NTV Rcv'd' column (P) turns the row red</t>
  </si>
  <si>
    <t>Transfer</t>
  </si>
  <si>
    <t>A date/value entered in 'Transfer' column (O) turns the row blue</t>
  </si>
  <si>
    <t>Pending Signature</t>
  </si>
  <si>
    <t>Color manually with yellow fill using Excel's fill tool</t>
  </si>
  <si>
    <t>MTM (Month-to-Month)</t>
  </si>
  <si>
    <t>Color manually with gray fill using Excel's fill tool</t>
  </si>
  <si>
    <t>Name</t>
  </si>
  <si>
    <t>Unit</t>
  </si>
  <si>
    <t>Unit
Type</t>
  </si>
  <si>
    <t>Expiration
Date</t>
  </si>
  <si>
    <t>90-Day
Notice</t>
  </si>
  <si>
    <t>60-Day
Notice</t>
  </si>
  <si>
    <t>30-Day
Notice</t>
  </si>
  <si>
    <t>Deposit
Held</t>
  </si>
  <si>
    <t>Current
Rate</t>
  </si>
  <si>
    <t>Recommended
Offer</t>
  </si>
  <si>
    <t>Offer 1
Conservative</t>
  </si>
  <si>
    <t>Offer 2
Balanced</t>
  </si>
  <si>
    <t>Offer 3
Aggressive</t>
  </si>
  <si>
    <t>Renewal
Signed</t>
  </si>
  <si>
    <t>NTV
Rcv'd</t>
  </si>
  <si>
    <t>Phone</t>
  </si>
  <si>
    <t>Notes</t>
  </si>
  <si>
    <t>Market
Rate</t>
  </si>
  <si>
    <t>Budget</t>
  </si>
  <si>
    <t>Occupancy
(Under/Over)</t>
  </si>
  <si>
    <t>Rent Growth
Offer 1</t>
  </si>
  <si>
    <t>Rent Growth
Offer 2</t>
  </si>
  <si>
    <t>Rent Growth
Offer 3</t>
  </si>
  <si>
    <t>▼ Enter</t>
  </si>
  <si>
    <t>◀ Auto</t>
  </si>
  <si>
    <t>RETENTION ANALYSIS</t>
  </si>
  <si>
    <t>Metric</t>
  </si>
  <si>
    <t>Count</t>
  </si>
  <si>
    <t>% of Expirations</t>
  </si>
  <si>
    <t>% of Decided</t>
  </si>
  <si>
    <t>Status</t>
  </si>
  <si>
    <t>Total Lease Expirations</t>
  </si>
  <si>
    <t xml:space="preserve">    Renewals Signed</t>
  </si>
  <si>
    <t xml:space="preserve">    NTV's Received</t>
  </si>
  <si>
    <t xml:space="preserve">    Transfers</t>
  </si>
  <si>
    <t>—</t>
  </si>
  <si>
    <t>Resident retained in portfolio</t>
  </si>
  <si>
    <t xml:space="preserve">    Pending / Not Yet Decided</t>
  </si>
  <si>
    <t>RETENTION RATE  (Renewals ÷ Total Expirations)</t>
  </si>
  <si>
    <t>RETENTION RATE  (Renewals ÷ Renewals + NTVs)  ← of decided residents</t>
  </si>
  <si>
    <t>Excludes pending residents — only counts those who have made a decision (renewed or NTV'd)</t>
  </si>
  <si>
    <t>Legend</t>
  </si>
  <si>
    <t>Renewed  (auto: enter date in Renewal Signed)</t>
  </si>
  <si>
    <t>Pending Signature  (manual: apply yellow fill)</t>
  </si>
  <si>
    <t>NTV / Notice to Vacate  (auto: enter date in NTV Rcv'd)</t>
  </si>
  <si>
    <t>Transfer  (auto: enter date in Transfer)</t>
  </si>
  <si>
    <t>MTM / Month-to-Month  (manual: apply gray fill)</t>
  </si>
  <si>
    <t>Investor Override
% Increase</t>
  </si>
  <si>
    <t>Investor Override
Offer</t>
  </si>
  <si>
    <t>Signed
Offer</t>
  </si>
  <si>
    <t>Signed
Rent Growth</t>
  </si>
  <si>
    <t>▼ Select</t>
  </si>
  <si>
    <t>Portfolio Avg
(Excl. NTV) →</t>
  </si>
  <si>
    <t xml:space="preserve">RISE Bartram Park </t>
  </si>
  <si>
    <t>A1</t>
  </si>
  <si>
    <t>A2</t>
  </si>
  <si>
    <t>A3</t>
  </si>
  <si>
    <t>A4</t>
  </si>
  <si>
    <t>A5</t>
  </si>
  <si>
    <t>B2</t>
  </si>
  <si>
    <t>B3</t>
  </si>
  <si>
    <t>B4</t>
  </si>
  <si>
    <t>B5</t>
  </si>
  <si>
    <t>B6</t>
  </si>
  <si>
    <t>B7</t>
  </si>
  <si>
    <t>B8</t>
  </si>
  <si>
    <t>S1</t>
  </si>
  <si>
    <t>S2</t>
  </si>
  <si>
    <t>3 Bed / 2 Bath</t>
  </si>
  <si>
    <t>Over</t>
  </si>
  <si>
    <t>Carlton, Kevin</t>
  </si>
  <si>
    <t>Heaney, Colin</t>
  </si>
  <si>
    <t>Taylor, Jaquez</t>
  </si>
  <si>
    <t>Anderson, Lilah</t>
  </si>
  <si>
    <t>Beren, Theresa</t>
  </si>
  <si>
    <t>Lee, Aspen</t>
  </si>
  <si>
    <t>Johnson, Toby</t>
  </si>
  <si>
    <t>St Louis, Sarah</t>
  </si>
  <si>
    <t>Johnson, Alysa</t>
  </si>
  <si>
    <t>Tumu, Saranya</t>
  </si>
  <si>
    <t>Lin, Jason</t>
  </si>
  <si>
    <t>Naylor, Kyleigh</t>
  </si>
  <si>
    <t>Gallagher, Brittany</t>
  </si>
  <si>
    <t>Wade, DeVonte</t>
  </si>
  <si>
    <t>Gonzalez, Roger</t>
  </si>
  <si>
    <t>Ricks, Tamara</t>
  </si>
  <si>
    <t>3-3313</t>
  </si>
  <si>
    <t>2-2309</t>
  </si>
  <si>
    <t>3-3307</t>
  </si>
  <si>
    <t>1-1113</t>
  </si>
  <si>
    <t>1-1403</t>
  </si>
  <si>
    <t>3-3115</t>
  </si>
  <si>
    <t>2-2411</t>
  </si>
  <si>
    <t>3-3320</t>
  </si>
  <si>
    <t>1-1336</t>
  </si>
  <si>
    <t>1-1327</t>
  </si>
  <si>
    <t>1-1303</t>
  </si>
  <si>
    <t>1-1209</t>
  </si>
  <si>
    <t>1-1331</t>
  </si>
  <si>
    <t>1-1109</t>
  </si>
  <si>
    <t>3-3211</t>
  </si>
  <si>
    <t>1-1239</t>
  </si>
  <si>
    <t>Farraye, Andrew</t>
  </si>
  <si>
    <t>Tyson, Mikhal</t>
  </si>
  <si>
    <t>Wong, Britt</t>
  </si>
  <si>
    <t>Molina, Andrew</t>
  </si>
  <si>
    <t>Higginbotham, Brandi</t>
  </si>
  <si>
    <t>Tsenuokpor, Justice</t>
  </si>
  <si>
    <t>Rivera, Daniel</t>
  </si>
  <si>
    <t>Sanford, Trevor</t>
  </si>
  <si>
    <t>Blair, Shea</t>
  </si>
  <si>
    <t>Aluague, Bethanny</t>
  </si>
  <si>
    <t>Bellamy Sr, Kimberly</t>
  </si>
  <si>
    <t>Mantel, Donna</t>
  </si>
  <si>
    <t>Biddle, Kimberly</t>
  </si>
  <si>
    <t>Mahone, Rodney</t>
  </si>
  <si>
    <t>Ali, Vaqar</t>
  </si>
  <si>
    <t>McCall, Tyler</t>
  </si>
  <si>
    <t>1-1411</t>
  </si>
  <si>
    <t>1-1136</t>
  </si>
  <si>
    <t>1-1406</t>
  </si>
  <si>
    <t>3-3215</t>
  </si>
  <si>
    <t>3-3217</t>
  </si>
  <si>
    <t>1-1216</t>
  </si>
  <si>
    <t>3-3117</t>
  </si>
  <si>
    <t>1-1404</t>
  </si>
  <si>
    <t>1-1219</t>
  </si>
  <si>
    <t>2-2317</t>
  </si>
  <si>
    <t>1-1101</t>
  </si>
  <si>
    <t>1-1321</t>
  </si>
  <si>
    <t>2-2417</t>
  </si>
  <si>
    <t>3-3108</t>
  </si>
  <si>
    <t>1-1322</t>
  </si>
  <si>
    <t>3-3202</t>
  </si>
  <si>
    <t>Alvarez, Sofia</t>
  </si>
  <si>
    <t>Marsh, William</t>
  </si>
  <si>
    <t>Small, Collin</t>
  </si>
  <si>
    <t>Allen, Christopher</t>
  </si>
  <si>
    <t>Stevenson III, Frank</t>
  </si>
  <si>
    <t>Brown, Cynthia</t>
  </si>
  <si>
    <t>Holeva, Barbara</t>
  </si>
  <si>
    <t>Navas, Decofru Llc (Eduardo Navas)</t>
  </si>
  <si>
    <t>Amador, Ana</t>
  </si>
  <si>
    <t>Avila, Joey</t>
  </si>
  <si>
    <t>Pysmenov, Roman</t>
  </si>
  <si>
    <t>Lopez, Christopher</t>
  </si>
  <si>
    <t>Grover, Hailey</t>
  </si>
  <si>
    <t>Spears, Dajai</t>
  </si>
  <si>
    <t>Richmond, Toby</t>
  </si>
  <si>
    <t>Gonzalez, William</t>
  </si>
  <si>
    <t>Ellington, Cliphane</t>
  </si>
  <si>
    <t>Graham-Richardson, James</t>
  </si>
  <si>
    <t>Napier, Alvin</t>
  </si>
  <si>
    <t>Torrez, Jerry</t>
  </si>
  <si>
    <t>Ayers, Sheila</t>
  </si>
  <si>
    <t>Matlock, Morgan</t>
  </si>
  <si>
    <t>Fabre, Analise</t>
  </si>
  <si>
    <t>1-1436</t>
  </si>
  <si>
    <t>1-1134</t>
  </si>
  <si>
    <t>2-2114</t>
  </si>
  <si>
    <t>1-1408</t>
  </si>
  <si>
    <t>1-1424</t>
  </si>
  <si>
    <t>1-1218</t>
  </si>
  <si>
    <t>1-1207</t>
  </si>
  <si>
    <t>2-2416</t>
  </si>
  <si>
    <t>1-1127</t>
  </si>
  <si>
    <t>1-1231</t>
  </si>
  <si>
    <t>1-1421</t>
  </si>
  <si>
    <t>3-3407</t>
  </si>
  <si>
    <t>3-3420</t>
  </si>
  <si>
    <t>1-1233</t>
  </si>
  <si>
    <t>2-2112</t>
  </si>
  <si>
    <t>1-1217</t>
  </si>
  <si>
    <t>1-1226</t>
  </si>
  <si>
    <t>2-2201</t>
  </si>
  <si>
    <t>3-3315</t>
  </si>
  <si>
    <t>1-1438</t>
  </si>
  <si>
    <t>2-2325</t>
  </si>
  <si>
    <t>2-2431</t>
  </si>
  <si>
    <t>3-3212</t>
  </si>
  <si>
    <t>3-3216</t>
  </si>
  <si>
    <t>Investor Override</t>
  </si>
  <si>
    <t>Relocating</t>
  </si>
  <si>
    <t>Fussell, Callie</t>
  </si>
  <si>
    <t>1-1407</t>
  </si>
  <si>
    <t>Jones, Bhrett</t>
  </si>
  <si>
    <t>2-2103</t>
  </si>
  <si>
    <t>Maslennikov, George</t>
  </si>
  <si>
    <t>2-2405</t>
  </si>
  <si>
    <t>Meador, Camden</t>
  </si>
  <si>
    <t>3-3302</t>
  </si>
  <si>
    <t>Isenbeck, Eric</t>
  </si>
  <si>
    <t>1-1415</t>
  </si>
  <si>
    <t>Contreras, Alfonso</t>
  </si>
  <si>
    <t>2-2132</t>
  </si>
  <si>
    <t>Crowley Sr, Chris</t>
  </si>
  <si>
    <t>3-3105</t>
  </si>
  <si>
    <t>Harper, Elise</t>
  </si>
  <si>
    <t>3-3205</t>
  </si>
  <si>
    <t>Clement, Justin</t>
  </si>
  <si>
    <t>1-1418</t>
  </si>
  <si>
    <t>Leveson, Madelyne</t>
  </si>
  <si>
    <t>3-3107</t>
  </si>
  <si>
    <t>Morris, Kortney</t>
  </si>
  <si>
    <t>1-1426</t>
  </si>
  <si>
    <t>Beardsley, Aaron</t>
  </si>
  <si>
    <t>1-1419</t>
  </si>
  <si>
    <t>Murdock, John</t>
  </si>
  <si>
    <t>2-2421</t>
  </si>
  <si>
    <t>Health Reasons</t>
  </si>
  <si>
    <t>Unhappy with neighbors</t>
  </si>
  <si>
    <t>(904) 651-7156</t>
  </si>
  <si>
    <t>(904) 466-3800</t>
  </si>
  <si>
    <t>(507) 696-2431</t>
  </si>
  <si>
    <t>Kennedy, Samantha</t>
  </si>
  <si>
    <t>Levin, Michael</t>
  </si>
  <si>
    <t>Cordero, Steven</t>
  </si>
  <si>
    <t>Nostrates, Edward Paul</t>
  </si>
  <si>
    <t>Masters, Margaret</t>
  </si>
  <si>
    <t>Skinner, Colleen</t>
  </si>
  <si>
    <t>Esquierdo, John</t>
  </si>
  <si>
    <t>Vredenburg, Ethan</t>
  </si>
  <si>
    <t>Brown, Cedric</t>
  </si>
  <si>
    <t>Torrealba, Carlos</t>
  </si>
  <si>
    <t>Lanoux, Madison</t>
  </si>
  <si>
    <t>Rich, Angela</t>
  </si>
  <si>
    <t>Thomas, Georgiana</t>
  </si>
  <si>
    <t>Henry, Mckenzie</t>
  </si>
  <si>
    <t>Patel, Pravakinkumar</t>
  </si>
  <si>
    <t>Masciantonio, Jessica</t>
  </si>
  <si>
    <t>Slama, Azer</t>
  </si>
  <si>
    <t>Salas, Angeleta</t>
  </si>
  <si>
    <t>Carson, Jessica</t>
  </si>
  <si>
    <t>Gonzalez, Faviola</t>
  </si>
  <si>
    <t>Palomo, Trexie</t>
  </si>
  <si>
    <t>Boyce, Chelisa</t>
  </si>
  <si>
    <t>3-3317</t>
  </si>
  <si>
    <t>3-3112</t>
  </si>
  <si>
    <t>1-1129</t>
  </si>
  <si>
    <t>1-1117</t>
  </si>
  <si>
    <t>3-3303</t>
  </si>
  <si>
    <t>1-1316</t>
  </si>
  <si>
    <t>3-3304</t>
  </si>
  <si>
    <t>1-1409</t>
  </si>
  <si>
    <t>1-1325</t>
  </si>
  <si>
    <t>2-2217</t>
  </si>
  <si>
    <t>3-3119</t>
  </si>
  <si>
    <t>2-2409</t>
  </si>
  <si>
    <t>1-1338</t>
  </si>
  <si>
    <t>1-1318</t>
  </si>
  <si>
    <t>2-2232</t>
  </si>
  <si>
    <t>2-2332</t>
  </si>
  <si>
    <t>1-1237</t>
  </si>
  <si>
    <t>3-3310</t>
  </si>
  <si>
    <t>2-2105</t>
  </si>
  <si>
    <t>2-2107</t>
  </si>
  <si>
    <t>1-1326</t>
  </si>
  <si>
    <t>3-3414</t>
  </si>
  <si>
    <t>Collier, Makayla</t>
  </si>
  <si>
    <t>McCord, Kaylee</t>
  </si>
  <si>
    <t>Lopez, Jesus</t>
  </si>
  <si>
    <t>Fries, Jared</t>
  </si>
  <si>
    <t>Dalavi, Sudhakar</t>
  </si>
  <si>
    <t>Pittman, Taylor</t>
  </si>
  <si>
    <t>Huertas, Luis</t>
  </si>
  <si>
    <t>Artinger, Ronald</t>
  </si>
  <si>
    <t>Fell, Judy</t>
  </si>
  <si>
    <t>Marques, Roberto</t>
  </si>
  <si>
    <t>Farmer, Joni</t>
  </si>
  <si>
    <t>Guerrero, Maria</t>
  </si>
  <si>
    <t>Roberts, Brianne</t>
  </si>
  <si>
    <t>Copeland, Angela</t>
  </si>
  <si>
    <t>Ryder, Johnny</t>
  </si>
  <si>
    <t>Tanner, Kyle</t>
  </si>
  <si>
    <t>Schoening, Hugo</t>
  </si>
  <si>
    <t>Suzarte Nadalim, Giulia</t>
  </si>
  <si>
    <t>Ciccolella, Charles</t>
  </si>
  <si>
    <t>Coleman, Shelby</t>
  </si>
  <si>
    <t>3-3308</t>
  </si>
  <si>
    <t>1-1429</t>
  </si>
  <si>
    <t>1-1120</t>
  </si>
  <si>
    <t>1-1208</t>
  </si>
  <si>
    <t>1-1306</t>
  </si>
  <si>
    <t>2-2215</t>
  </si>
  <si>
    <t>2-2214</t>
  </si>
  <si>
    <t>2-2420</t>
  </si>
  <si>
    <t>2-2302</t>
  </si>
  <si>
    <t>1-1420</t>
  </si>
  <si>
    <t>2-2221</t>
  </si>
  <si>
    <t>3-3412</t>
  </si>
  <si>
    <t>1-1314</t>
  </si>
  <si>
    <t>1-1425</t>
  </si>
  <si>
    <t>1-1214</t>
  </si>
  <si>
    <t>1-1433</t>
  </si>
  <si>
    <t>2-2427</t>
  </si>
  <si>
    <t>2-2303</t>
  </si>
  <si>
    <t>2-2314</t>
  </si>
  <si>
    <t>1-1320</t>
  </si>
  <si>
    <t>2-2312</t>
  </si>
  <si>
    <t>(305) 975-3201 (Mobile)</t>
  </si>
  <si>
    <t>(352) 299-0595 (Mobile)</t>
  </si>
  <si>
    <t>(954) 534-1093 (Mobile)</t>
  </si>
  <si>
    <t>(505) 390-3869 (Mobile)</t>
  </si>
  <si>
    <t>(419) 202-5661 (Home)</t>
  </si>
  <si>
    <t>(860) 986-8480 (Mobile)</t>
  </si>
  <si>
    <t>(864) 541-5030 (Mobile)</t>
  </si>
  <si>
    <t>(845) 332-4255 (Home)</t>
  </si>
  <si>
    <t>(724) 553-8346 (Mobile)</t>
  </si>
  <si>
    <t>(614) 288-8852 (Mobile)</t>
  </si>
  <si>
    <t>(978) 746-4627 (Mobile)</t>
  </si>
  <si>
    <t>(904) 219-5556 (Mobile)</t>
  </si>
  <si>
    <t>(516) 879-2568 (Home)</t>
  </si>
  <si>
    <t>(904) 514-4234 (Mobile)</t>
  </si>
  <si>
    <t>(479) 321-8124 (Mobile)</t>
  </si>
  <si>
    <t>(904) 404-6314 (Mobile)</t>
  </si>
  <si>
    <t>(904) 612-6462 (Mobile)</t>
  </si>
  <si>
    <t>(904) 506-9899 (Mobile)</t>
  </si>
  <si>
    <t>(954) 275-6244 (Mobile)</t>
  </si>
  <si>
    <t>(253) 304-2232 (Mobile)</t>
  </si>
  <si>
    <t>(352) 464-1604 (Mobile)</t>
  </si>
  <si>
    <t>Villarceau, Lucenine (Lucy)</t>
  </si>
  <si>
    <t>Mendez, Roberto</t>
  </si>
  <si>
    <t>Fusco, Daniel</t>
  </si>
  <si>
    <t>Fritz, Kayleana</t>
  </si>
  <si>
    <t>Llera, Wilson</t>
  </si>
  <si>
    <t>Jones, Casey</t>
  </si>
  <si>
    <t>Brown, Shanae</t>
  </si>
  <si>
    <t>Robinson, Shaletha</t>
  </si>
  <si>
    <t>rosa, Fernando</t>
  </si>
  <si>
    <t>Powers, Walter</t>
  </si>
  <si>
    <t>Ko, Susannah</t>
  </si>
  <si>
    <t>Lyles, Regina</t>
  </si>
  <si>
    <t>Colebank, Alexis</t>
  </si>
  <si>
    <t>Park, Gabin (Gabi)</t>
  </si>
  <si>
    <t>Colmenares, Leonor</t>
  </si>
  <si>
    <t>Andrade, Samyra</t>
  </si>
  <si>
    <t>Ross, Michael</t>
  </si>
  <si>
    <t>Scatliffe, Jermaine</t>
  </si>
  <si>
    <t>Oliveira, Flavio</t>
  </si>
  <si>
    <t>Forrest, Taylor</t>
  </si>
  <si>
    <t>Acosta Isea, Abraham</t>
  </si>
  <si>
    <t>Lozada, Jennifer</t>
  </si>
  <si>
    <t>Vinas, Shareen</t>
  </si>
  <si>
    <t>Bolshakov, Aleksey</t>
  </si>
  <si>
    <t>2-2211</t>
  </si>
  <si>
    <t>2-2231</t>
  </si>
  <si>
    <t>3-3408</t>
  </si>
  <si>
    <t>1-1422</t>
  </si>
  <si>
    <t>1-1201</t>
  </si>
  <si>
    <t>2-2323</t>
  </si>
  <si>
    <t>1-1427</t>
  </si>
  <si>
    <t>1-1337</t>
  </si>
  <si>
    <t>1-1229</t>
  </si>
  <si>
    <t>3-3114</t>
  </si>
  <si>
    <t>3-3309</t>
  </si>
  <si>
    <t>1-1405</t>
  </si>
  <si>
    <t>2-2128</t>
  </si>
  <si>
    <t>2-2402</t>
  </si>
  <si>
    <t>1-1224</t>
  </si>
  <si>
    <t>2-2207</t>
  </si>
  <si>
    <t>1-1333</t>
  </si>
  <si>
    <t>3-3201</t>
  </si>
  <si>
    <t>2-2415</t>
  </si>
  <si>
    <t>3-3301</t>
  </si>
  <si>
    <t>2-2203</t>
  </si>
  <si>
    <t>2-2205</t>
  </si>
  <si>
    <t>2-2321</t>
  </si>
  <si>
    <t>1-1313</t>
  </si>
  <si>
    <t>(904) 581-8003 (Mobile)</t>
  </si>
  <si>
    <t>(407) 274-5434 (Mobile)</t>
  </si>
  <si>
    <t>(407) 310-4590 (Mobile)</t>
  </si>
  <si>
    <t>(939) 213-6072 (Home)</t>
  </si>
  <si>
    <t>(218) 242-5633 (Mobile)</t>
  </si>
  <si>
    <t>(904) 304-7670 (Mobile)</t>
  </si>
  <si>
    <t>(904) 803-3783 (Mobile)</t>
  </si>
  <si>
    <t>(904) 789-9090 (Mobile)</t>
  </si>
  <si>
    <t>(904) 386-1478 (Mobile)</t>
  </si>
  <si>
    <t>(904) 568-1554 (Home)</t>
  </si>
  <si>
    <t>(904) 610-2469 (Mobile)</t>
  </si>
  <si>
    <t>(407) 919-4022 (Mobile)</t>
  </si>
  <si>
    <t>(904) 477-8447 (Mobile)</t>
  </si>
  <si>
    <t>(904) 792-4807 (Mobile)</t>
  </si>
  <si>
    <t>(904) 767-4888 (Home)</t>
  </si>
  <si>
    <t>(352) 281-8134 (Mobile)</t>
  </si>
  <si>
    <t>(954) 512-8946 (Mobile)</t>
  </si>
  <si>
    <t>(919) 699-0403 (Mobile)</t>
  </si>
  <si>
    <t>(904) 343-1574 (Mobile)</t>
  </si>
  <si>
    <t>(346) 465-5702 (Mobile)</t>
  </si>
  <si>
    <t>(786) 877-3585 (Home)</t>
  </si>
  <si>
    <t>(973) 997-2146 (Mobile)</t>
  </si>
  <si>
    <t>(904) 327-6157 (Mobile)</t>
  </si>
  <si>
    <t>Rosolen Martins, Angela</t>
  </si>
  <si>
    <t>Davis, Amanda</t>
  </si>
  <si>
    <t>Price, Joy</t>
  </si>
  <si>
    <t>Wu, Junjie</t>
  </si>
  <si>
    <t>Berati, Fatjona</t>
  </si>
  <si>
    <t>Wilson, Cameron</t>
  </si>
  <si>
    <t>Fisher, Nina</t>
  </si>
  <si>
    <t>Gonzalez Betancourt, Cristian</t>
  </si>
  <si>
    <t>Willis, Jessica</t>
  </si>
  <si>
    <t>Morrow, Joshua</t>
  </si>
  <si>
    <t>Robeson, Scott</t>
  </si>
  <si>
    <t>Schumpp, William</t>
  </si>
  <si>
    <t>McGraw, Debra</t>
  </si>
  <si>
    <t>RIVERA MARTINEZ, GERARDO</t>
  </si>
  <si>
    <t>Kane, Catherine</t>
  </si>
  <si>
    <t>Vargas, Cheylenne</t>
  </si>
  <si>
    <t>Souppa, Bethany</t>
  </si>
  <si>
    <t>Mass, Amelia</t>
  </si>
  <si>
    <t>Cabrera, Mercedes</t>
  </si>
  <si>
    <t>Paliy, Andrey</t>
  </si>
  <si>
    <t>Amonette, Madisyn</t>
  </si>
  <si>
    <t>Santos, Marco</t>
  </si>
  <si>
    <t>1-1235</t>
  </si>
  <si>
    <t>2-2428</t>
  </si>
  <si>
    <t>3-3120</t>
  </si>
  <si>
    <t>1-1309</t>
  </si>
  <si>
    <t>1-1238</t>
  </si>
  <si>
    <t>3-3104</t>
  </si>
  <si>
    <t>1-1227</t>
  </si>
  <si>
    <t>2-2218</t>
  </si>
  <si>
    <t>2-2104</t>
  </si>
  <si>
    <t>1-1131</t>
  </si>
  <si>
    <t>2-2202</t>
  </si>
  <si>
    <t>2-2109</t>
  </si>
  <si>
    <t>1-1236</t>
  </si>
  <si>
    <t>2-2305</t>
  </si>
  <si>
    <t>2-2404</t>
  </si>
  <si>
    <t>2-2413</t>
  </si>
  <si>
    <t>3-3203</t>
  </si>
  <si>
    <t>2-2327</t>
  </si>
  <si>
    <t>2-2216</t>
  </si>
  <si>
    <t>2-2412</t>
  </si>
  <si>
    <t>1-1437</t>
  </si>
  <si>
    <t>2-2429</t>
  </si>
  <si>
    <t>(904) 444-8565 (Home)</t>
  </si>
  <si>
    <t>(904) 521-7134 (Mobile)</t>
  </si>
  <si>
    <t>(904) 537-5858 (Home)</t>
  </si>
  <si>
    <t>(347) 458-1153 (Mobile)</t>
  </si>
  <si>
    <t>(973) 519-2558 (Home)</t>
  </si>
  <si>
    <t>(772) 521-0644 (Mobile)</t>
  </si>
  <si>
    <t>(850) 274-4999 (Home)</t>
  </si>
  <si>
    <t>(904) 439-9496 (Mobile)</t>
  </si>
  <si>
    <t>(229) 563-7940 (Mobile)</t>
  </si>
  <si>
    <t>(606) 312-2847 (Mobile)</t>
  </si>
  <si>
    <t>(321) 544-7079 (Mobile)</t>
  </si>
  <si>
    <t>(904) 891-3195 (Mobile)</t>
  </si>
  <si>
    <t>(803) 391-6361 (Mobile)</t>
  </si>
  <si>
    <t>(904) 790-2095 (Mobile)</t>
  </si>
  <si>
    <t>(904) 861-8388 (Mobile)</t>
  </si>
  <si>
    <t>(904) 403-0616 (Mobile)</t>
  </si>
  <si>
    <t>(630) 200-4528 (Mobile)</t>
  </si>
  <si>
    <t>(757) 602-5887 (Mobile)</t>
  </si>
  <si>
    <t>(484) 620-2483 (Mobile)</t>
  </si>
  <si>
    <t>(904) 415-3992 (Mobile)</t>
  </si>
  <si>
    <t>(904) 314-1170 (Mobile)</t>
  </si>
  <si>
    <t>(904) 615-0093 (Mobile)</t>
  </si>
  <si>
    <t>Scott, Sherell</t>
  </si>
  <si>
    <t>Kadas, Alyssa</t>
  </si>
  <si>
    <t>Fendt, Alegria (Alegria Quirante Fendt)</t>
  </si>
  <si>
    <t>De Oliveira, Lucas</t>
  </si>
  <si>
    <t>Shumate, Holland</t>
  </si>
  <si>
    <t>Arndt, Olivia</t>
  </si>
  <si>
    <t>Lopez, Alex</t>
  </si>
  <si>
    <t>Farrell, Veronica</t>
  </si>
  <si>
    <t>Holden, Ruqaayah</t>
  </si>
  <si>
    <t>Shumate, Kenneth</t>
  </si>
  <si>
    <t>Lastres, Savannah</t>
  </si>
  <si>
    <t>Barrera Gonzalez, Cirilo</t>
  </si>
  <si>
    <t>Collymore, Terrence</t>
  </si>
  <si>
    <t>Yates, Chad</t>
  </si>
  <si>
    <t>Palumbo, Lou</t>
  </si>
  <si>
    <t>Cinquini, Nicholas (Nick)</t>
  </si>
  <si>
    <t>3-3416</t>
  </si>
  <si>
    <t>2-2213</t>
  </si>
  <si>
    <t>1-1138</t>
  </si>
  <si>
    <t>1-1413</t>
  </si>
  <si>
    <t>2-2307</t>
  </si>
  <si>
    <t>1-1435</t>
  </si>
  <si>
    <t>2-2212</t>
  </si>
  <si>
    <t>1-1414</t>
  </si>
  <si>
    <t>2-2320</t>
  </si>
  <si>
    <t>1-1234</t>
  </si>
  <si>
    <t>1-1115</t>
  </si>
  <si>
    <t>1-1304</t>
  </si>
  <si>
    <t>1-1417</t>
  </si>
  <si>
    <t>3-3419</t>
  </si>
  <si>
    <t>2-2407</t>
  </si>
  <si>
    <t>2-2219</t>
  </si>
  <si>
    <t>(904) 770-1892 (Mobile)</t>
  </si>
  <si>
    <t>(904) 480-1638 (Mobile)</t>
  </si>
  <si>
    <t>(904) 210-7812 (Mobile)</t>
  </si>
  <si>
    <t>(904) 815-7810 (Mobile)</t>
  </si>
  <si>
    <t>(904) 392-8528 (Mobile)</t>
  </si>
  <si>
    <t>(727) 479-3567 (Mobile)</t>
  </si>
  <si>
    <t>(954) 701-9071 (Mobile)</t>
  </si>
  <si>
    <t>(914) 879-9074 (Mobile)</t>
  </si>
  <si>
    <t>(904) 510-7855 (Mobile)</t>
  </si>
  <si>
    <t>(904) 627-0007 (Mobile)</t>
  </si>
  <si>
    <t>(305) 310-4537 (Mobile)</t>
  </si>
  <si>
    <t>(828) 242-7934 (Mobile)</t>
  </si>
  <si>
    <t>(216) 867-7748 (Mobile)</t>
  </si>
  <si>
    <t>(904) 537-3026 (Mobile)</t>
  </si>
  <si>
    <t>(862) 596-7150 (Mobile)</t>
  </si>
  <si>
    <t>(727) 256-5166 (Mobile)</t>
  </si>
  <si>
    <t>Colver, Griffin</t>
  </si>
  <si>
    <t>Herbert, Kathryn</t>
  </si>
  <si>
    <t>Scoles, Lauren</t>
  </si>
  <si>
    <t>Ortiz, Jose</t>
  </si>
  <si>
    <t>Mock Jr, Jamil</t>
  </si>
  <si>
    <t>Febo, Carla</t>
  </si>
  <si>
    <t>Colter, Edwin</t>
  </si>
  <si>
    <t>Hightower, Quandra</t>
  </si>
  <si>
    <t>Aguirre, Aarika</t>
  </si>
  <si>
    <t>Stanley, Paulette</t>
  </si>
  <si>
    <t>Pierre, Ashly</t>
  </si>
  <si>
    <t>Pakowitz, Christina</t>
  </si>
  <si>
    <t>Rodriquez, Sergio</t>
  </si>
  <si>
    <t>Rodriguez, Johnathan</t>
  </si>
  <si>
    <t>Christian, Monica</t>
  </si>
  <si>
    <t>Rodriguez, Andres</t>
  </si>
  <si>
    <t>1-1335</t>
  </si>
  <si>
    <t>2-2225</t>
  </si>
  <si>
    <t>2-2406</t>
  </si>
  <si>
    <t>2-2228</t>
  </si>
  <si>
    <t>2-2313</t>
  </si>
  <si>
    <t>2-2106</t>
  </si>
  <si>
    <t>2-2304</t>
  </si>
  <si>
    <t>2-2322</t>
  </si>
  <si>
    <t>1-1311</t>
  </si>
  <si>
    <t>1-1215</t>
  </si>
  <si>
    <t>2-2418</t>
  </si>
  <si>
    <t>1-1431</t>
  </si>
  <si>
    <t>2-2316</t>
  </si>
  <si>
    <t>2-2206</t>
  </si>
  <si>
    <t>2-2101</t>
  </si>
  <si>
    <t>1-1211</t>
  </si>
  <si>
    <t>(972) 824-5388 (Mobile)</t>
  </si>
  <si>
    <t>(443) 808-4295 (Mobile)</t>
  </si>
  <si>
    <t>(253) 442-4393 (Mobile)</t>
  </si>
  <si>
    <t>(904) 826-6686 (Mobile)</t>
  </si>
  <si>
    <t>(216) 338-1619 (Mobile)</t>
  </si>
  <si>
    <t>(787) 221-2980 (Mobile)</t>
  </si>
  <si>
    <t>(252) 503-2045 (Mobile)</t>
  </si>
  <si>
    <t>(404) 406-8239 (Mobile)</t>
  </si>
  <si>
    <t>(757) 553-4878 (Mobile)</t>
  </si>
  <si>
    <t>(407) 732-1936 (Mobile)</t>
  </si>
  <si>
    <t>(904) 235-4044 (Mobile)</t>
  </si>
  <si>
    <t>(305) 588-5222 (Mobile)</t>
  </si>
  <si>
    <t>(609) 227-1739 (Mobile)</t>
  </si>
  <si>
    <t>(773) 318-4716 (Mobile)</t>
  </si>
  <si>
    <t>(321) 830-2165 (Mobile)</t>
  </si>
  <si>
    <t>(904) 520-0158 (Mobile)</t>
  </si>
  <si>
    <t>(904) 463-5426 (Mobile)</t>
  </si>
  <si>
    <t>(904) 788-3770</t>
  </si>
  <si>
    <t>(770) 877-2171</t>
  </si>
  <si>
    <t>(615) 200-4957</t>
  </si>
  <si>
    <t>(813) 388-1477</t>
  </si>
  <si>
    <t>(305) 332-5594</t>
  </si>
  <si>
    <t>(609) 554-9142</t>
  </si>
  <si>
    <t>(904) 770-0706</t>
  </si>
  <si>
    <t>(409) 781-5300</t>
  </si>
  <si>
    <t>(813) 610-0948</t>
  </si>
  <si>
    <t>(314) 922-0090</t>
  </si>
  <si>
    <t>(704) 287-9074</t>
  </si>
  <si>
    <t>(813) 469-6465</t>
  </si>
  <si>
    <t>(904) 827-3893</t>
  </si>
  <si>
    <t>Condo purchase</t>
  </si>
  <si>
    <t>Refused feedback - Gave SJC PO Box at MO</t>
  </si>
  <si>
    <t>Relocated out of state</t>
  </si>
  <si>
    <t>Home purchase</t>
  </si>
  <si>
    <t>Larger apartment</t>
  </si>
  <si>
    <t>12 months / 0% increase / $250 concession</t>
  </si>
  <si>
    <t>12 months / 2% increase / $250 concession</t>
  </si>
  <si>
    <t>15 months / 0% increase / No concession</t>
  </si>
  <si>
    <t>14 months / 2% increase / $250 concession</t>
  </si>
  <si>
    <t>15 months / 0% increase / $250 concession</t>
  </si>
  <si>
    <t>14 months / 2% increase / No concession</t>
  </si>
  <si>
    <t>15 month / 2% increase / $250 concession</t>
  </si>
  <si>
    <t>April 2026</t>
  </si>
  <si>
    <t>0 Bed / 1 Bath</t>
  </si>
  <si>
    <t>Relocating to Japan where spouse is stationed</t>
  </si>
  <si>
    <t>Unhappy with site management</t>
  </si>
  <si>
    <t>Price/special - two months free elsewhere</t>
  </si>
  <si>
    <t>Relocating to be with family in Virginia (unhappy with upstairs neighbor)</t>
  </si>
  <si>
    <t>12 months / 0% increase / No concession</t>
  </si>
  <si>
    <t>15 months / 2% increase / $500 concession</t>
  </si>
  <si>
    <t>12 months / 0% increase / $500 concession</t>
  </si>
  <si>
    <t>15 months / 0% increase / $500 concession</t>
  </si>
  <si>
    <t>15 months / 1% increase / No concession</t>
  </si>
  <si>
    <t>12 months / 0% increase / $750 concession</t>
  </si>
  <si>
    <t>(904) 293-6422</t>
  </si>
  <si>
    <t>(904) 422-6933</t>
  </si>
  <si>
    <t>(334) 614-4063</t>
  </si>
  <si>
    <t>(508) 446-6148</t>
  </si>
  <si>
    <t>(808) 383-0494</t>
  </si>
  <si>
    <t>(904) 290-9732</t>
  </si>
  <si>
    <t>(270) 953-1310</t>
  </si>
  <si>
    <t>(904) 401-1793</t>
  </si>
  <si>
    <t>(760) 622-8129</t>
  </si>
  <si>
    <t>(904) 361-1165</t>
  </si>
  <si>
    <t>(704) 682-1667</t>
  </si>
  <si>
    <t>(973) 760-6912</t>
  </si>
  <si>
    <t>(706) 536-6880</t>
  </si>
  <si>
    <t>(352) 890-0609</t>
  </si>
  <si>
    <t>(904) 584-0670</t>
  </si>
  <si>
    <t>(904) 482-2603</t>
  </si>
  <si>
    <t>Smaller apartment</t>
  </si>
  <si>
    <t>Relationship change</t>
  </si>
  <si>
    <t>13 months / 2% increase / $250 concession</t>
  </si>
  <si>
    <t>13 months / 0% increase / $500 concession</t>
  </si>
  <si>
    <t>14 months / 0% increase / One month concession</t>
  </si>
  <si>
    <t>12 months / 7% increase / $500 concession</t>
  </si>
  <si>
    <t>12 months / 0% increase / One month concession</t>
  </si>
  <si>
    <t>12 months / 2% increase / $500 concession</t>
  </si>
  <si>
    <t>15 months / 0% increase / One month concession</t>
  </si>
  <si>
    <t>13 months / 1% increase / $250 concession</t>
  </si>
  <si>
    <t>(908) 721-2177</t>
  </si>
  <si>
    <t>(386) 283-3106</t>
  </si>
  <si>
    <t>(904) 678-3203</t>
  </si>
  <si>
    <t>(904) 742-2648</t>
  </si>
  <si>
    <t>(719) 433-5642</t>
  </si>
  <si>
    <t>(904) 327-3939</t>
  </si>
  <si>
    <t>(904) 226-1984</t>
  </si>
  <si>
    <t>(616) 970-2414</t>
  </si>
  <si>
    <t>(904) 400-0260</t>
  </si>
  <si>
    <t>(954) 243-9866</t>
  </si>
  <si>
    <t>(904) 505-7598</t>
  </si>
  <si>
    <t>(904) 684-9247</t>
  </si>
  <si>
    <t>(904) 861-7950</t>
  </si>
  <si>
    <t>(954) 248-0044</t>
  </si>
  <si>
    <t>(904) 874-4495</t>
  </si>
  <si>
    <t>(904) 599-7807</t>
  </si>
  <si>
    <t>(904) 288-1916</t>
  </si>
  <si>
    <t>(904) 521-4462</t>
  </si>
  <si>
    <t>(901) 336-3495</t>
  </si>
  <si>
    <t>(813) 894-8515</t>
  </si>
  <si>
    <t>(904) 223-0976</t>
  </si>
  <si>
    <t>(904) 749-0233</t>
  </si>
  <si>
    <t>(904) 444-0295</t>
  </si>
  <si>
    <t>(904) 254-3722</t>
  </si>
  <si>
    <t>(904) 305-2893</t>
  </si>
  <si>
    <t>(904) 465-4222</t>
  </si>
  <si>
    <t>(786) 340-6067</t>
  </si>
  <si>
    <t>(786) 617-3092</t>
  </si>
  <si>
    <t>(904) 563-4957</t>
  </si>
  <si>
    <t>Pressler, Christopher</t>
  </si>
  <si>
    <t>(904) 536-2813</t>
  </si>
  <si>
    <t>(904) 806-5129</t>
  </si>
  <si>
    <t>(315) 516-4267</t>
  </si>
  <si>
    <t>(989) 971-9004</t>
  </si>
  <si>
    <t>(404) 484-8648</t>
  </si>
  <si>
    <t>(904) 226-1626</t>
  </si>
  <si>
    <t>(360) 540-1988</t>
  </si>
  <si>
    <t>(631) 703-0161</t>
  </si>
  <si>
    <t>(912) 747-7380</t>
  </si>
  <si>
    <t>(904) 423-9574</t>
  </si>
  <si>
    <t>(718) 930-2174</t>
  </si>
  <si>
    <t>(352) 566-4254</t>
  </si>
  <si>
    <t>(904) 930-5936</t>
  </si>
  <si>
    <t>(901) 605-8124</t>
  </si>
  <si>
    <t>Relationship change (domestic issues)</t>
  </si>
  <si>
    <t>Price/special - needs lower rent</t>
  </si>
  <si>
    <t>RISE Employee moving off-site</t>
  </si>
  <si>
    <t xml:space="preserve">	
Unhappy with neighbors</t>
  </si>
  <si>
    <t>Non-renewal - corporate lease</t>
  </si>
  <si>
    <t>(315) 935-3708</t>
  </si>
  <si>
    <t>(904) 666-0714</t>
  </si>
  <si>
    <t>(708) 557-3795</t>
  </si>
  <si>
    <t>(321) 514-5112</t>
  </si>
  <si>
    <t>(904) 837-6446</t>
  </si>
  <si>
    <t>(954) 793-7114</t>
  </si>
  <si>
    <t>(904) 662-2943</t>
  </si>
  <si>
    <t>(904) 753-8047</t>
  </si>
  <si>
    <t>(732) 487-0507</t>
  </si>
  <si>
    <t>(917) 518-3881</t>
  </si>
  <si>
    <t>(804) 847-8476</t>
  </si>
  <si>
    <t>(410) 935-6764</t>
  </si>
  <si>
    <t>(941) 264-3162</t>
  </si>
  <si>
    <t>(904) 831-7598</t>
  </si>
  <si>
    <t>(904) 694-8194</t>
  </si>
  <si>
    <t>(904) 610-2926</t>
  </si>
  <si>
    <t>4/4 Sent 1st offers 0% increase, one month free</t>
  </si>
  <si>
    <t>13 months / 0% increase / One month concession</t>
  </si>
  <si>
    <t>Verbal NTV due to moving in with his girlfriend</t>
  </si>
  <si>
    <t>Wants more time to think about it</t>
  </si>
  <si>
    <t>12 months / 0% increase / Two months free</t>
  </si>
  <si>
    <t>Groth, Riley</t>
  </si>
  <si>
    <t>Said he'd renew but hasn't accepted offer</t>
  </si>
  <si>
    <t>Unresponsive to one &amp; two months free</t>
  </si>
  <si>
    <t>TOS due to downsizing</t>
  </si>
  <si>
    <t>NTV due to moving closer 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</si>
</sst>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mm/dd/yyyy"/>
    <numFmt numFmtId="166" formatCode="\$#,##0;&quot;($&quot;#,##0\);\-"/>
    <numFmt numFmtId="167" formatCode="0.0%;\(0.0%\);\-"/>
    <numFmt numFmtId="168" formatCode="0.0%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A7D00"/>
      <name val="Arial"/>
      <family val="2"/>
    </font>
    <font>
      <i/>
      <sz val="9"/>
      <color rgb="FF777777"/>
      <name val="Arial"/>
      <family val="2"/>
    </font>
    <font>
      <i/>
      <sz val="9"/>
      <color rgb="FF444444"/>
      <name val="Arial"/>
      <family val="2"/>
    </font>
    <font>
      <b/>
      <sz val="9"/>
      <color rgb="FFFFFFFF"/>
      <name val="Arial"/>
      <family val="2"/>
    </font>
    <font>
      <sz val="9"/>
      <color rgb="FF7F5000"/>
      <name val="Arial"/>
      <family val="2"/>
    </font>
    <font>
      <b/>
      <sz val="9"/>
      <color rgb="FF002060"/>
      <name val="Arial"/>
      <family val="2"/>
    </font>
    <font>
      <sz val="9"/>
      <color rgb="FF222222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7"/>
      <color rgb="FFFA7D00"/>
      <name val="Arial"/>
      <family val="2"/>
    </font>
    <font>
      <sz val="7"/>
      <color rgb="FF888888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rgb="FFFFFFFF"/>
      <name val="Arial"/>
      <family val="2"/>
    </font>
    <font>
      <sz val="11"/>
      <name val="Cambria"/>
      <family val="1"/>
    </font>
    <font>
      <b/>
      <sz val="10"/>
      <color rgb="FF002060"/>
      <name val="Arial"/>
      <family val="2"/>
    </font>
    <font>
      <sz val="10"/>
      <color rgb="FF222222"/>
      <name val="Arial"/>
      <family val="2"/>
    </font>
    <font>
      <b/>
      <sz val="10"/>
      <color rgb="FF375623"/>
      <name val="Arial"/>
      <family val="2"/>
    </font>
    <font>
      <i/>
      <sz val="9"/>
      <color rgb="FF555555"/>
      <name val="Arial"/>
      <family val="2"/>
    </font>
    <font>
      <b/>
      <sz val="10"/>
      <color rgb="FF8B0000"/>
      <name val="Arial"/>
      <family val="2"/>
    </font>
    <font>
      <b/>
      <sz val="10"/>
      <color rgb="FF006080"/>
      <name val="Arial"/>
      <family val="2"/>
    </font>
    <font>
      <sz val="9"/>
      <color rgb="FFAAAAAA"/>
      <name val="Arial"/>
      <family val="2"/>
    </font>
    <font>
      <b/>
      <sz val="10"/>
      <color rgb="FF7F5000"/>
      <name val="Arial"/>
      <family val="2"/>
    </font>
    <font>
      <b/>
      <sz val="18"/>
      <color rgb="FFFFFFFF"/>
      <name val="Arial"/>
      <family val="2"/>
    </font>
    <font>
      <i/>
      <sz val="9"/>
      <color rgb="FF222222"/>
      <name val="Arial"/>
      <family val="2"/>
    </font>
    <font>
      <i/>
      <sz val="9"/>
      <color rgb="FF333333"/>
      <name val="Arial"/>
      <family val="2"/>
    </font>
    <font>
      <b/>
      <sz val="13"/>
      <color rgb="FF002060"/>
      <name val="Arial"/>
      <family val="2"/>
    </font>
    <font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6080"/>
      </patternFill>
    </fill>
    <fill>
      <patternFill patternType="solid">
        <fgColor rgb="FFF2F2F2"/>
        <bgColor rgb="FFEEF4FF"/>
      </patternFill>
    </fill>
    <fill>
      <patternFill patternType="solid">
        <fgColor rgb="FFEEF4FF"/>
        <bgColor rgb="FFE8F0FE"/>
      </patternFill>
    </fill>
    <fill>
      <patternFill patternType="solid">
        <fgColor rgb="FFECECEC"/>
        <bgColor rgb="FFF2F2F2"/>
      </patternFill>
    </fill>
    <fill>
      <patternFill patternType="solid">
        <fgColor rgb="FFFFF2CC"/>
        <bgColor rgb="FFFFF8E0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8B0000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A5A5A5"/>
        <bgColor rgb="FFAAAAAA"/>
      </patternFill>
    </fill>
    <fill>
      <patternFill patternType="solid">
        <fgColor rgb="FFC6EFCE"/>
        <bgColor rgb="FFE2EFDA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ECECEC"/>
      </patternFill>
    </fill>
    <fill>
      <patternFill patternType="solid">
        <fgColor rgb="FFFFCCCC"/>
        <bgColor rgb="FFD9D9D9"/>
      </patternFill>
    </fill>
    <fill>
      <patternFill patternType="solid">
        <fgColor rgb="FFE0EEFF"/>
        <bgColor rgb="FFE8F0FE"/>
      </patternFill>
    </fill>
    <fill>
      <patternFill patternType="solid">
        <fgColor rgb="FFFFF8E0"/>
        <bgColor rgb="FFFFF2CC"/>
      </patternFill>
    </fill>
    <fill>
      <patternFill patternType="solid">
        <fgColor rgb="FFE8F0FE"/>
        <bgColor rgb="FFEEF4FF"/>
      </patternFill>
    </fill>
    <fill>
      <patternFill patternType="solid">
        <fgColor rgb="FFD9E1F2"/>
        <bgColor rgb="FFD6E4F7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EEF4FF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FFF00"/>
        <bgColor rgb="FFEEF4FF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">
    <xf numFmtId="0" fontId="0" fillId="0" borderId="0"/>
    <xf numFmtId="0" fontId="31" fillId="0" borderId="0"/>
  </cellStyleXfs>
  <cellXfs count="108">
    <xf numFmtId="0" fontId="0" fillId="0" borderId="0" xfId="0"/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top"/>
    </xf>
    <xf numFmtId="0" fontId="11" fillId="8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15" fillId="13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164" fontId="15" fillId="13" borderId="2" xfId="0" applyNumberFormat="1" applyFont="1" applyFill="1" applyBorder="1" applyAlignment="1">
      <alignment horizontal="center" vertical="center"/>
    </xf>
    <xf numFmtId="167" fontId="15" fillId="13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right" vertical="center"/>
    </xf>
    <xf numFmtId="167" fontId="16" fillId="14" borderId="2" xfId="0" applyNumberFormat="1" applyFont="1" applyFill="1" applyBorder="1" applyAlignment="1">
      <alignment horizontal="center" vertical="center"/>
    </xf>
    <xf numFmtId="0" fontId="18" fillId="0" borderId="0" xfId="0" applyFont="1"/>
    <xf numFmtId="0" fontId="7" fillId="3" borderId="4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18" fillId="15" borderId="2" xfId="0" applyFont="1" applyFill="1" applyBorder="1"/>
    <xf numFmtId="0" fontId="20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167" fontId="21" fillId="16" borderId="2" xfId="0" applyNumberFormat="1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left" vertical="center"/>
    </xf>
    <xf numFmtId="0" fontId="20" fillId="17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0" fontId="22" fillId="17" borderId="2" xfId="0" applyFont="1" applyFill="1" applyBorder="1" applyAlignment="1">
      <alignment horizontal="left" vertical="center"/>
    </xf>
    <xf numFmtId="0" fontId="20" fillId="18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horizontal="center" vertical="center"/>
    </xf>
    <xf numFmtId="0" fontId="25" fillId="18" borderId="2" xfId="0" applyFont="1" applyFill="1" applyBorder="1" applyAlignment="1">
      <alignment horizontal="center" vertical="center"/>
    </xf>
    <xf numFmtId="0" fontId="22" fillId="18" borderId="2" xfId="0" applyFont="1" applyFill="1" applyBorder="1" applyAlignment="1">
      <alignment horizontal="left" vertical="center"/>
    </xf>
    <xf numFmtId="0" fontId="20" fillId="19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167" fontId="26" fillId="19" borderId="2" xfId="0" applyNumberFormat="1" applyFont="1" applyFill="1" applyBorder="1" applyAlignment="1">
      <alignment horizontal="center" vertical="center"/>
    </xf>
    <xf numFmtId="0" fontId="25" fillId="19" borderId="2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left" vertical="center"/>
    </xf>
    <xf numFmtId="168" fontId="27" fillId="2" borderId="6" xfId="0" applyNumberFormat="1" applyFont="1" applyFill="1" applyBorder="1" applyAlignment="1">
      <alignment horizontal="center" vertical="center"/>
    </xf>
    <xf numFmtId="168" fontId="30" fillId="21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5" fillId="8" borderId="2" xfId="0" applyFont="1" applyFill="1" applyBorder="1" applyAlignment="1">
      <alignment horizontal="left" vertical="center"/>
    </xf>
    <xf numFmtId="0" fontId="15" fillId="11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5" fillId="10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left" vertical="center"/>
    </xf>
    <xf numFmtId="0" fontId="20" fillId="19" borderId="2" xfId="0" applyFont="1" applyFill="1" applyBorder="1" applyAlignment="1">
      <alignment horizontal="left" vertical="center" wrapText="1"/>
    </xf>
    <xf numFmtId="167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64" fontId="15" fillId="22" borderId="2" xfId="0" applyNumberFormat="1" applyFont="1" applyFill="1" applyBorder="1" applyAlignment="1">
      <alignment horizontal="center" vertical="center"/>
    </xf>
    <xf numFmtId="0" fontId="15" fillId="22" borderId="2" xfId="0" applyFont="1" applyFill="1" applyBorder="1" applyAlignment="1">
      <alignment horizontal="center" vertical="center"/>
    </xf>
    <xf numFmtId="167" fontId="15" fillId="22" borderId="2" xfId="0" applyNumberFormat="1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4" fillId="24" borderId="2" xfId="0" applyFont="1" applyFill="1" applyBorder="1" applyAlignment="1">
      <alignment horizontal="center" vertical="center"/>
    </xf>
    <xf numFmtId="164" fontId="4" fillId="24" borderId="2" xfId="0" applyNumberFormat="1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center" wrapText="1"/>
    </xf>
    <xf numFmtId="0" fontId="4" fillId="25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left" vertical="center"/>
    </xf>
    <xf numFmtId="167" fontId="4" fillId="25" borderId="2" xfId="0" applyNumberFormat="1" applyFont="1" applyFill="1" applyBorder="1" applyAlignment="1">
      <alignment horizontal="center" vertical="center"/>
    </xf>
    <xf numFmtId="166" fontId="4" fillId="25" borderId="2" xfId="0" applyNumberFormat="1" applyFont="1" applyFill="1" applyBorder="1" applyAlignment="1">
      <alignment horizontal="center" vertical="center"/>
    </xf>
    <xf numFmtId="164" fontId="4" fillId="25" borderId="2" xfId="0" applyNumberFormat="1" applyFont="1" applyFill="1" applyBorder="1" applyAlignment="1">
      <alignment horizontal="center" vertical="center"/>
    </xf>
    <xf numFmtId="49" fontId="4" fillId="25" borderId="2" xfId="0" applyNumberFormat="1" applyFont="1" applyFill="1" applyBorder="1" applyAlignment="1">
      <alignment horizontal="center" vertical="center"/>
    </xf>
    <xf numFmtId="165" fontId="4" fillId="25" borderId="2" xfId="0" applyNumberFormat="1" applyFont="1" applyFill="1" applyBorder="1" applyAlignment="1">
      <alignment horizontal="center" vertical="center"/>
    </xf>
    <xf numFmtId="14" fontId="4" fillId="25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0" xfId="0"/>
    <xf numFmtId="0" fontId="17" fillId="2" borderId="0" xfId="0" applyFont="1" applyFill="1" applyAlignment="1">
      <alignment horizontal="center" vertical="center"/>
    </xf>
    <xf numFmtId="0" fontId="17" fillId="2" borderId="5" xfId="0" applyFont="1" applyFill="1" applyBorder="1" applyAlignment="1">
      <alignment horizontal="right" vertical="center"/>
    </xf>
    <xf numFmtId="0" fontId="28" fillId="20" borderId="3" xfId="0" applyFont="1" applyFill="1" applyBorder="1" applyAlignment="1">
      <alignment horizontal="left" vertical="center" wrapText="1"/>
    </xf>
    <xf numFmtId="0" fontId="29" fillId="21" borderId="3" xfId="0" applyFont="1" applyFill="1" applyBorder="1" applyAlignment="1">
      <alignment horizontal="right" vertical="center"/>
    </xf>
    <xf numFmtId="0" fontId="22" fillId="21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4" xfId="1" xr:uid="{1D0C37E1-1D1F-4DDE-B690-CE12709FA198}"/>
  </cellStyles>
  <dxfs count="45"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6080"/>
      <rgbColor rgb="FFCCCCCC"/>
      <rgbColor rgb="FF888888"/>
      <rgbColor rgb="FFA5A5A5"/>
      <rgbColor rgb="FF555555"/>
      <rgbColor rgb="FFFFF8E0"/>
      <rgbColor rgb="FFE0EEFF"/>
      <rgbColor rgb="FF660066"/>
      <rgbColor rgb="FFD9E1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D6E4F7"/>
      <rgbColor rgb="FFD9D9D9"/>
      <rgbColor rgb="FFAAAAAA"/>
      <rgbColor rgb="FFFFCCCC"/>
      <rgbColor rgb="FF3366FF"/>
      <rgbColor rgb="FFEEF4FF"/>
      <rgbColor rgb="FF92D050"/>
      <rgbColor rgb="FFECECEC"/>
      <rgbColor rgb="FFF2F2F2"/>
      <rgbColor rgb="FFFA7D00"/>
      <rgbColor rgb="FF777777"/>
      <rgbColor rgb="FF999999"/>
      <rgbColor rgb="FF002060"/>
      <rgbColor rgb="FF339966"/>
      <rgbColor rgb="FF375623"/>
      <rgbColor rgb="FF222222"/>
      <rgbColor rgb="FF7F50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zoomScaleNormal="100" workbookViewId="0">
      <selection activeCell="D24" sqref="D24"/>
    </sheetView>
  </sheetViews>
  <sheetFormatPr defaultColWidth="8.5703125" defaultRowHeight="15" customHeight="1" x14ac:dyDescent="0.25"/>
  <cols>
    <col min="1" max="1" width="20" customWidth="1"/>
    <col min="2" max="2" width="22" customWidth="1"/>
    <col min="3" max="3" width="20" customWidth="1"/>
    <col min="4" max="4" width="22" customWidth="1"/>
    <col min="5" max="5" width="32" customWidth="1"/>
  </cols>
  <sheetData>
    <row r="1" spans="1:5" ht="39.75" customHeight="1" x14ac:dyDescent="0.25">
      <c r="A1" s="105" t="s">
        <v>0</v>
      </c>
      <c r="B1" s="105"/>
      <c r="C1" s="105"/>
      <c r="D1" s="105"/>
      <c r="E1" s="105"/>
    </row>
    <row r="2" spans="1:5" ht="21.75" customHeight="1" x14ac:dyDescent="0.25">
      <c r="A2" s="106" t="s">
        <v>1</v>
      </c>
      <c r="B2" s="106"/>
      <c r="C2" s="106"/>
      <c r="D2" s="106"/>
      <c r="E2" s="106"/>
    </row>
    <row r="3" spans="1:5" ht="21.75" customHeight="1" x14ac:dyDescent="0.25">
      <c r="A3" s="1" t="s">
        <v>2</v>
      </c>
      <c r="B3" s="2" t="s">
        <v>94</v>
      </c>
      <c r="C3" s="107" t="s">
        <v>3</v>
      </c>
      <c r="D3" s="107"/>
      <c r="E3" s="107"/>
    </row>
    <row r="4" spans="1:5" ht="21.75" customHeight="1" x14ac:dyDescent="0.25">
      <c r="A4" s="1" t="s">
        <v>4</v>
      </c>
      <c r="B4" s="78" t="s">
        <v>620</v>
      </c>
      <c r="C4" s="107" t="s">
        <v>5</v>
      </c>
      <c r="D4" s="107"/>
      <c r="E4" s="107"/>
    </row>
    <row r="5" spans="1:5" ht="7.5" customHeight="1" x14ac:dyDescent="0.25"/>
    <row r="6" spans="1:5" ht="21.75" customHeight="1" x14ac:dyDescent="0.25">
      <c r="A6" s="106" t="s">
        <v>6</v>
      </c>
      <c r="B6" s="106"/>
      <c r="C6" s="106"/>
      <c r="D6" s="106"/>
      <c r="E6" s="106"/>
    </row>
    <row r="7" spans="1:5" ht="31.5" customHeight="1" x14ac:dyDescent="0.25">
      <c r="A7" s="102" t="s">
        <v>7</v>
      </c>
      <c r="B7" s="102"/>
      <c r="C7" s="102"/>
      <c r="D7" s="102"/>
      <c r="E7" s="102"/>
    </row>
    <row r="8" spans="1:5" ht="24" customHeight="1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</row>
    <row r="9" spans="1:5" ht="21.75" customHeight="1" x14ac:dyDescent="0.25">
      <c r="A9" s="4" t="s">
        <v>95</v>
      </c>
      <c r="B9" s="5">
        <v>1595</v>
      </c>
      <c r="C9" s="5">
        <v>1504</v>
      </c>
      <c r="D9" s="4" t="s">
        <v>14</v>
      </c>
      <c r="E9" s="6" t="s">
        <v>15</v>
      </c>
    </row>
    <row r="10" spans="1:5" ht="21.75" customHeight="1" x14ac:dyDescent="0.25">
      <c r="A10" s="7" t="s">
        <v>96</v>
      </c>
      <c r="B10" s="8">
        <v>1795</v>
      </c>
      <c r="C10" s="8">
        <v>1476</v>
      </c>
      <c r="D10" s="7" t="s">
        <v>110</v>
      </c>
      <c r="E10" s="9" t="s">
        <v>15</v>
      </c>
    </row>
    <row r="11" spans="1:5" ht="21.75" customHeight="1" x14ac:dyDescent="0.25">
      <c r="A11" s="79" t="s">
        <v>97</v>
      </c>
      <c r="B11" s="80">
        <v>1878</v>
      </c>
      <c r="C11" s="80">
        <v>1727</v>
      </c>
      <c r="D11" s="79" t="s">
        <v>14</v>
      </c>
      <c r="E11" s="81" t="s">
        <v>15</v>
      </c>
    </row>
    <row r="12" spans="1:5" ht="21.75" customHeight="1" x14ac:dyDescent="0.25">
      <c r="A12" s="7" t="s">
        <v>98</v>
      </c>
      <c r="B12" s="8">
        <v>1421</v>
      </c>
      <c r="C12" s="8">
        <v>1424</v>
      </c>
      <c r="D12" s="7" t="s">
        <v>110</v>
      </c>
      <c r="E12" s="9" t="s">
        <v>15</v>
      </c>
    </row>
    <row r="13" spans="1:5" ht="21.75" customHeight="1" x14ac:dyDescent="0.25">
      <c r="A13" s="79" t="s">
        <v>99</v>
      </c>
      <c r="B13" s="80">
        <v>1719</v>
      </c>
      <c r="C13" s="80">
        <v>1561</v>
      </c>
      <c r="D13" s="79" t="s">
        <v>14</v>
      </c>
      <c r="E13" s="81" t="s">
        <v>15</v>
      </c>
    </row>
    <row r="14" spans="1:5" ht="21.75" customHeight="1" x14ac:dyDescent="0.25">
      <c r="A14" s="7" t="s">
        <v>13</v>
      </c>
      <c r="B14" s="8">
        <v>1809</v>
      </c>
      <c r="C14" s="8">
        <v>1764</v>
      </c>
      <c r="D14" s="7" t="s">
        <v>14</v>
      </c>
      <c r="E14" s="9" t="s">
        <v>17</v>
      </c>
    </row>
    <row r="15" spans="1:5" ht="21.75" customHeight="1" x14ac:dyDescent="0.25">
      <c r="A15" s="79" t="s">
        <v>100</v>
      </c>
      <c r="B15" s="80">
        <v>1595</v>
      </c>
      <c r="C15" s="80">
        <v>1806</v>
      </c>
      <c r="D15" s="79" t="s">
        <v>14</v>
      </c>
      <c r="E15" s="81" t="s">
        <v>17</v>
      </c>
    </row>
    <row r="16" spans="1:5" ht="21.75" customHeight="1" x14ac:dyDescent="0.25">
      <c r="A16" s="7" t="s">
        <v>101</v>
      </c>
      <c r="B16" s="8">
        <v>1880</v>
      </c>
      <c r="C16" s="8">
        <v>1976</v>
      </c>
      <c r="D16" s="7" t="s">
        <v>14</v>
      </c>
      <c r="E16" s="9" t="s">
        <v>17</v>
      </c>
    </row>
    <row r="17" spans="1:5" ht="21.75" customHeight="1" x14ac:dyDescent="0.25">
      <c r="A17" s="79" t="s">
        <v>102</v>
      </c>
      <c r="B17" s="80">
        <v>1942</v>
      </c>
      <c r="C17" s="80">
        <v>1845</v>
      </c>
      <c r="D17" s="79" t="s">
        <v>110</v>
      </c>
      <c r="E17" s="81" t="s">
        <v>17</v>
      </c>
    </row>
    <row r="18" spans="1:5" ht="21.75" customHeight="1" x14ac:dyDescent="0.25">
      <c r="A18" s="7" t="s">
        <v>103</v>
      </c>
      <c r="B18" s="8">
        <v>1860</v>
      </c>
      <c r="C18" s="8">
        <v>1776</v>
      </c>
      <c r="D18" s="7" t="s">
        <v>110</v>
      </c>
      <c r="E18" s="9" t="s">
        <v>17</v>
      </c>
    </row>
    <row r="19" spans="1:5" ht="21.75" customHeight="1" x14ac:dyDescent="0.25">
      <c r="A19" s="79" t="s">
        <v>104</v>
      </c>
      <c r="B19" s="80">
        <v>1880</v>
      </c>
      <c r="C19" s="80">
        <v>1789</v>
      </c>
      <c r="D19" s="79" t="s">
        <v>14</v>
      </c>
      <c r="E19" s="81" t="s">
        <v>17</v>
      </c>
    </row>
    <row r="20" spans="1:5" ht="21.75" customHeight="1" x14ac:dyDescent="0.25">
      <c r="A20" s="7" t="s">
        <v>105</v>
      </c>
      <c r="B20" s="8">
        <v>2047</v>
      </c>
      <c r="C20" s="8">
        <v>1821</v>
      </c>
      <c r="D20" s="7" t="s">
        <v>110</v>
      </c>
      <c r="E20" s="9" t="s">
        <v>17</v>
      </c>
    </row>
    <row r="21" spans="1:5" ht="21.75" customHeight="1" x14ac:dyDescent="0.25">
      <c r="A21" s="79" t="s">
        <v>106</v>
      </c>
      <c r="B21" s="80">
        <v>1969</v>
      </c>
      <c r="C21" s="80">
        <v>1617</v>
      </c>
      <c r="D21" s="79" t="s">
        <v>110</v>
      </c>
      <c r="E21" s="81" t="s">
        <v>17</v>
      </c>
    </row>
    <row r="22" spans="1:5" ht="21.75" customHeight="1" x14ac:dyDescent="0.25">
      <c r="A22" s="7" t="s">
        <v>16</v>
      </c>
      <c r="B22" s="8">
        <v>2406</v>
      </c>
      <c r="C22" s="8">
        <v>2361</v>
      </c>
      <c r="D22" s="7" t="s">
        <v>14</v>
      </c>
      <c r="E22" s="9" t="s">
        <v>109</v>
      </c>
    </row>
    <row r="23" spans="1:5" ht="21.75" customHeight="1" x14ac:dyDescent="0.25">
      <c r="A23" s="79" t="s">
        <v>107</v>
      </c>
      <c r="B23" s="80">
        <v>1365</v>
      </c>
      <c r="C23" s="80">
        <v>1377</v>
      </c>
      <c r="D23" s="79" t="s">
        <v>14</v>
      </c>
      <c r="E23" s="81" t="s">
        <v>621</v>
      </c>
    </row>
    <row r="24" spans="1:5" ht="21.75" customHeight="1" x14ac:dyDescent="0.25">
      <c r="A24" s="7" t="s">
        <v>108</v>
      </c>
      <c r="B24" s="8">
        <v>1301</v>
      </c>
      <c r="C24" s="8">
        <v>1298</v>
      </c>
      <c r="D24" s="7" t="s">
        <v>110</v>
      </c>
      <c r="E24" s="9" t="s">
        <v>621</v>
      </c>
    </row>
    <row r="25" spans="1:5" ht="24.75" customHeight="1" x14ac:dyDescent="0.25">
      <c r="A25" s="103" t="s">
        <v>18</v>
      </c>
      <c r="B25" s="103"/>
      <c r="C25" s="103"/>
      <c r="D25" s="103"/>
      <c r="E25" s="103"/>
    </row>
    <row r="26" spans="1:5" ht="7.5" customHeight="1" x14ac:dyDescent="0.25"/>
    <row r="27" spans="1:5" ht="21.75" customHeight="1" x14ac:dyDescent="0.25">
      <c r="A27" s="104" t="s">
        <v>19</v>
      </c>
      <c r="B27" s="104"/>
      <c r="C27" s="104"/>
      <c r="D27" s="104"/>
      <c r="E27" s="104"/>
    </row>
    <row r="28" spans="1:5" ht="42" customHeight="1" x14ac:dyDescent="0.25">
      <c r="A28" s="10" t="s">
        <v>20</v>
      </c>
      <c r="B28" s="100" t="s">
        <v>21</v>
      </c>
      <c r="C28" s="100"/>
      <c r="D28" s="100"/>
      <c r="E28" s="100"/>
    </row>
    <row r="29" spans="1:5" ht="42" customHeight="1" x14ac:dyDescent="0.25">
      <c r="A29" s="10" t="s">
        <v>22</v>
      </c>
      <c r="B29" s="100" t="s">
        <v>23</v>
      </c>
      <c r="C29" s="100"/>
      <c r="D29" s="100"/>
      <c r="E29" s="100"/>
    </row>
    <row r="30" spans="1:5" ht="42" customHeight="1" x14ac:dyDescent="0.25">
      <c r="A30" s="10" t="s">
        <v>24</v>
      </c>
      <c r="B30" s="100" t="s">
        <v>25</v>
      </c>
      <c r="C30" s="100"/>
      <c r="D30" s="100"/>
      <c r="E30" s="100"/>
    </row>
    <row r="31" spans="1:5" ht="42" customHeight="1" x14ac:dyDescent="0.25">
      <c r="A31" s="10" t="s">
        <v>26</v>
      </c>
      <c r="B31" s="100" t="s">
        <v>27</v>
      </c>
      <c r="C31" s="100"/>
      <c r="D31" s="100"/>
      <c r="E31" s="100"/>
    </row>
    <row r="32" spans="1:5" ht="42" customHeight="1" x14ac:dyDescent="0.25">
      <c r="A32" s="10" t="s">
        <v>28</v>
      </c>
      <c r="B32" s="100" t="s">
        <v>29</v>
      </c>
      <c r="C32" s="100"/>
      <c r="D32" s="100"/>
      <c r="E32" s="100"/>
    </row>
    <row r="34" spans="1:5" ht="21.75" customHeight="1" x14ac:dyDescent="0.25">
      <c r="A34" s="101" t="s">
        <v>30</v>
      </c>
      <c r="B34" s="101"/>
      <c r="C34" s="101"/>
      <c r="D34" s="101"/>
      <c r="E34" s="101"/>
    </row>
    <row r="35" spans="1:5" ht="19.5" customHeight="1" x14ac:dyDescent="0.25">
      <c r="A35" s="11" t="s">
        <v>31</v>
      </c>
      <c r="B35" s="99" t="s">
        <v>32</v>
      </c>
      <c r="C35" s="99"/>
      <c r="D35" s="99"/>
      <c r="E35" s="99"/>
    </row>
    <row r="36" spans="1:5" ht="19.5" customHeight="1" x14ac:dyDescent="0.25">
      <c r="A36" s="12" t="s">
        <v>33</v>
      </c>
      <c r="B36" s="99" t="s">
        <v>34</v>
      </c>
      <c r="C36" s="99"/>
      <c r="D36" s="99"/>
      <c r="E36" s="99"/>
    </row>
    <row r="37" spans="1:5" ht="19.5" customHeight="1" x14ac:dyDescent="0.25">
      <c r="A37" s="13" t="s">
        <v>35</v>
      </c>
      <c r="B37" s="99" t="s">
        <v>36</v>
      </c>
      <c r="C37" s="99"/>
      <c r="D37" s="99"/>
      <c r="E37" s="99"/>
    </row>
    <row r="38" spans="1:5" ht="19.5" customHeight="1" x14ac:dyDescent="0.25">
      <c r="A38" s="14" t="s">
        <v>37</v>
      </c>
      <c r="B38" s="99" t="s">
        <v>38</v>
      </c>
      <c r="C38" s="99"/>
      <c r="D38" s="99"/>
      <c r="E38" s="99"/>
    </row>
    <row r="39" spans="1:5" ht="19.5" customHeight="1" x14ac:dyDescent="0.25">
      <c r="A39" s="15" t="s">
        <v>39</v>
      </c>
      <c r="B39" s="99" t="s">
        <v>40</v>
      </c>
      <c r="C39" s="99"/>
      <c r="D39" s="99"/>
      <c r="E39" s="99"/>
    </row>
  </sheetData>
  <mergeCells count="19">
    <mergeCell ref="A1:E1"/>
    <mergeCell ref="A2:E2"/>
    <mergeCell ref="C3:E3"/>
    <mergeCell ref="C4:E4"/>
    <mergeCell ref="A6:E6"/>
    <mergeCell ref="A7:E7"/>
    <mergeCell ref="A25:E25"/>
    <mergeCell ref="A27:E27"/>
    <mergeCell ref="B28:E28"/>
    <mergeCell ref="B29:E29"/>
    <mergeCell ref="B36:E36"/>
    <mergeCell ref="B37:E37"/>
    <mergeCell ref="B38:E38"/>
    <mergeCell ref="B39:E39"/>
    <mergeCell ref="B30:E30"/>
    <mergeCell ref="B31:E31"/>
    <mergeCell ref="B32:E32"/>
    <mergeCell ref="A34:E34"/>
    <mergeCell ref="B35:E3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2"/>
  <sheetViews>
    <sheetView zoomScaleNormal="100" workbookViewId="0">
      <pane ySplit="3" topLeftCell="A4" activePane="bottomLeft" state="frozen"/>
      <selection pane="bottomLeft" activeCell="A16" sqref="A16"/>
    </sheetView>
  </sheetViews>
  <sheetFormatPr defaultColWidth="8.5703125" defaultRowHeight="15" customHeight="1" x14ac:dyDescent="0.25"/>
  <cols>
    <col min="1" max="1" width="23" customWidth="1"/>
    <col min="2" max="2" width="10" customWidth="1"/>
    <col min="3" max="3" width="13.28515625" customWidth="1"/>
    <col min="4" max="4" width="14" customWidth="1"/>
    <col min="5" max="5" width="19.85546875" customWidth="1"/>
    <col min="6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15.7109375" customWidth="1"/>
    <col min="21" max="21" width="45.7109375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226</v>
      </c>
      <c r="B4" s="60" t="s">
        <v>227</v>
      </c>
      <c r="C4" s="4" t="s">
        <v>98</v>
      </c>
      <c r="D4" s="19">
        <v>46092</v>
      </c>
      <c r="E4" s="20">
        <f t="shared" ref="E4:E16" si="0">IF(D4="","",D4-90)</f>
        <v>46002</v>
      </c>
      <c r="F4" s="20">
        <f t="shared" ref="F4:F16" si="1">IF(D4="","",D4-60)</f>
        <v>46032</v>
      </c>
      <c r="G4" s="20">
        <f t="shared" ref="G4:G16" si="2">IF(D4="","",D4-30)</f>
        <v>46062</v>
      </c>
      <c r="H4" s="21">
        <v>0</v>
      </c>
      <c r="I4" s="5">
        <v>1422</v>
      </c>
      <c r="J4" s="22" t="str">
        <f t="shared" ref="J4:J16" si="3">IF(I4="","",IF(ABS(N4-W4)&lt;=ABS(M4-W4),IF(ABS(N4-W4)&lt;=ABS(O4-W4),"Offer 2","Offer 3"),IF(ABS(M4-W4)&lt;=ABS(O4-W4),"Offer 1","Offer 3")))</f>
        <v>Offer 1</v>
      </c>
      <c r="K4" s="59">
        <v>0</v>
      </c>
      <c r="L4" s="23">
        <f t="shared" ref="L4:L16" si="4">IF(OR(I4="",K4=""),"",CEILING(I4*(1+K4),5))</f>
        <v>1425</v>
      </c>
      <c r="M4" s="23">
        <f t="shared" ref="M4:M16" si="5">IF(I4="","",IF(X4="Under",CEILING(MAX(I4*1.02,MIN(V4,W4)*0.95),5),CEILING(MAX(I4*1.03,MIN(V4,W4)*0.97),5)))</f>
        <v>1465</v>
      </c>
      <c r="N4" s="23">
        <f t="shared" ref="N4:N16" si="6">IF(I4="","",IF(X4="Under",CEILING(MAX(I4*1.03,(V4+W4)/2*0.96),5),CEILING(MAX(I4*1.05,(V4+W4)/2*0.98),5)))</f>
        <v>1495</v>
      </c>
      <c r="O4" s="23">
        <f t="shared" ref="O4:O16" si="7">IF(I4="","",IF(X4="Under",CEILING(MAX(I4*1.05,MIN(V4,W4*1.01)),5),CEILING(MAX(I4*1.08,MIN(V4,W4*1.02)),5)))</f>
        <v>1540</v>
      </c>
      <c r="P4" s="4" t="s">
        <v>222</v>
      </c>
      <c r="Q4" s="61">
        <v>46030</v>
      </c>
      <c r="R4" s="4"/>
      <c r="S4" s="4"/>
      <c r="T4" s="4" t="s">
        <v>595</v>
      </c>
      <c r="U4" s="76" t="s">
        <v>613</v>
      </c>
      <c r="V4" s="23">
        <f>IF(C4="","",IFERROR(VLOOKUP(C4,SETUP!$A$9:$D$24,2,0),"⚠ Check SETUP"))</f>
        <v>1421</v>
      </c>
      <c r="W4" s="23">
        <f>IF(C4="","",IFERROR(VLOOKUP(C4,SETUP!$A$9:$D$24,3,0),"⚠ Check SETUP"))</f>
        <v>1424</v>
      </c>
      <c r="X4" s="22" t="str">
        <f>IF(C4="","",IFERROR(VLOOKUP(C4,SETUP!$A$9:$D$24,4,0),"⚠ Check SETUP"))</f>
        <v>Over</v>
      </c>
      <c r="Y4" s="24">
        <f t="shared" ref="Y4:Y16" si="8">IF(OR(I4="",M4=""),"",(M4-I4)/I4)</f>
        <v>3.0239099859353025E-2</v>
      </c>
      <c r="Z4" s="24">
        <f t="shared" ref="Z4:Z16" si="9">IF(OR(I4="",N4=""),"",(N4-I4)/I4)</f>
        <v>5.1336146272855133E-2</v>
      </c>
      <c r="AA4" s="24">
        <f t="shared" ref="AA4:AA16" si="10">IF(OR(I4="",O4=""),"",(O4-I4)/I4)</f>
        <v>8.2981715893108293E-2</v>
      </c>
      <c r="AB4" s="24">
        <f t="shared" ref="AB4:AB16" si="11">IF(OR(Q4="",S4&lt;&gt;"",P4="",I4=""),"",IF(P4="Investor Override",IF(L4="","",(L4-I4)/I4),IF(P4="Offer 1",IF(M4="","",(M4-I4)/I4),IF(P4="Offer 2",IF(N4="","",(N4-I4)/I4),IF(P4="Offer 3",IF(O4="","",(O4-I4)/I4),"")))))</f>
        <v>2.1097046413502108E-3</v>
      </c>
    </row>
    <row r="5" spans="1:28" ht="19.5" customHeight="1" x14ac:dyDescent="0.25">
      <c r="A5" s="6" t="s">
        <v>228</v>
      </c>
      <c r="B5" s="60" t="s">
        <v>229</v>
      </c>
      <c r="C5" s="4" t="s">
        <v>98</v>
      </c>
      <c r="D5" s="19">
        <v>46094</v>
      </c>
      <c r="E5" s="20">
        <f t="shared" si="0"/>
        <v>46004</v>
      </c>
      <c r="F5" s="20">
        <f t="shared" si="1"/>
        <v>46034</v>
      </c>
      <c r="G5" s="20">
        <f t="shared" si="2"/>
        <v>46064</v>
      </c>
      <c r="H5" s="21">
        <v>0</v>
      </c>
      <c r="I5" s="5">
        <v>1488</v>
      </c>
      <c r="J5" s="22" t="str">
        <f t="shared" si="3"/>
        <v>Offer 1</v>
      </c>
      <c r="K5" s="59">
        <v>0</v>
      </c>
      <c r="L5" s="23">
        <f t="shared" si="4"/>
        <v>1490</v>
      </c>
      <c r="M5" s="23">
        <f t="shared" si="5"/>
        <v>1535</v>
      </c>
      <c r="N5" s="23">
        <f t="shared" si="6"/>
        <v>1565</v>
      </c>
      <c r="O5" s="23">
        <f t="shared" si="7"/>
        <v>1610</v>
      </c>
      <c r="P5" s="4" t="s">
        <v>222</v>
      </c>
      <c r="Q5" s="61">
        <v>46055</v>
      </c>
      <c r="R5" s="4"/>
      <c r="S5" s="4"/>
      <c r="T5" s="4" t="s">
        <v>596</v>
      </c>
      <c r="U5" s="76" t="s">
        <v>613</v>
      </c>
      <c r="V5" s="23">
        <f>IF(C5="","",IFERROR(VLOOKUP(C5,SETUP!$A$9:$D$24,2,0),"⚠ Check SETUP"))</f>
        <v>1421</v>
      </c>
      <c r="W5" s="23">
        <f>IF(C5="","",IFERROR(VLOOKUP(C5,SETUP!$A$9:$D$24,3,0),"⚠ Check SETUP"))</f>
        <v>1424</v>
      </c>
      <c r="X5" s="22" t="str">
        <f>IF(C5="","",IFERROR(VLOOKUP(C5,SETUP!$A$9:$D$24,4,0),"⚠ Check SETUP"))</f>
        <v>Over</v>
      </c>
      <c r="Y5" s="24">
        <f t="shared" si="8"/>
        <v>3.1586021505376344E-2</v>
      </c>
      <c r="Z5" s="24">
        <f t="shared" si="9"/>
        <v>5.1747311827956992E-2</v>
      </c>
      <c r="AA5" s="24">
        <f t="shared" si="10"/>
        <v>8.1989247311827954E-2</v>
      </c>
      <c r="AB5" s="24">
        <f t="shared" si="11"/>
        <v>1.3440860215053765E-3</v>
      </c>
    </row>
    <row r="6" spans="1:28" ht="19.5" customHeight="1" x14ac:dyDescent="0.25">
      <c r="A6" s="6" t="s">
        <v>230</v>
      </c>
      <c r="B6" s="60" t="s">
        <v>231</v>
      </c>
      <c r="C6" s="4" t="s">
        <v>103</v>
      </c>
      <c r="D6" s="19">
        <v>46095</v>
      </c>
      <c r="E6" s="20">
        <f t="shared" si="0"/>
        <v>46005</v>
      </c>
      <c r="F6" s="20">
        <f t="shared" si="1"/>
        <v>46035</v>
      </c>
      <c r="G6" s="20">
        <f t="shared" si="2"/>
        <v>46065</v>
      </c>
      <c r="H6" s="21">
        <v>0</v>
      </c>
      <c r="I6" s="5">
        <v>1839</v>
      </c>
      <c r="J6" s="22" t="str">
        <f t="shared" si="3"/>
        <v>Offer 1</v>
      </c>
      <c r="K6" s="59">
        <v>0</v>
      </c>
      <c r="L6" s="23">
        <f t="shared" si="4"/>
        <v>1840</v>
      </c>
      <c r="M6" s="23">
        <f t="shared" si="5"/>
        <v>1895</v>
      </c>
      <c r="N6" s="23">
        <f t="shared" si="6"/>
        <v>1935</v>
      </c>
      <c r="O6" s="23">
        <f t="shared" si="7"/>
        <v>1990</v>
      </c>
      <c r="P6" s="4" t="s">
        <v>222</v>
      </c>
      <c r="Q6" s="61">
        <v>46071</v>
      </c>
      <c r="R6" s="4"/>
      <c r="S6" s="4"/>
      <c r="T6" s="4" t="s">
        <v>597</v>
      </c>
      <c r="U6" s="6" t="s">
        <v>615</v>
      </c>
      <c r="V6" s="23">
        <f>IF(C6="","",IFERROR(VLOOKUP(C6,SETUP!$A$9:$D$24,2,0),"⚠ Check SETUP"))</f>
        <v>1860</v>
      </c>
      <c r="W6" s="23">
        <f>IF(C6="","",IFERROR(VLOOKUP(C6,SETUP!$A$9:$D$24,3,0),"⚠ Check SETUP"))</f>
        <v>1776</v>
      </c>
      <c r="X6" s="22" t="str">
        <f>IF(C6="","",IFERROR(VLOOKUP(C6,SETUP!$A$9:$D$24,4,0),"⚠ Check SETUP"))</f>
        <v>Over</v>
      </c>
      <c r="Y6" s="24">
        <f t="shared" si="8"/>
        <v>3.0451332245785754E-2</v>
      </c>
      <c r="Z6" s="24">
        <f t="shared" si="9"/>
        <v>5.2202283849918436E-2</v>
      </c>
      <c r="AA6" s="24">
        <f t="shared" si="10"/>
        <v>8.2109842305600866E-2</v>
      </c>
      <c r="AB6" s="24">
        <f t="shared" si="11"/>
        <v>5.4377379010331697E-4</v>
      </c>
    </row>
    <row r="7" spans="1:28" ht="19.5" customHeight="1" x14ac:dyDescent="0.25">
      <c r="A7" s="6" t="s">
        <v>232</v>
      </c>
      <c r="B7" s="60" t="s">
        <v>233</v>
      </c>
      <c r="C7" s="4" t="s">
        <v>98</v>
      </c>
      <c r="D7" s="19">
        <v>46097</v>
      </c>
      <c r="E7" s="20">
        <f t="shared" si="0"/>
        <v>46007</v>
      </c>
      <c r="F7" s="20">
        <f t="shared" si="1"/>
        <v>46037</v>
      </c>
      <c r="G7" s="20">
        <f t="shared" si="2"/>
        <v>46067</v>
      </c>
      <c r="H7" s="21">
        <v>1595</v>
      </c>
      <c r="I7" s="5">
        <v>1595</v>
      </c>
      <c r="J7" s="22" t="str">
        <f t="shared" si="3"/>
        <v>Offer 1</v>
      </c>
      <c r="K7" s="59">
        <v>1.6E-2</v>
      </c>
      <c r="L7" s="23">
        <f t="shared" si="4"/>
        <v>1625</v>
      </c>
      <c r="M7" s="23">
        <f t="shared" si="5"/>
        <v>1645</v>
      </c>
      <c r="N7" s="23">
        <f t="shared" si="6"/>
        <v>1675</v>
      </c>
      <c r="O7" s="23">
        <f t="shared" si="7"/>
        <v>1725</v>
      </c>
      <c r="P7" s="4" t="s">
        <v>222</v>
      </c>
      <c r="Q7" s="61">
        <v>46045</v>
      </c>
      <c r="R7" s="4"/>
      <c r="S7" s="4"/>
      <c r="T7" s="4" t="s">
        <v>598</v>
      </c>
      <c r="U7" s="6" t="s">
        <v>616</v>
      </c>
      <c r="V7" s="23">
        <f>IF(C7="","",IFERROR(VLOOKUP(C7,SETUP!$A$9:$D$24,2,0),"⚠ Check SETUP"))</f>
        <v>1421</v>
      </c>
      <c r="W7" s="23">
        <f>IF(C7="","",IFERROR(VLOOKUP(C7,SETUP!$A$9:$D$24,3,0),"⚠ Check SETUP"))</f>
        <v>1424</v>
      </c>
      <c r="X7" s="22" t="str">
        <f>IF(C7="","",IFERROR(VLOOKUP(C7,SETUP!$A$9:$D$24,4,0),"⚠ Check SETUP"))</f>
        <v>Over</v>
      </c>
      <c r="Y7" s="24">
        <f t="shared" si="8"/>
        <v>3.1347962382445138E-2</v>
      </c>
      <c r="Z7" s="24">
        <f t="shared" si="9"/>
        <v>5.0156739811912224E-2</v>
      </c>
      <c r="AA7" s="24">
        <f t="shared" si="10"/>
        <v>8.1504702194357362E-2</v>
      </c>
      <c r="AB7" s="24">
        <f t="shared" si="11"/>
        <v>1.8808777429467086E-2</v>
      </c>
    </row>
    <row r="8" spans="1:28" ht="19.5" customHeight="1" x14ac:dyDescent="0.25">
      <c r="A8" s="6" t="s">
        <v>234</v>
      </c>
      <c r="B8" s="60" t="s">
        <v>235</v>
      </c>
      <c r="C8" s="4" t="s">
        <v>101</v>
      </c>
      <c r="D8" s="19">
        <v>46097</v>
      </c>
      <c r="E8" s="20">
        <f t="shared" si="0"/>
        <v>46007</v>
      </c>
      <c r="F8" s="20">
        <f t="shared" si="1"/>
        <v>46037</v>
      </c>
      <c r="G8" s="20">
        <f t="shared" si="2"/>
        <v>46067</v>
      </c>
      <c r="H8" s="21">
        <v>0</v>
      </c>
      <c r="I8" s="5">
        <v>1934</v>
      </c>
      <c r="J8" s="22" t="str">
        <f t="shared" si="3"/>
        <v>Offer 1</v>
      </c>
      <c r="K8" s="59">
        <v>0</v>
      </c>
      <c r="L8" s="23">
        <f t="shared" si="4"/>
        <v>1935</v>
      </c>
      <c r="M8" s="23">
        <f t="shared" si="5"/>
        <v>1975</v>
      </c>
      <c r="N8" s="23">
        <f t="shared" si="6"/>
        <v>1995</v>
      </c>
      <c r="O8" s="23">
        <f t="shared" si="7"/>
        <v>2035</v>
      </c>
      <c r="P8" s="4" t="s">
        <v>222</v>
      </c>
      <c r="Q8" s="61">
        <v>46055</v>
      </c>
      <c r="R8" s="4"/>
      <c r="S8" s="4"/>
      <c r="T8" s="4" t="s">
        <v>599</v>
      </c>
      <c r="U8" s="6" t="s">
        <v>617</v>
      </c>
      <c r="V8" s="23">
        <f>IF(C8="","",IFERROR(VLOOKUP(C8,SETUP!$A$9:$D$24,2,0),"⚠ Check SETUP"))</f>
        <v>1880</v>
      </c>
      <c r="W8" s="23">
        <f>IF(C8="","",IFERROR(VLOOKUP(C8,SETUP!$A$9:$D$24,3,0),"⚠ Check SETUP"))</f>
        <v>1976</v>
      </c>
      <c r="X8" s="22" t="str">
        <f>IF(C8="","",IFERROR(VLOOKUP(C8,SETUP!$A$9:$D$24,4,0),"⚠ Check SETUP"))</f>
        <v>Under</v>
      </c>
      <c r="Y8" s="24">
        <f t="shared" si="8"/>
        <v>2.1199586349534644E-2</v>
      </c>
      <c r="Z8" s="24">
        <f t="shared" si="9"/>
        <v>3.1540847983453982E-2</v>
      </c>
      <c r="AA8" s="24">
        <f t="shared" si="10"/>
        <v>5.2223371251292658E-2</v>
      </c>
      <c r="AB8" s="24">
        <f t="shared" si="11"/>
        <v>5.1706308169596695E-4</v>
      </c>
    </row>
    <row r="9" spans="1:28" ht="19.5" customHeight="1" x14ac:dyDescent="0.25">
      <c r="A9" s="6" t="s">
        <v>238</v>
      </c>
      <c r="B9" s="60" t="s">
        <v>239</v>
      </c>
      <c r="C9" s="4" t="s">
        <v>95</v>
      </c>
      <c r="D9" s="19">
        <v>46100</v>
      </c>
      <c r="E9" s="20">
        <f t="shared" si="0"/>
        <v>46010</v>
      </c>
      <c r="F9" s="20">
        <f t="shared" si="1"/>
        <v>46040</v>
      </c>
      <c r="G9" s="20">
        <f t="shared" si="2"/>
        <v>46070</v>
      </c>
      <c r="H9" s="21">
        <v>1497</v>
      </c>
      <c r="I9" s="5">
        <v>1497</v>
      </c>
      <c r="J9" s="22" t="str">
        <f t="shared" si="3"/>
        <v>Offer 1</v>
      </c>
      <c r="K9" s="59">
        <v>2.3E-2</v>
      </c>
      <c r="L9" s="23">
        <f t="shared" si="4"/>
        <v>1535</v>
      </c>
      <c r="M9" s="23">
        <f t="shared" si="5"/>
        <v>1530</v>
      </c>
      <c r="N9" s="23">
        <f t="shared" si="6"/>
        <v>1545</v>
      </c>
      <c r="O9" s="23">
        <f t="shared" si="7"/>
        <v>1575</v>
      </c>
      <c r="P9" s="4" t="s">
        <v>222</v>
      </c>
      <c r="Q9" s="61">
        <v>46062</v>
      </c>
      <c r="R9" s="4"/>
      <c r="S9" s="4"/>
      <c r="T9" s="4" t="s">
        <v>601</v>
      </c>
      <c r="U9" s="6" t="s">
        <v>618</v>
      </c>
      <c r="V9" s="23">
        <f>IF(C9="","",IFERROR(VLOOKUP(C9,SETUP!$A$9:$D$24,2,0),"⚠ Check SETUP"))</f>
        <v>1595</v>
      </c>
      <c r="W9" s="23">
        <f>IF(C9="","",IFERROR(VLOOKUP(C9,SETUP!$A$9:$D$24,3,0),"⚠ Check SETUP"))</f>
        <v>1504</v>
      </c>
      <c r="X9" s="22" t="str">
        <f>IF(C9="","",IFERROR(VLOOKUP(C9,SETUP!$A$9:$D$24,4,0),"⚠ Check SETUP"))</f>
        <v>Under</v>
      </c>
      <c r="Y9" s="24">
        <f t="shared" si="8"/>
        <v>2.2044088176352707E-2</v>
      </c>
      <c r="Z9" s="24">
        <f t="shared" si="9"/>
        <v>3.2064128256513023E-2</v>
      </c>
      <c r="AA9" s="24">
        <f t="shared" si="10"/>
        <v>5.2104208416833664E-2</v>
      </c>
      <c r="AB9" s="24">
        <f t="shared" si="11"/>
        <v>2.5384101536406144E-2</v>
      </c>
    </row>
    <row r="10" spans="1:28" ht="19.5" customHeight="1" x14ac:dyDescent="0.25">
      <c r="A10" s="6" t="s">
        <v>236</v>
      </c>
      <c r="B10" s="60" t="s">
        <v>237</v>
      </c>
      <c r="C10" s="4" t="s">
        <v>95</v>
      </c>
      <c r="D10" s="19">
        <v>46100</v>
      </c>
      <c r="E10" s="20">
        <f t="shared" si="0"/>
        <v>46010</v>
      </c>
      <c r="F10" s="20">
        <f t="shared" si="1"/>
        <v>46040</v>
      </c>
      <c r="G10" s="20">
        <f t="shared" si="2"/>
        <v>46070</v>
      </c>
      <c r="H10" s="21">
        <v>0</v>
      </c>
      <c r="I10" s="5">
        <v>1473</v>
      </c>
      <c r="J10" s="22" t="str">
        <f t="shared" si="3"/>
        <v>Offer 1</v>
      </c>
      <c r="K10" s="59">
        <v>0.02</v>
      </c>
      <c r="L10" s="23">
        <f t="shared" si="4"/>
        <v>1505</v>
      </c>
      <c r="M10" s="23">
        <f t="shared" si="5"/>
        <v>1505</v>
      </c>
      <c r="N10" s="23">
        <f t="shared" si="6"/>
        <v>1520</v>
      </c>
      <c r="O10" s="23">
        <f t="shared" si="7"/>
        <v>1550</v>
      </c>
      <c r="P10" s="4"/>
      <c r="Q10" s="4"/>
      <c r="R10" s="4"/>
      <c r="S10" s="61">
        <v>46038</v>
      </c>
      <c r="T10" s="4" t="s">
        <v>600</v>
      </c>
      <c r="U10" s="6" t="s">
        <v>608</v>
      </c>
      <c r="V10" s="23">
        <f>IF(C10="","",IFERROR(VLOOKUP(C10,SETUP!$A$9:$D$24,2,0),"⚠ Check SETUP"))</f>
        <v>1595</v>
      </c>
      <c r="W10" s="23">
        <f>IF(C10="","",IFERROR(VLOOKUP(C10,SETUP!$A$9:$D$24,3,0),"⚠ Check SETUP"))</f>
        <v>1504</v>
      </c>
      <c r="X10" s="22" t="str">
        <f>IF(C10="","",IFERROR(VLOOKUP(C10,SETUP!$A$9:$D$24,4,0),"⚠ Check SETUP"))</f>
        <v>Under</v>
      </c>
      <c r="Y10" s="24">
        <f t="shared" si="8"/>
        <v>2.1724372029871011E-2</v>
      </c>
      <c r="Z10" s="24">
        <f t="shared" si="9"/>
        <v>3.1907671418873046E-2</v>
      </c>
      <c r="AA10" s="24">
        <f t="shared" si="10"/>
        <v>5.2274270196877123E-2</v>
      </c>
      <c r="AB10" s="24" t="str">
        <f t="shared" si="11"/>
        <v/>
      </c>
    </row>
    <row r="11" spans="1:28" ht="19.5" customHeight="1" x14ac:dyDescent="0.25">
      <c r="A11" s="6" t="s">
        <v>240</v>
      </c>
      <c r="B11" s="60" t="s">
        <v>241</v>
      </c>
      <c r="C11" s="4" t="s">
        <v>95</v>
      </c>
      <c r="D11" s="19">
        <v>46101</v>
      </c>
      <c r="E11" s="20">
        <f t="shared" si="0"/>
        <v>46011</v>
      </c>
      <c r="F11" s="20">
        <f t="shared" si="1"/>
        <v>46041</v>
      </c>
      <c r="G11" s="20">
        <f t="shared" si="2"/>
        <v>46071</v>
      </c>
      <c r="H11" s="21">
        <v>0</v>
      </c>
      <c r="I11" s="5">
        <v>1561</v>
      </c>
      <c r="J11" s="22" t="str">
        <f t="shared" si="3"/>
        <v>Offer 1</v>
      </c>
      <c r="K11" s="59">
        <v>0.02</v>
      </c>
      <c r="L11" s="23">
        <f t="shared" si="4"/>
        <v>1595</v>
      </c>
      <c r="M11" s="23">
        <f t="shared" si="5"/>
        <v>1595</v>
      </c>
      <c r="N11" s="23">
        <f t="shared" si="6"/>
        <v>1610</v>
      </c>
      <c r="O11" s="23">
        <f t="shared" si="7"/>
        <v>1640</v>
      </c>
      <c r="P11" s="4"/>
      <c r="Q11" s="4"/>
      <c r="R11" s="4"/>
      <c r="S11" s="61">
        <v>46022</v>
      </c>
      <c r="T11" s="4" t="s">
        <v>602</v>
      </c>
      <c r="U11" s="6" t="s">
        <v>609</v>
      </c>
      <c r="V11" s="23">
        <f>IF(C11="","",IFERROR(VLOOKUP(C11,SETUP!$A$9:$D$24,2,0),"⚠ Check SETUP"))</f>
        <v>1595</v>
      </c>
      <c r="W11" s="23">
        <f>IF(C11="","",IFERROR(VLOOKUP(C11,SETUP!$A$9:$D$24,3,0),"⚠ Check SETUP"))</f>
        <v>1504</v>
      </c>
      <c r="X11" s="22" t="str">
        <f>IF(C11="","",IFERROR(VLOOKUP(C11,SETUP!$A$9:$D$24,4,0),"⚠ Check SETUP"))</f>
        <v>Under</v>
      </c>
      <c r="Y11" s="24">
        <f t="shared" si="8"/>
        <v>2.1780909673286355E-2</v>
      </c>
      <c r="Z11" s="24">
        <f t="shared" si="9"/>
        <v>3.1390134529147982E-2</v>
      </c>
      <c r="AA11" s="24">
        <f t="shared" si="10"/>
        <v>5.0608584240871238E-2</v>
      </c>
      <c r="AB11" s="24" t="str">
        <f t="shared" si="11"/>
        <v/>
      </c>
    </row>
    <row r="12" spans="1:28" ht="19.5" customHeight="1" x14ac:dyDescent="0.25">
      <c r="A12" s="6" t="s">
        <v>242</v>
      </c>
      <c r="B12" s="60" t="s">
        <v>243</v>
      </c>
      <c r="C12" s="4" t="s">
        <v>99</v>
      </c>
      <c r="D12" s="19">
        <v>46101</v>
      </c>
      <c r="E12" s="20">
        <f t="shared" si="0"/>
        <v>46011</v>
      </c>
      <c r="F12" s="20">
        <f t="shared" si="1"/>
        <v>46041</v>
      </c>
      <c r="G12" s="20">
        <f t="shared" si="2"/>
        <v>46071</v>
      </c>
      <c r="H12" s="21">
        <v>1540</v>
      </c>
      <c r="I12" s="5">
        <v>1540</v>
      </c>
      <c r="J12" s="22" t="str">
        <f t="shared" si="3"/>
        <v>Offer 1</v>
      </c>
      <c r="K12" s="59">
        <v>0.02</v>
      </c>
      <c r="L12" s="23">
        <f t="shared" si="4"/>
        <v>1575</v>
      </c>
      <c r="M12" s="23">
        <f t="shared" si="5"/>
        <v>1575</v>
      </c>
      <c r="N12" s="23">
        <f t="shared" si="6"/>
        <v>1590</v>
      </c>
      <c r="O12" s="23">
        <f t="shared" si="7"/>
        <v>1620</v>
      </c>
      <c r="P12" s="4"/>
      <c r="Q12" s="4"/>
      <c r="R12" s="4"/>
      <c r="S12" s="61">
        <v>46036</v>
      </c>
      <c r="T12" s="4" t="s">
        <v>603</v>
      </c>
      <c r="U12" s="6" t="s">
        <v>610</v>
      </c>
      <c r="V12" s="23">
        <f>IF(C12="","",IFERROR(VLOOKUP(C12,SETUP!$A$9:$D$24,2,0),"⚠ Check SETUP"))</f>
        <v>1719</v>
      </c>
      <c r="W12" s="23">
        <f>IF(C12="","",IFERROR(VLOOKUP(C12,SETUP!$A$9:$D$24,3,0),"⚠ Check SETUP"))</f>
        <v>1561</v>
      </c>
      <c r="X12" s="22" t="str">
        <f>IF(C12="","",IFERROR(VLOOKUP(C12,SETUP!$A$9:$D$24,4,0),"⚠ Check SETUP"))</f>
        <v>Under</v>
      </c>
      <c r="Y12" s="24">
        <f t="shared" si="8"/>
        <v>2.2727272727272728E-2</v>
      </c>
      <c r="Z12" s="24">
        <f t="shared" si="9"/>
        <v>3.2467532467532464E-2</v>
      </c>
      <c r="AA12" s="24">
        <f t="shared" si="10"/>
        <v>5.1948051948051951E-2</v>
      </c>
      <c r="AB12" s="24" t="str">
        <f t="shared" si="11"/>
        <v/>
      </c>
    </row>
    <row r="13" spans="1:28" ht="19.5" customHeight="1" x14ac:dyDescent="0.25">
      <c r="A13" s="6" t="s">
        <v>244</v>
      </c>
      <c r="B13" s="60" t="s">
        <v>245</v>
      </c>
      <c r="C13" s="4" t="s">
        <v>98</v>
      </c>
      <c r="D13" s="19">
        <v>46102</v>
      </c>
      <c r="E13" s="20">
        <f t="shared" si="0"/>
        <v>46012</v>
      </c>
      <c r="F13" s="20">
        <f t="shared" si="1"/>
        <v>46042</v>
      </c>
      <c r="G13" s="20">
        <f t="shared" si="2"/>
        <v>46072</v>
      </c>
      <c r="H13" s="21">
        <v>1595</v>
      </c>
      <c r="I13" s="5">
        <v>1625</v>
      </c>
      <c r="J13" s="22" t="str">
        <f t="shared" si="3"/>
        <v>Offer 1</v>
      </c>
      <c r="K13" s="59">
        <v>1.6E-2</v>
      </c>
      <c r="L13" s="23">
        <f t="shared" si="4"/>
        <v>1655</v>
      </c>
      <c r="M13" s="23">
        <f t="shared" si="5"/>
        <v>1675</v>
      </c>
      <c r="N13" s="23">
        <f t="shared" si="6"/>
        <v>1710</v>
      </c>
      <c r="O13" s="23">
        <f t="shared" si="7"/>
        <v>1755</v>
      </c>
      <c r="P13" s="4" t="s">
        <v>222</v>
      </c>
      <c r="Q13" s="61">
        <v>46002</v>
      </c>
      <c r="R13" s="4"/>
      <c r="S13" s="4"/>
      <c r="T13" s="4" t="s">
        <v>604</v>
      </c>
      <c r="U13" s="6" t="s">
        <v>619</v>
      </c>
      <c r="V13" s="23">
        <f>IF(C13="","",IFERROR(VLOOKUP(C13,SETUP!$A$9:$D$24,2,0),"⚠ Check SETUP"))</f>
        <v>1421</v>
      </c>
      <c r="W13" s="23">
        <f>IF(C13="","",IFERROR(VLOOKUP(C13,SETUP!$A$9:$D$24,3,0),"⚠ Check SETUP"))</f>
        <v>1424</v>
      </c>
      <c r="X13" s="22" t="str">
        <f>IF(C13="","",IFERROR(VLOOKUP(C13,SETUP!$A$9:$D$24,4,0),"⚠ Check SETUP"))</f>
        <v>Over</v>
      </c>
      <c r="Y13" s="24">
        <f t="shared" si="8"/>
        <v>3.0769230769230771E-2</v>
      </c>
      <c r="Z13" s="24">
        <f t="shared" si="9"/>
        <v>5.2307692307692305E-2</v>
      </c>
      <c r="AA13" s="24">
        <f t="shared" si="10"/>
        <v>0.08</v>
      </c>
      <c r="AB13" s="24">
        <f t="shared" si="11"/>
        <v>1.8461538461538463E-2</v>
      </c>
    </row>
    <row r="14" spans="1:28" ht="19.5" customHeight="1" x14ac:dyDescent="0.25">
      <c r="A14" s="6" t="s">
        <v>248</v>
      </c>
      <c r="B14" s="60" t="s">
        <v>249</v>
      </c>
      <c r="C14" s="4" t="s">
        <v>13</v>
      </c>
      <c r="D14" s="19">
        <v>46108</v>
      </c>
      <c r="E14" s="20">
        <f t="shared" si="0"/>
        <v>46018</v>
      </c>
      <c r="F14" s="20">
        <f t="shared" si="1"/>
        <v>46048</v>
      </c>
      <c r="G14" s="20">
        <f t="shared" si="2"/>
        <v>46078</v>
      </c>
      <c r="H14" s="21">
        <v>0</v>
      </c>
      <c r="I14" s="5">
        <v>1798</v>
      </c>
      <c r="J14" s="22" t="str">
        <f t="shared" si="3"/>
        <v>Offer 1</v>
      </c>
      <c r="K14" s="59">
        <v>0</v>
      </c>
      <c r="L14" s="23">
        <f t="shared" si="4"/>
        <v>1800</v>
      </c>
      <c r="M14" s="23">
        <f t="shared" si="5"/>
        <v>1835</v>
      </c>
      <c r="N14" s="23">
        <f t="shared" si="6"/>
        <v>1855</v>
      </c>
      <c r="O14" s="23">
        <f t="shared" si="7"/>
        <v>1890</v>
      </c>
      <c r="P14" s="4"/>
      <c r="Q14" s="4"/>
      <c r="R14" s="4"/>
      <c r="S14" s="61">
        <v>46048</v>
      </c>
      <c r="T14" s="4" t="s">
        <v>606</v>
      </c>
      <c r="U14" s="6" t="s">
        <v>611</v>
      </c>
      <c r="V14" s="23">
        <f>IF(C14="","",IFERROR(VLOOKUP(C14,SETUP!$A$9:$D$24,2,0),"⚠ Check SETUP"))</f>
        <v>1809</v>
      </c>
      <c r="W14" s="23">
        <f>IF(C14="","",IFERROR(VLOOKUP(C14,SETUP!$A$9:$D$24,3,0),"⚠ Check SETUP"))</f>
        <v>1764</v>
      </c>
      <c r="X14" s="22" t="str">
        <f>IF(C14="","",IFERROR(VLOOKUP(C14,SETUP!$A$9:$D$24,4,0),"⚠ Check SETUP"))</f>
        <v>Under</v>
      </c>
      <c r="Y14" s="24">
        <f t="shared" si="8"/>
        <v>2.0578420467185762E-2</v>
      </c>
      <c r="Z14" s="24">
        <f t="shared" si="9"/>
        <v>3.1701890989988879E-2</v>
      </c>
      <c r="AA14" s="24">
        <f t="shared" si="10"/>
        <v>5.116796440489433E-2</v>
      </c>
      <c r="AB14" s="24" t="str">
        <f t="shared" si="11"/>
        <v/>
      </c>
    </row>
    <row r="15" spans="1:28" ht="19.5" customHeight="1" x14ac:dyDescent="0.25">
      <c r="A15" s="6" t="s">
        <v>246</v>
      </c>
      <c r="B15" s="60" t="s">
        <v>247</v>
      </c>
      <c r="C15" s="4" t="s">
        <v>100</v>
      </c>
      <c r="D15" s="19">
        <v>46108</v>
      </c>
      <c r="E15" s="20">
        <f t="shared" si="0"/>
        <v>46018</v>
      </c>
      <c r="F15" s="20">
        <f t="shared" si="1"/>
        <v>46048</v>
      </c>
      <c r="G15" s="20">
        <f t="shared" si="2"/>
        <v>46078</v>
      </c>
      <c r="H15" s="21">
        <v>0</v>
      </c>
      <c r="I15" s="5">
        <v>1911</v>
      </c>
      <c r="J15" s="22" t="str">
        <f t="shared" si="3"/>
        <v>Offer 1</v>
      </c>
      <c r="K15" s="59">
        <v>0</v>
      </c>
      <c r="L15" s="23">
        <f t="shared" si="4"/>
        <v>1915</v>
      </c>
      <c r="M15" s="23">
        <f t="shared" si="5"/>
        <v>1950</v>
      </c>
      <c r="N15" s="23">
        <f t="shared" si="6"/>
        <v>1970</v>
      </c>
      <c r="O15" s="23">
        <f t="shared" si="7"/>
        <v>2010</v>
      </c>
      <c r="P15" s="4" t="s">
        <v>222</v>
      </c>
      <c r="Q15" s="61">
        <v>46031</v>
      </c>
      <c r="R15" s="4"/>
      <c r="S15" s="4"/>
      <c r="T15" s="4" t="s">
        <v>605</v>
      </c>
      <c r="U15" s="6" t="s">
        <v>613</v>
      </c>
      <c r="V15" s="23">
        <f>IF(C15="","",IFERROR(VLOOKUP(C15,SETUP!$A$9:$D$24,2,0),"⚠ Check SETUP"))</f>
        <v>1595</v>
      </c>
      <c r="W15" s="23">
        <f>IF(C15="","",IFERROR(VLOOKUP(C15,SETUP!$A$9:$D$24,3,0),"⚠ Check SETUP"))</f>
        <v>1806</v>
      </c>
      <c r="X15" s="22" t="str">
        <f>IF(C15="","",IFERROR(VLOOKUP(C15,SETUP!$A$9:$D$24,4,0),"⚠ Check SETUP"))</f>
        <v>Under</v>
      </c>
      <c r="Y15" s="24">
        <f t="shared" si="8"/>
        <v>2.0408163265306121E-2</v>
      </c>
      <c r="Z15" s="24">
        <f t="shared" si="9"/>
        <v>3.0873888016745159E-2</v>
      </c>
      <c r="AA15" s="24">
        <f t="shared" si="10"/>
        <v>5.1805337519623233E-2</v>
      </c>
      <c r="AB15" s="24">
        <f t="shared" si="11"/>
        <v>2.0931449502878076E-3</v>
      </c>
    </row>
    <row r="16" spans="1:28" ht="19.5" customHeight="1" x14ac:dyDescent="0.25">
      <c r="A16" s="6" t="s">
        <v>224</v>
      </c>
      <c r="B16" s="4" t="s">
        <v>225</v>
      </c>
      <c r="C16" s="4" t="s">
        <v>95</v>
      </c>
      <c r="D16" s="19">
        <v>46111</v>
      </c>
      <c r="E16" s="20">
        <f t="shared" si="0"/>
        <v>46021</v>
      </c>
      <c r="F16" s="20">
        <f t="shared" si="1"/>
        <v>46051</v>
      </c>
      <c r="G16" s="20">
        <f t="shared" si="2"/>
        <v>46081</v>
      </c>
      <c r="H16" s="21">
        <v>0</v>
      </c>
      <c r="I16" s="5">
        <v>1494</v>
      </c>
      <c r="J16" s="22" t="str">
        <f t="shared" si="3"/>
        <v>Offer 1</v>
      </c>
      <c r="K16" s="59">
        <v>0.04</v>
      </c>
      <c r="L16" s="23">
        <f t="shared" si="4"/>
        <v>1555</v>
      </c>
      <c r="M16" s="23">
        <f t="shared" si="5"/>
        <v>1525</v>
      </c>
      <c r="N16" s="23">
        <f t="shared" si="6"/>
        <v>1540</v>
      </c>
      <c r="O16" s="23">
        <f t="shared" si="7"/>
        <v>1570</v>
      </c>
      <c r="P16" s="4"/>
      <c r="Q16" s="4"/>
      <c r="R16" s="61">
        <v>46109</v>
      </c>
      <c r="S16" s="61"/>
      <c r="T16" s="4" t="s">
        <v>607</v>
      </c>
      <c r="U16" s="6" t="s">
        <v>612</v>
      </c>
      <c r="V16" s="23">
        <f>IF(C16="","",IFERROR(VLOOKUP(C16,SETUP!$A$9:$D$24,2,0),"⚠ Check SETUP"))</f>
        <v>1595</v>
      </c>
      <c r="W16" s="23">
        <f>IF(C16="","",IFERROR(VLOOKUP(C16,SETUP!$A$9:$D$24,3,0),"⚠ Check SETUP"))</f>
        <v>1504</v>
      </c>
      <c r="X16" s="22" t="str">
        <f>IF(C16="","",IFERROR(VLOOKUP(C16,SETUP!$A$9:$D$24,4,0),"⚠ Check SETUP"))</f>
        <v>Under</v>
      </c>
      <c r="Y16" s="24">
        <f t="shared" si="8"/>
        <v>2.0749665327978582E-2</v>
      </c>
      <c r="Z16" s="24">
        <f t="shared" si="9"/>
        <v>3.0789825970548863E-2</v>
      </c>
      <c r="AA16" s="24">
        <f t="shared" si="10"/>
        <v>5.0870147255689425E-2</v>
      </c>
      <c r="AB16" s="24" t="str">
        <f t="shared" si="11"/>
        <v/>
      </c>
    </row>
    <row r="18" spans="1:21" ht="25.5" customHeight="1" x14ac:dyDescent="0.25">
      <c r="A18" s="94" t="s">
        <v>66</v>
      </c>
      <c r="B18" s="94"/>
      <c r="C18" s="94"/>
      <c r="D18" s="94"/>
      <c r="E18" s="94"/>
      <c r="F18" s="94"/>
      <c r="G18" s="94"/>
      <c r="H18" s="27"/>
    </row>
    <row r="19" spans="1:21" ht="38.1" customHeight="1" x14ac:dyDescent="0.25">
      <c r="A19" s="16" t="s">
        <v>67</v>
      </c>
      <c r="B19" s="16" t="s">
        <v>68</v>
      </c>
      <c r="C19" s="16" t="s">
        <v>69</v>
      </c>
      <c r="D19" s="16" t="s">
        <v>70</v>
      </c>
      <c r="E19" s="16" t="s">
        <v>71</v>
      </c>
      <c r="F19" s="27"/>
      <c r="G19" s="27"/>
      <c r="H19" s="27"/>
    </row>
    <row r="20" spans="1:21" ht="21.75" customHeight="1" x14ac:dyDescent="0.25">
      <c r="A20" s="29" t="s">
        <v>72</v>
      </c>
      <c r="B20" s="30">
        <f>COUNTA(A4:A16)</f>
        <v>13</v>
      </c>
      <c r="C20" s="31"/>
      <c r="D20" s="31"/>
      <c r="E20" s="31"/>
      <c r="F20" s="27"/>
      <c r="G20" s="27"/>
      <c r="H20" s="27"/>
      <c r="Q20" s="72"/>
      <c r="R20" s="64"/>
      <c r="S20" s="64"/>
      <c r="T20" s="64"/>
      <c r="U20" s="62"/>
    </row>
    <row r="21" spans="1:21" ht="21.75" customHeight="1" x14ac:dyDescent="0.25">
      <c r="A21" s="32" t="s">
        <v>73</v>
      </c>
      <c r="B21" s="33">
        <f>COUNTA(Q4:Q16)</f>
        <v>8</v>
      </c>
      <c r="C21" s="34">
        <f>IFERROR(B21/B20,"-")</f>
        <v>0.61538461538461542</v>
      </c>
      <c r="D21" s="34">
        <f>IFERROR(B21/(B21+B22),"-")</f>
        <v>0.66666666666666663</v>
      </c>
      <c r="E21" s="35" t="str">
        <f>IF(B20=0,"Awaiting data",IF(B21/B20&gt;=0.6,"On Track ✓","Needs Attention ⚠"))</f>
        <v>On Track ✓</v>
      </c>
      <c r="F21" s="27"/>
      <c r="G21" s="27"/>
      <c r="H21" s="27"/>
    </row>
    <row r="22" spans="1:21" ht="21.75" customHeight="1" x14ac:dyDescent="0.25">
      <c r="A22" s="36" t="s">
        <v>74</v>
      </c>
      <c r="B22" s="37">
        <f>COUNTA(S4:S16)</f>
        <v>4</v>
      </c>
      <c r="C22" s="38">
        <f>IFERROR(B22/B20,"-")</f>
        <v>0.30769230769230771</v>
      </c>
      <c r="D22" s="38">
        <f>IFERROR(B22/(B21+B22),"-")</f>
        <v>0.33333333333333331</v>
      </c>
      <c r="E22" s="39" t="str">
        <f>IF(B20=0,"Awaiting data",IF(B22/B20&lt;=0.2,"Acceptable","High NTV ⚠"))</f>
        <v>High NTV ⚠</v>
      </c>
      <c r="F22" s="27"/>
      <c r="G22" s="27"/>
      <c r="H22" s="27"/>
    </row>
    <row r="23" spans="1:21" ht="21.75" customHeight="1" x14ac:dyDescent="0.25">
      <c r="A23" s="40" t="s">
        <v>75</v>
      </c>
      <c r="B23" s="41">
        <f>COUNTA(R4:R16)</f>
        <v>1</v>
      </c>
      <c r="C23" s="42">
        <f>IFERROR(B23/B20,"-")</f>
        <v>7.6923076923076927E-2</v>
      </c>
      <c r="D23" s="43" t="s">
        <v>76</v>
      </c>
      <c r="E23" s="44" t="s">
        <v>77</v>
      </c>
      <c r="F23" s="27"/>
      <c r="G23" s="27"/>
      <c r="H23" s="27"/>
    </row>
    <row r="24" spans="1:21" ht="47.1" customHeight="1" x14ac:dyDescent="0.25">
      <c r="A24" s="58" t="s">
        <v>78</v>
      </c>
      <c r="B24" s="46">
        <f>MAX(0,B20-B21-B22-B23)</f>
        <v>0</v>
      </c>
      <c r="C24" s="47">
        <f>IFERROR(B24/B20,"-")</f>
        <v>0</v>
      </c>
      <c r="D24" s="48" t="s">
        <v>76</v>
      </c>
      <c r="E24" s="49" t="str">
        <f>IF(B24=0,"All accounted for ✓","Follow up needed")</f>
        <v>All accounted for ✓</v>
      </c>
      <c r="F24" s="27"/>
      <c r="G24" s="27"/>
      <c r="H24" s="27"/>
    </row>
    <row r="25" spans="1:21" ht="7.5" customHeight="1" x14ac:dyDescent="0.25">
      <c r="A25" s="27"/>
      <c r="B25" s="27"/>
      <c r="C25" s="27"/>
      <c r="D25" s="27"/>
      <c r="E25" s="27"/>
      <c r="F25" s="27"/>
      <c r="G25" s="27"/>
      <c r="H25" s="27"/>
    </row>
    <row r="26" spans="1:21" ht="37.5" customHeight="1" x14ac:dyDescent="0.25">
      <c r="A26" s="95" t="s">
        <v>79</v>
      </c>
      <c r="B26" s="95"/>
      <c r="C26" s="50">
        <f>IFERROR(B21/B20,"-")</f>
        <v>0.61538461538461542</v>
      </c>
      <c r="D26" s="96" t="str">
        <f>IF(B20=0,"Enter resident data to calculate",IF(B21/B20&gt;=0.6,"✓ Meeting target retention","⚠ Below target — review offers"))</f>
        <v>✓ Meeting target retention</v>
      </c>
      <c r="E26" s="96"/>
      <c r="F26" s="96"/>
      <c r="G26" s="96"/>
      <c r="H26" s="27"/>
    </row>
    <row r="27" spans="1:21" ht="25.5" customHeight="1" x14ac:dyDescent="0.25">
      <c r="A27" s="97" t="s">
        <v>80</v>
      </c>
      <c r="B27" s="97"/>
      <c r="C27" s="51">
        <f>IFERROR(B21/(B21+B22),"-")</f>
        <v>0.66666666666666663</v>
      </c>
      <c r="D27" s="98" t="s">
        <v>81</v>
      </c>
      <c r="E27" s="98"/>
      <c r="F27" s="98"/>
      <c r="G27" s="98"/>
      <c r="H27" s="27"/>
    </row>
    <row r="28" spans="1:21" ht="18" customHeight="1" x14ac:dyDescent="0.25">
      <c r="A28" s="27"/>
      <c r="B28" s="27"/>
      <c r="C28" s="27"/>
      <c r="D28" s="27"/>
      <c r="E28" s="27"/>
      <c r="F28" s="27"/>
      <c r="G28" s="27"/>
      <c r="H28" s="27"/>
    </row>
    <row r="29" spans="1:21" ht="7.5" customHeight="1" x14ac:dyDescent="0.25">
      <c r="A29" s="27"/>
      <c r="B29" s="27"/>
      <c r="C29" s="27"/>
      <c r="D29" s="27"/>
      <c r="E29" s="27"/>
      <c r="F29" s="27"/>
      <c r="G29" s="27"/>
      <c r="H29" s="27"/>
    </row>
    <row r="30" spans="1:21" ht="21.75" customHeight="1" x14ac:dyDescent="0.25">
      <c r="A30" s="52" t="s">
        <v>82</v>
      </c>
      <c r="B30" s="27"/>
      <c r="C30" s="27"/>
      <c r="D30" s="27"/>
      <c r="E30" s="27"/>
      <c r="F30" s="27"/>
      <c r="G30" s="27"/>
      <c r="H30" s="27"/>
    </row>
    <row r="31" spans="1:21" ht="18" customHeight="1" x14ac:dyDescent="0.25">
      <c r="A31" s="53" t="s">
        <v>83</v>
      </c>
      <c r="B31" s="27"/>
      <c r="C31" s="27"/>
      <c r="D31" s="27"/>
      <c r="E31" s="27"/>
      <c r="F31" s="27"/>
      <c r="G31" s="27"/>
      <c r="H31" s="27"/>
    </row>
    <row r="32" spans="1:21" ht="18" customHeight="1" x14ac:dyDescent="0.25">
      <c r="A32" s="54" t="s">
        <v>84</v>
      </c>
      <c r="B32" s="27"/>
      <c r="C32" s="27"/>
      <c r="D32" s="27"/>
      <c r="E32" s="27"/>
      <c r="F32" s="27"/>
      <c r="G32" s="27"/>
      <c r="H32" s="27"/>
    </row>
    <row r="33" spans="1:8" ht="18" customHeight="1" x14ac:dyDescent="0.25">
      <c r="A33" s="55" t="s">
        <v>85</v>
      </c>
      <c r="B33" s="27"/>
      <c r="C33" s="27"/>
      <c r="D33" s="27"/>
      <c r="E33" s="27"/>
      <c r="F33" s="27"/>
      <c r="G33" s="27"/>
      <c r="H33" s="27"/>
    </row>
    <row r="34" spans="1:8" ht="18" customHeight="1" x14ac:dyDescent="0.25">
      <c r="A34" s="56" t="s">
        <v>86</v>
      </c>
      <c r="B34" s="27"/>
      <c r="C34" s="27"/>
      <c r="D34" s="27"/>
      <c r="E34" s="27"/>
      <c r="F34" s="27"/>
      <c r="G34" s="27"/>
      <c r="H34" s="27"/>
    </row>
    <row r="35" spans="1:8" ht="18" customHeight="1" x14ac:dyDescent="0.25">
      <c r="A35" s="57" t="s">
        <v>87</v>
      </c>
      <c r="B35" s="27"/>
      <c r="C35" s="27"/>
      <c r="D35" s="27"/>
      <c r="E35" s="27"/>
      <c r="F35" s="27"/>
      <c r="G35" s="27"/>
      <c r="H35" s="27"/>
    </row>
    <row r="36" spans="1:8" ht="15" customHeight="1" x14ac:dyDescent="0.25">
      <c r="A36" s="27"/>
      <c r="B36" s="27"/>
      <c r="C36" s="27"/>
      <c r="D36" s="27"/>
      <c r="E36" s="27"/>
      <c r="F36" s="27"/>
      <c r="G36" s="27"/>
      <c r="H36" s="27"/>
    </row>
    <row r="37" spans="1:8" ht="15" customHeight="1" x14ac:dyDescent="0.25">
      <c r="A37" s="27"/>
      <c r="B37" s="27"/>
      <c r="C37" s="27"/>
      <c r="D37" s="27"/>
      <c r="E37" s="27"/>
      <c r="F37" s="27"/>
      <c r="G37" s="27"/>
      <c r="H37" s="27"/>
    </row>
    <row r="38" spans="1:8" ht="15" customHeight="1" x14ac:dyDescent="0.25">
      <c r="A38" s="27"/>
      <c r="B38" s="27"/>
      <c r="C38" s="27"/>
      <c r="D38" s="27"/>
      <c r="E38" s="27"/>
      <c r="F38" s="27"/>
      <c r="G38" s="27"/>
      <c r="H38" s="27"/>
    </row>
    <row r="39" spans="1:8" ht="15" customHeight="1" x14ac:dyDescent="0.25">
      <c r="A39" s="27"/>
      <c r="B39" s="27"/>
      <c r="C39" s="27"/>
      <c r="D39" s="27"/>
      <c r="E39" s="27"/>
      <c r="F39" s="27"/>
      <c r="G39" s="27"/>
      <c r="H39" s="27"/>
    </row>
    <row r="40" spans="1:8" ht="15" customHeight="1" x14ac:dyDescent="0.25">
      <c r="A40" s="27"/>
      <c r="B40" s="27"/>
      <c r="C40" s="27"/>
      <c r="D40" s="27"/>
      <c r="E40" s="27"/>
      <c r="F40" s="27"/>
      <c r="G40" s="27"/>
      <c r="H40" s="27"/>
    </row>
    <row r="41" spans="1:8" ht="15" customHeight="1" x14ac:dyDescent="0.25">
      <c r="A41" s="27"/>
      <c r="B41" s="27"/>
      <c r="C41" s="27"/>
      <c r="D41" s="27"/>
      <c r="E41" s="27"/>
      <c r="F41" s="27"/>
      <c r="G41" s="27"/>
      <c r="H41" s="27"/>
    </row>
    <row r="42" spans="1:8" ht="15" customHeight="1" x14ac:dyDescent="0.25">
      <c r="A42" s="27"/>
      <c r="B42" s="27"/>
      <c r="C42" s="27"/>
      <c r="D42" s="27"/>
      <c r="E42" s="27"/>
      <c r="F42" s="27"/>
      <c r="G42" s="27"/>
      <c r="H42" s="27"/>
    </row>
  </sheetData>
  <sortState xmlns:xlrd2="http://schemas.microsoft.com/office/spreadsheetml/2017/richdata2" ref="A4:AB16">
    <sortCondition ref="D4:D16"/>
  </sortState>
  <mergeCells count="6">
    <mergeCell ref="A1:AB1"/>
    <mergeCell ref="A18:G18"/>
    <mergeCell ref="A26:B26"/>
    <mergeCell ref="D26:G26"/>
    <mergeCell ref="A27:B27"/>
    <mergeCell ref="D27:G27"/>
  </mergeCells>
  <conditionalFormatting sqref="A4:T5">
    <cfRule type="expression" dxfId="44" priority="14">
      <formula>$S4&lt;&gt;""</formula>
    </cfRule>
    <cfRule type="expression" dxfId="43" priority="15">
      <formula>$R4&lt;&gt;""</formula>
    </cfRule>
    <cfRule type="expression" dxfId="42" priority="16">
      <formula>$Q4&lt;&gt;""</formula>
    </cfRule>
  </conditionalFormatting>
  <conditionalFormatting sqref="A6:U16">
    <cfRule type="expression" dxfId="41" priority="1">
      <formula>$S6&lt;&gt;""</formula>
    </cfRule>
    <cfRule type="expression" dxfId="40" priority="2">
      <formula>$R6&lt;&gt;""</formula>
    </cfRule>
    <cfRule type="expression" dxfId="39" priority="3">
      <formula>$Q6&lt;&gt;""</formula>
    </cfRule>
  </conditionalFormatting>
  <conditionalFormatting sqref="Q20:U20">
    <cfRule type="expression" dxfId="38" priority="4">
      <formula>$S20&lt;&gt;""</formula>
    </cfRule>
    <cfRule type="expression" dxfId="37" priority="5">
      <formula>$R20&lt;&gt;""</formula>
    </cfRule>
    <cfRule type="expression" dxfId="36" priority="6">
      <formula>$Q20&lt;&gt;""</formula>
    </cfRule>
  </conditionalFormatting>
  <dataValidations count="1">
    <dataValidation type="list" allowBlank="1" showInputMessage="1" showErrorMessage="1" sqref="P4:P16" xr:uid="{00000000-0002-0000-0100-000000000000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D62C-B8C6-4587-A451-717C06AA4910}">
  <dimension ref="A1:AB45"/>
  <sheetViews>
    <sheetView zoomScaleNormal="100" workbookViewId="0">
      <pane ySplit="3" topLeftCell="A4" activePane="bottomLeft" state="frozen"/>
      <selection pane="bottomLeft" activeCell="B26" sqref="B26"/>
    </sheetView>
  </sheetViews>
  <sheetFormatPr defaultColWidth="8.5703125" defaultRowHeight="15" customHeight="1" x14ac:dyDescent="0.25"/>
  <cols>
    <col min="1" max="1" width="23" customWidth="1"/>
    <col min="2" max="2" width="10" customWidth="1"/>
    <col min="3" max="3" width="13.28515625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15.7109375" customWidth="1"/>
    <col min="21" max="21" width="45.7109375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111</v>
      </c>
      <c r="B4" s="60" t="s">
        <v>127</v>
      </c>
      <c r="C4" s="4" t="s">
        <v>100</v>
      </c>
      <c r="D4" s="19">
        <v>46114</v>
      </c>
      <c r="E4" s="20">
        <f t="shared" ref="E4:E19" si="0">IF(D4="","",D4-90)</f>
        <v>46024</v>
      </c>
      <c r="F4" s="20">
        <f t="shared" ref="F4:F19" si="1">IF(D4="","",D4-60)</f>
        <v>46054</v>
      </c>
      <c r="G4" s="20">
        <f t="shared" ref="G4:G19" si="2">IF(D4="","",D4-30)</f>
        <v>46084</v>
      </c>
      <c r="H4" s="21">
        <v>0</v>
      </c>
      <c r="I4" s="5">
        <v>1812</v>
      </c>
      <c r="J4" s="22" t="str">
        <f t="shared" ref="J4:J19" si="3">IF(I4="","",IF(ABS(N4-W4)&lt;=ABS(M4-W4),IF(ABS(N4-W4)&lt;=ABS(O4-W4),"Offer 2","Offer 3"),IF(ABS(M4-W4)&lt;=ABS(O4-W4),"Offer 1","Offer 3")))</f>
        <v>Offer 1</v>
      </c>
      <c r="K4" s="59">
        <v>0</v>
      </c>
      <c r="L4" s="23">
        <f t="shared" ref="L4:L19" si="4">IF(OR(I4="",K4=""),"",CEILING(I4*(1+K4),5))</f>
        <v>1815</v>
      </c>
      <c r="M4" s="23">
        <f t="shared" ref="M4:M19" si="5">IF(I4="","",IF(X4="Under",CEILING(MAX(I4*1.02,MIN(V4,W4)*0.95),5),CEILING(MAX(I4*1.03,MIN(V4,W4)*0.97),5)))</f>
        <v>1850</v>
      </c>
      <c r="N4" s="23">
        <f t="shared" ref="N4:N19" si="6">IF(I4="","",IF(X4="Under",CEILING(MAX(I4*1.03,(V4+W4)/2*0.96),5),CEILING(MAX(I4*1.05,(V4+W4)/2*0.98),5)))</f>
        <v>1870</v>
      </c>
      <c r="O4" s="23">
        <f t="shared" ref="O4:O19" si="7">IF(I4="","",IF(X4="Under",CEILING(MAX(I4*1.05,MIN(V4,W4*1.01)),5),CEILING(MAX(I4*1.08,MIN(V4,W4*1.02)),5)))</f>
        <v>1905</v>
      </c>
      <c r="P4" s="4" t="s">
        <v>222</v>
      </c>
      <c r="Q4" s="61">
        <v>46098</v>
      </c>
      <c r="R4" s="4"/>
      <c r="S4" s="4"/>
      <c r="T4" s="4" t="s">
        <v>722</v>
      </c>
      <c r="U4" s="6" t="s">
        <v>626</v>
      </c>
      <c r="V4" s="23">
        <f>IF(C4="","",IFERROR(VLOOKUP(C4,SETUP!$A$9:$D$24,2,0),"⚠ Check SETUP"))</f>
        <v>1595</v>
      </c>
      <c r="W4" s="23">
        <f>IF(C4="","",IFERROR(VLOOKUP(C4,SETUP!$A$9:$D$24,3,0),"⚠ Check SETUP"))</f>
        <v>1806</v>
      </c>
      <c r="X4" s="22" t="str">
        <f>IF(C4="","",IFERROR(VLOOKUP(C4,SETUP!$A$9:$D$24,4,0),"⚠ Check SETUP"))</f>
        <v>Under</v>
      </c>
      <c r="Y4" s="24">
        <f t="shared" ref="Y4:Y19" si="8">IF(OR(I4="",M4=""),"",(M4-I4)/I4)</f>
        <v>2.097130242825607E-2</v>
      </c>
      <c r="Z4" s="24">
        <f t="shared" ref="Z4:Z19" si="9">IF(OR(I4="",N4=""),"",(N4-I4)/I4)</f>
        <v>3.2008830022075052E-2</v>
      </c>
      <c r="AA4" s="24">
        <f t="shared" ref="AA4:AA19" si="10">IF(OR(I4="",O4=""),"",(O4-I4)/I4)</f>
        <v>5.1324503311258277E-2</v>
      </c>
      <c r="AB4" s="24">
        <f t="shared" ref="AB4:AB19" si="11">IF(OR(Q4="",S4&lt;&gt;"",P4="",I4=""),"",IF(P4="Investor Override",IF(L4="","",(L4-I4)/I4),IF(P4="Offer 1",IF(M4="","",(M4-I4)/I4),IF(P4="Offer 2",IF(N4="","",(N4-I4)/I4),IF(P4="Offer 3",IF(O4="","",(O4-I4)/I4),"")))))</f>
        <v>1.6556291390728477E-3</v>
      </c>
    </row>
    <row r="5" spans="1:28" ht="19.5" customHeight="1" x14ac:dyDescent="0.25">
      <c r="A5" s="6" t="s">
        <v>112</v>
      </c>
      <c r="B5" s="60" t="s">
        <v>128</v>
      </c>
      <c r="C5" s="4" t="s">
        <v>16</v>
      </c>
      <c r="D5" s="19">
        <v>46121</v>
      </c>
      <c r="E5" s="20">
        <f t="shared" si="0"/>
        <v>46031</v>
      </c>
      <c r="F5" s="20">
        <f t="shared" si="1"/>
        <v>46061</v>
      </c>
      <c r="G5" s="20">
        <f t="shared" si="2"/>
        <v>46091</v>
      </c>
      <c r="H5" s="21">
        <v>2250</v>
      </c>
      <c r="I5" s="5">
        <v>2250</v>
      </c>
      <c r="J5" s="22" t="str">
        <f t="shared" si="3"/>
        <v>Offer 3</v>
      </c>
      <c r="K5" s="59">
        <v>1.6E-2</v>
      </c>
      <c r="L5" s="23">
        <f t="shared" si="4"/>
        <v>2290</v>
      </c>
      <c r="M5" s="23">
        <f t="shared" si="5"/>
        <v>2295</v>
      </c>
      <c r="N5" s="23">
        <f t="shared" si="6"/>
        <v>2320</v>
      </c>
      <c r="O5" s="23">
        <f t="shared" si="7"/>
        <v>2385</v>
      </c>
      <c r="P5" s="4" t="s">
        <v>222</v>
      </c>
      <c r="Q5" s="61">
        <v>46055</v>
      </c>
      <c r="R5" s="4"/>
      <c r="S5" s="4"/>
      <c r="T5" s="4" t="s">
        <v>707</v>
      </c>
      <c r="U5" s="6" t="s">
        <v>627</v>
      </c>
      <c r="V5" s="23">
        <f>IF(C5="","",IFERROR(VLOOKUP(C5,SETUP!$A$9:$D$24,2,0),"⚠ Check SETUP"))</f>
        <v>2406</v>
      </c>
      <c r="W5" s="23">
        <f>IF(C5="","",IFERROR(VLOOKUP(C5,SETUP!$A$9:$D$24,3,0),"⚠ Check SETUP"))</f>
        <v>2361</v>
      </c>
      <c r="X5" s="22" t="str">
        <f>IF(C5="","",IFERROR(VLOOKUP(C5,SETUP!$A$9:$D$24,4,0),"⚠ Check SETUP"))</f>
        <v>Under</v>
      </c>
      <c r="Y5" s="24">
        <f t="shared" si="8"/>
        <v>0.02</v>
      </c>
      <c r="Z5" s="24">
        <f t="shared" si="9"/>
        <v>3.111111111111111E-2</v>
      </c>
      <c r="AA5" s="24">
        <f t="shared" si="10"/>
        <v>0.06</v>
      </c>
      <c r="AB5" s="24">
        <f t="shared" si="11"/>
        <v>1.7777777777777778E-2</v>
      </c>
    </row>
    <row r="6" spans="1:28" ht="19.5" customHeight="1" x14ac:dyDescent="0.25">
      <c r="A6" s="6" t="s">
        <v>113</v>
      </c>
      <c r="B6" s="60" t="s">
        <v>129</v>
      </c>
      <c r="C6" s="4" t="s">
        <v>99</v>
      </c>
      <c r="D6" s="19">
        <v>46125</v>
      </c>
      <c r="E6" s="20">
        <f t="shared" si="0"/>
        <v>46035</v>
      </c>
      <c r="F6" s="20">
        <f t="shared" si="1"/>
        <v>46065</v>
      </c>
      <c r="G6" s="20">
        <f t="shared" si="2"/>
        <v>46095</v>
      </c>
      <c r="H6" s="21">
        <v>1427</v>
      </c>
      <c r="I6" s="5">
        <v>1427</v>
      </c>
      <c r="J6" s="22" t="str">
        <f t="shared" si="3"/>
        <v>Offer 2</v>
      </c>
      <c r="K6" s="59">
        <v>1.7000000000000001E-2</v>
      </c>
      <c r="L6" s="23">
        <f t="shared" si="4"/>
        <v>1455</v>
      </c>
      <c r="M6" s="23">
        <f t="shared" si="5"/>
        <v>1485</v>
      </c>
      <c r="N6" s="23">
        <f t="shared" si="6"/>
        <v>1575</v>
      </c>
      <c r="O6" s="23">
        <f t="shared" si="7"/>
        <v>1580</v>
      </c>
      <c r="P6" s="4" t="s">
        <v>222</v>
      </c>
      <c r="Q6" s="61">
        <v>46070</v>
      </c>
      <c r="R6" s="4"/>
      <c r="S6" s="4"/>
      <c r="T6" s="4" t="s">
        <v>708</v>
      </c>
      <c r="U6" s="6" t="s">
        <v>614</v>
      </c>
      <c r="V6" s="23">
        <f>IF(C6="","",IFERROR(VLOOKUP(C6,SETUP!$A$9:$D$24,2,0),"⚠ Check SETUP"))</f>
        <v>1719</v>
      </c>
      <c r="W6" s="23">
        <f>IF(C6="","",IFERROR(VLOOKUP(C6,SETUP!$A$9:$D$24,3,0),"⚠ Check SETUP"))</f>
        <v>1561</v>
      </c>
      <c r="X6" s="22" t="str">
        <f>IF(C6="","",IFERROR(VLOOKUP(C6,SETUP!$A$9:$D$24,4,0),"⚠ Check SETUP"))</f>
        <v>Under</v>
      </c>
      <c r="Y6" s="24">
        <f t="shared" si="8"/>
        <v>4.0644709180098111E-2</v>
      </c>
      <c r="Z6" s="24">
        <f t="shared" si="9"/>
        <v>0.10371408549404344</v>
      </c>
      <c r="AA6" s="24">
        <f t="shared" si="10"/>
        <v>0.10721793973370708</v>
      </c>
      <c r="AB6" s="24">
        <f t="shared" si="11"/>
        <v>1.9621583742116328E-2</v>
      </c>
    </row>
    <row r="7" spans="1:28" ht="19.5" customHeight="1" x14ac:dyDescent="0.25">
      <c r="A7" s="6" t="s">
        <v>115</v>
      </c>
      <c r="B7" s="60" t="s">
        <v>131</v>
      </c>
      <c r="C7" s="4" t="s">
        <v>98</v>
      </c>
      <c r="D7" s="19">
        <v>46126</v>
      </c>
      <c r="E7" s="20">
        <f t="shared" si="0"/>
        <v>46036</v>
      </c>
      <c r="F7" s="20">
        <f t="shared" si="1"/>
        <v>46066</v>
      </c>
      <c r="G7" s="20">
        <f t="shared" si="2"/>
        <v>46096</v>
      </c>
      <c r="H7" s="21">
        <v>0</v>
      </c>
      <c r="I7" s="5">
        <v>1513</v>
      </c>
      <c r="J7" s="22" t="str">
        <f t="shared" si="3"/>
        <v>Offer 1</v>
      </c>
      <c r="K7" s="59">
        <v>0</v>
      </c>
      <c r="L7" s="23">
        <f t="shared" si="4"/>
        <v>1515</v>
      </c>
      <c r="M7" s="23">
        <f t="shared" si="5"/>
        <v>1560</v>
      </c>
      <c r="N7" s="23">
        <f t="shared" si="6"/>
        <v>1590</v>
      </c>
      <c r="O7" s="23">
        <f t="shared" si="7"/>
        <v>1635</v>
      </c>
      <c r="P7" s="4" t="s">
        <v>222</v>
      </c>
      <c r="Q7" s="61">
        <v>46051</v>
      </c>
      <c r="R7" s="4"/>
      <c r="S7" s="4"/>
      <c r="T7" s="4" t="s">
        <v>710</v>
      </c>
      <c r="U7" s="6" t="s">
        <v>628</v>
      </c>
      <c r="V7" s="23">
        <f>IF(C7="","",IFERROR(VLOOKUP(C7,SETUP!$A$9:$D$24,2,0),"⚠ Check SETUP"))</f>
        <v>1421</v>
      </c>
      <c r="W7" s="23">
        <f>IF(C7="","",IFERROR(VLOOKUP(C7,SETUP!$A$9:$D$24,3,0),"⚠ Check SETUP"))</f>
        <v>1424</v>
      </c>
      <c r="X7" s="22" t="str">
        <f>IF(C7="","",IFERROR(VLOOKUP(C7,SETUP!$A$9:$D$24,4,0),"⚠ Check SETUP"))</f>
        <v>Over</v>
      </c>
      <c r="Y7" s="24">
        <f t="shared" si="8"/>
        <v>3.1064111037673495E-2</v>
      </c>
      <c r="Z7" s="24">
        <f t="shared" si="9"/>
        <v>5.0892267019167214E-2</v>
      </c>
      <c r="AA7" s="24">
        <f t="shared" si="10"/>
        <v>8.0634500991407801E-2</v>
      </c>
      <c r="AB7" s="24">
        <f t="shared" si="11"/>
        <v>1.3218770654329147E-3</v>
      </c>
    </row>
    <row r="8" spans="1:28" ht="19.5" customHeight="1" x14ac:dyDescent="0.25">
      <c r="A8" s="6" t="s">
        <v>116</v>
      </c>
      <c r="B8" s="60" t="s">
        <v>132</v>
      </c>
      <c r="C8" s="4" t="s">
        <v>95</v>
      </c>
      <c r="D8" s="19">
        <v>46126</v>
      </c>
      <c r="E8" s="20">
        <f t="shared" si="0"/>
        <v>46036</v>
      </c>
      <c r="F8" s="20">
        <f t="shared" si="1"/>
        <v>46066</v>
      </c>
      <c r="G8" s="20">
        <f t="shared" si="2"/>
        <v>46096</v>
      </c>
      <c r="H8" s="21">
        <v>0</v>
      </c>
      <c r="I8" s="5">
        <v>1498</v>
      </c>
      <c r="J8" s="22" t="str">
        <f t="shared" si="3"/>
        <v>Offer 1</v>
      </c>
      <c r="K8" s="59">
        <v>1.2E-2</v>
      </c>
      <c r="L8" s="23">
        <f t="shared" si="4"/>
        <v>1520</v>
      </c>
      <c r="M8" s="23">
        <f t="shared" si="5"/>
        <v>1530</v>
      </c>
      <c r="N8" s="23">
        <f t="shared" si="6"/>
        <v>1545</v>
      </c>
      <c r="O8" s="23">
        <f t="shared" si="7"/>
        <v>1575</v>
      </c>
      <c r="P8" s="4"/>
      <c r="Q8" s="4"/>
      <c r="R8" s="4"/>
      <c r="S8" s="61">
        <v>46058</v>
      </c>
      <c r="T8" s="4" t="s">
        <v>711</v>
      </c>
      <c r="U8" s="6" t="s">
        <v>223</v>
      </c>
      <c r="V8" s="23">
        <f>IF(C8="","",IFERROR(VLOOKUP(C8,SETUP!$A$9:$D$24,2,0),"⚠ Check SETUP"))</f>
        <v>1595</v>
      </c>
      <c r="W8" s="23">
        <f>IF(C8="","",IFERROR(VLOOKUP(C8,SETUP!$A$9:$D$24,3,0),"⚠ Check SETUP"))</f>
        <v>1504</v>
      </c>
      <c r="X8" s="22" t="str">
        <f>IF(C8="","",IFERROR(VLOOKUP(C8,SETUP!$A$9:$D$24,4,0),"⚠ Check SETUP"))</f>
        <v>Under</v>
      </c>
      <c r="Y8" s="24">
        <f t="shared" si="8"/>
        <v>2.1361815754339118E-2</v>
      </c>
      <c r="Z8" s="24">
        <f t="shared" si="9"/>
        <v>3.1375166889185582E-2</v>
      </c>
      <c r="AA8" s="24">
        <f t="shared" si="10"/>
        <v>5.1401869158878503E-2</v>
      </c>
      <c r="AB8" s="24" t="str">
        <f t="shared" si="11"/>
        <v/>
      </c>
    </row>
    <row r="9" spans="1:28" ht="19.5" customHeight="1" x14ac:dyDescent="0.25">
      <c r="A9" s="6" t="s">
        <v>114</v>
      </c>
      <c r="B9" s="60" t="s">
        <v>130</v>
      </c>
      <c r="C9" s="4" t="s">
        <v>97</v>
      </c>
      <c r="D9" s="19">
        <v>46126</v>
      </c>
      <c r="E9" s="20">
        <f t="shared" si="0"/>
        <v>46036</v>
      </c>
      <c r="F9" s="20">
        <f t="shared" si="1"/>
        <v>46066</v>
      </c>
      <c r="G9" s="20">
        <f t="shared" si="2"/>
        <v>46096</v>
      </c>
      <c r="H9" s="21">
        <v>0</v>
      </c>
      <c r="I9" s="5">
        <v>1822</v>
      </c>
      <c r="J9" s="22" t="str">
        <f t="shared" si="3"/>
        <v>Offer 1</v>
      </c>
      <c r="K9" s="59">
        <v>0</v>
      </c>
      <c r="L9" s="23">
        <f t="shared" si="4"/>
        <v>1825</v>
      </c>
      <c r="M9" s="23">
        <f t="shared" si="5"/>
        <v>1860</v>
      </c>
      <c r="N9" s="23">
        <f t="shared" si="6"/>
        <v>1880</v>
      </c>
      <c r="O9" s="23">
        <f t="shared" si="7"/>
        <v>1915</v>
      </c>
      <c r="P9" s="4"/>
      <c r="Q9" s="4"/>
      <c r="R9" s="4"/>
      <c r="S9" s="61">
        <v>46071</v>
      </c>
      <c r="T9" s="4" t="s">
        <v>709</v>
      </c>
      <c r="U9" s="6" t="s">
        <v>622</v>
      </c>
      <c r="V9" s="23">
        <f>IF(C9="","",IFERROR(VLOOKUP(C9,SETUP!$A$9:$D$24,2,0),"⚠ Check SETUP"))</f>
        <v>1878</v>
      </c>
      <c r="W9" s="23">
        <f>IF(C9="","",IFERROR(VLOOKUP(C9,SETUP!$A$9:$D$24,3,0),"⚠ Check SETUP"))</f>
        <v>1727</v>
      </c>
      <c r="X9" s="22" t="str">
        <f>IF(C9="","",IFERROR(VLOOKUP(C9,SETUP!$A$9:$D$24,4,0),"⚠ Check SETUP"))</f>
        <v>Under</v>
      </c>
      <c r="Y9" s="24">
        <f t="shared" si="8"/>
        <v>2.0856201975850714E-2</v>
      </c>
      <c r="Z9" s="24">
        <f t="shared" si="9"/>
        <v>3.1833150384193196E-2</v>
      </c>
      <c r="AA9" s="24">
        <f t="shared" si="10"/>
        <v>5.1042810098792538E-2</v>
      </c>
      <c r="AB9" s="24" t="str">
        <f t="shared" si="11"/>
        <v/>
      </c>
    </row>
    <row r="10" spans="1:28" ht="19.5" customHeight="1" x14ac:dyDescent="0.25">
      <c r="A10" s="6" t="s">
        <v>118</v>
      </c>
      <c r="B10" s="60" t="s">
        <v>134</v>
      </c>
      <c r="C10" s="4" t="s">
        <v>101</v>
      </c>
      <c r="D10" s="19">
        <v>46128</v>
      </c>
      <c r="E10" s="20">
        <f t="shared" si="0"/>
        <v>46038</v>
      </c>
      <c r="F10" s="20">
        <f t="shared" si="1"/>
        <v>46068</v>
      </c>
      <c r="G10" s="20">
        <f t="shared" si="2"/>
        <v>46098</v>
      </c>
      <c r="H10" s="21">
        <v>0</v>
      </c>
      <c r="I10" s="5">
        <v>1836</v>
      </c>
      <c r="J10" s="22" t="str">
        <f t="shared" si="3"/>
        <v>Offer 3</v>
      </c>
      <c r="K10" s="59">
        <v>2E-3</v>
      </c>
      <c r="L10" s="23">
        <f t="shared" si="4"/>
        <v>1840</v>
      </c>
      <c r="M10" s="23">
        <f t="shared" si="5"/>
        <v>1875</v>
      </c>
      <c r="N10" s="23">
        <f t="shared" si="6"/>
        <v>1895</v>
      </c>
      <c r="O10" s="23">
        <f t="shared" si="7"/>
        <v>1930</v>
      </c>
      <c r="P10" s="4" t="s">
        <v>222</v>
      </c>
      <c r="Q10" s="61">
        <v>46101</v>
      </c>
      <c r="R10" s="4"/>
      <c r="S10" s="4"/>
      <c r="T10" s="4" t="s">
        <v>713</v>
      </c>
      <c r="U10" s="6" t="s">
        <v>630</v>
      </c>
      <c r="V10" s="23">
        <f>IF(C10="","",IFERROR(VLOOKUP(C10,SETUP!$A$9:$D$24,2,0),"⚠ Check SETUP"))</f>
        <v>1880</v>
      </c>
      <c r="W10" s="23">
        <f>IF(C10="","",IFERROR(VLOOKUP(C10,SETUP!$A$9:$D$24,3,0),"⚠ Check SETUP"))</f>
        <v>1976</v>
      </c>
      <c r="X10" s="22" t="str">
        <f>IF(C10="","",IFERROR(VLOOKUP(C10,SETUP!$A$9:$D$24,4,0),"⚠ Check SETUP"))</f>
        <v>Under</v>
      </c>
      <c r="Y10" s="24">
        <f t="shared" si="8"/>
        <v>2.1241830065359478E-2</v>
      </c>
      <c r="Z10" s="24">
        <f t="shared" si="9"/>
        <v>3.2135076252723313E-2</v>
      </c>
      <c r="AA10" s="24">
        <f t="shared" si="10"/>
        <v>5.1198257080610023E-2</v>
      </c>
      <c r="AB10" s="24">
        <f t="shared" si="11"/>
        <v>2.1786492374727671E-3</v>
      </c>
    </row>
    <row r="11" spans="1:28" ht="19.5" customHeight="1" x14ac:dyDescent="0.25">
      <c r="A11" s="6" t="s">
        <v>117</v>
      </c>
      <c r="B11" s="60" t="s">
        <v>133</v>
      </c>
      <c r="C11" s="4" t="s">
        <v>13</v>
      </c>
      <c r="D11" s="19">
        <v>46128</v>
      </c>
      <c r="E11" s="20">
        <f t="shared" si="0"/>
        <v>46038</v>
      </c>
      <c r="F11" s="20">
        <f t="shared" si="1"/>
        <v>46068</v>
      </c>
      <c r="G11" s="20">
        <f t="shared" si="2"/>
        <v>46098</v>
      </c>
      <c r="H11" s="21">
        <v>1843</v>
      </c>
      <c r="I11" s="5">
        <v>1843</v>
      </c>
      <c r="J11" s="22" t="str">
        <f t="shared" si="3"/>
        <v>Offer 1</v>
      </c>
      <c r="K11" s="59">
        <v>0</v>
      </c>
      <c r="L11" s="23">
        <f t="shared" si="4"/>
        <v>1845</v>
      </c>
      <c r="M11" s="23">
        <f t="shared" si="5"/>
        <v>1880</v>
      </c>
      <c r="N11" s="23">
        <f t="shared" si="6"/>
        <v>1900</v>
      </c>
      <c r="O11" s="23">
        <f t="shared" si="7"/>
        <v>1940</v>
      </c>
      <c r="P11" s="4" t="s">
        <v>222</v>
      </c>
      <c r="Q11" s="61">
        <v>46071</v>
      </c>
      <c r="R11" s="4"/>
      <c r="S11" s="4"/>
      <c r="T11" s="4" t="s">
        <v>712</v>
      </c>
      <c r="U11" s="6" t="s">
        <v>629</v>
      </c>
      <c r="V11" s="23">
        <f>IF(C11="","",IFERROR(VLOOKUP(C11,SETUP!$A$9:$D$24,2,0),"⚠ Check SETUP"))</f>
        <v>1809</v>
      </c>
      <c r="W11" s="23">
        <f>IF(C11="","",IFERROR(VLOOKUP(C11,SETUP!$A$9:$D$24,3,0),"⚠ Check SETUP"))</f>
        <v>1764</v>
      </c>
      <c r="X11" s="22" t="str">
        <f>IF(C11="","",IFERROR(VLOOKUP(C11,SETUP!$A$9:$D$24,4,0),"⚠ Check SETUP"))</f>
        <v>Under</v>
      </c>
      <c r="Y11" s="24">
        <f t="shared" si="8"/>
        <v>2.0075963103635377E-2</v>
      </c>
      <c r="Z11" s="24">
        <f t="shared" si="9"/>
        <v>3.0927835051546393E-2</v>
      </c>
      <c r="AA11" s="24">
        <f t="shared" si="10"/>
        <v>5.2631578947368418E-2</v>
      </c>
      <c r="AB11" s="24">
        <f t="shared" si="11"/>
        <v>1.0851871947911015E-3</v>
      </c>
    </row>
    <row r="12" spans="1:28" ht="19.5" customHeight="1" x14ac:dyDescent="0.25">
      <c r="A12" s="62" t="s">
        <v>119</v>
      </c>
      <c r="B12" s="63" t="s">
        <v>135</v>
      </c>
      <c r="C12" s="64" t="s">
        <v>13</v>
      </c>
      <c r="D12" s="65">
        <v>46132</v>
      </c>
      <c r="E12" s="66">
        <f t="shared" si="0"/>
        <v>46042</v>
      </c>
      <c r="F12" s="66">
        <f t="shared" si="1"/>
        <v>46072</v>
      </c>
      <c r="G12" s="66">
        <f t="shared" si="2"/>
        <v>46102</v>
      </c>
      <c r="H12" s="67">
        <v>1803</v>
      </c>
      <c r="I12" s="68">
        <v>1803</v>
      </c>
      <c r="J12" s="69" t="str">
        <f t="shared" si="3"/>
        <v>Offer 1</v>
      </c>
      <c r="K12" s="70">
        <v>0</v>
      </c>
      <c r="L12" s="71">
        <f t="shared" si="4"/>
        <v>1805</v>
      </c>
      <c r="M12" s="71">
        <f t="shared" si="5"/>
        <v>1840</v>
      </c>
      <c r="N12" s="71">
        <f t="shared" si="6"/>
        <v>1860</v>
      </c>
      <c r="O12" s="71">
        <f t="shared" si="7"/>
        <v>1895</v>
      </c>
      <c r="P12" s="64"/>
      <c r="Q12" s="64"/>
      <c r="R12" s="72">
        <v>46077</v>
      </c>
      <c r="S12" s="72"/>
      <c r="T12" s="64" t="s">
        <v>714</v>
      </c>
      <c r="U12" s="62" t="s">
        <v>612</v>
      </c>
      <c r="V12" s="73">
        <f>IF(C12="","",IFERROR(VLOOKUP(C12,SETUP!$A$9:$D$24,2,0),"⚠ Check SETUP"))</f>
        <v>1809</v>
      </c>
      <c r="W12" s="73">
        <f>IF(C12="","",IFERROR(VLOOKUP(C12,SETUP!$A$9:$D$24,3,0),"⚠ Check SETUP"))</f>
        <v>1764</v>
      </c>
      <c r="X12" s="74" t="str">
        <f>IF(C12="","",IFERROR(VLOOKUP(C12,SETUP!$A$9:$D$24,4,0),"⚠ Check SETUP"))</f>
        <v>Under</v>
      </c>
      <c r="Y12" s="75">
        <f t="shared" si="8"/>
        <v>2.0521353300055462E-2</v>
      </c>
      <c r="Z12" s="75">
        <f t="shared" si="9"/>
        <v>3.1613976705490848E-2</v>
      </c>
      <c r="AA12" s="75">
        <f t="shared" si="10"/>
        <v>5.1026067665002776E-2</v>
      </c>
      <c r="AB12" s="75" t="str">
        <f t="shared" si="11"/>
        <v/>
      </c>
    </row>
    <row r="13" spans="1:28" ht="19.5" customHeight="1" x14ac:dyDescent="0.25">
      <c r="A13" s="6" t="s">
        <v>120</v>
      </c>
      <c r="B13" s="60" t="s">
        <v>136</v>
      </c>
      <c r="C13" s="4" t="s">
        <v>98</v>
      </c>
      <c r="D13" s="19">
        <v>46133</v>
      </c>
      <c r="E13" s="20">
        <f t="shared" si="0"/>
        <v>46043</v>
      </c>
      <c r="F13" s="20">
        <f t="shared" si="1"/>
        <v>46073</v>
      </c>
      <c r="G13" s="20">
        <f t="shared" si="2"/>
        <v>46103</v>
      </c>
      <c r="H13" s="21">
        <v>1439</v>
      </c>
      <c r="I13" s="5">
        <v>1439</v>
      </c>
      <c r="J13" s="22" t="str">
        <f t="shared" si="3"/>
        <v>Offer 1</v>
      </c>
      <c r="K13" s="59">
        <v>0</v>
      </c>
      <c r="L13" s="23">
        <f t="shared" si="4"/>
        <v>1440</v>
      </c>
      <c r="M13" s="23">
        <f t="shared" si="5"/>
        <v>1485</v>
      </c>
      <c r="N13" s="23">
        <f t="shared" si="6"/>
        <v>1515</v>
      </c>
      <c r="O13" s="23">
        <f t="shared" si="7"/>
        <v>1555</v>
      </c>
      <c r="P13" s="4" t="s">
        <v>222</v>
      </c>
      <c r="Q13" s="61">
        <v>46073</v>
      </c>
      <c r="R13" s="4"/>
      <c r="S13" s="4"/>
      <c r="T13" s="4" t="s">
        <v>715</v>
      </c>
      <c r="U13" s="6" t="s">
        <v>631</v>
      </c>
      <c r="V13" s="23">
        <f>IF(C13="","",IFERROR(VLOOKUP(C13,SETUP!$A$9:$D$24,2,0),"⚠ Check SETUP"))</f>
        <v>1421</v>
      </c>
      <c r="W13" s="23">
        <f>IF(C13="","",IFERROR(VLOOKUP(C13,SETUP!$A$9:$D$24,3,0),"⚠ Check SETUP"))</f>
        <v>1424</v>
      </c>
      <c r="X13" s="22" t="str">
        <f>IF(C13="","",IFERROR(VLOOKUP(C13,SETUP!$A$9:$D$24,4,0),"⚠ Check SETUP"))</f>
        <v>Over</v>
      </c>
      <c r="Y13" s="24">
        <f t="shared" si="8"/>
        <v>3.1966643502432245E-2</v>
      </c>
      <c r="Z13" s="24">
        <f t="shared" si="9"/>
        <v>5.2814454482279359E-2</v>
      </c>
      <c r="AA13" s="24">
        <f t="shared" si="10"/>
        <v>8.0611535788742181E-2</v>
      </c>
      <c r="AB13" s="24">
        <f t="shared" si="11"/>
        <v>6.9492703266157052E-4</v>
      </c>
    </row>
    <row r="14" spans="1:28" ht="19.5" customHeight="1" x14ac:dyDescent="0.25">
      <c r="A14" s="6" t="s">
        <v>121</v>
      </c>
      <c r="B14" s="60" t="s">
        <v>137</v>
      </c>
      <c r="C14" s="4" t="s">
        <v>98</v>
      </c>
      <c r="D14" s="19">
        <v>46135</v>
      </c>
      <c r="E14" s="20">
        <f t="shared" si="0"/>
        <v>46045</v>
      </c>
      <c r="F14" s="20">
        <f t="shared" si="1"/>
        <v>46075</v>
      </c>
      <c r="G14" s="20">
        <f t="shared" si="2"/>
        <v>46105</v>
      </c>
      <c r="H14" s="21">
        <v>0</v>
      </c>
      <c r="I14" s="5">
        <v>1444</v>
      </c>
      <c r="J14" s="22" t="str">
        <f t="shared" si="3"/>
        <v>Offer 1</v>
      </c>
      <c r="K14" s="59">
        <v>0</v>
      </c>
      <c r="L14" s="23">
        <v>1444</v>
      </c>
      <c r="M14" s="23">
        <f t="shared" si="5"/>
        <v>1490</v>
      </c>
      <c r="N14" s="23">
        <f t="shared" si="6"/>
        <v>1520</v>
      </c>
      <c r="O14" s="23">
        <f t="shared" si="7"/>
        <v>1560</v>
      </c>
      <c r="P14" s="4" t="s">
        <v>222</v>
      </c>
      <c r="Q14" s="61">
        <v>46125</v>
      </c>
      <c r="R14" s="4"/>
      <c r="S14" s="61"/>
      <c r="T14" s="4" t="s">
        <v>716</v>
      </c>
      <c r="U14" s="6" t="s">
        <v>727</v>
      </c>
      <c r="V14" s="23">
        <f>IF(C14="","",IFERROR(VLOOKUP(C14,SETUP!$A$9:$D$24,2,0),"⚠ Check SETUP"))</f>
        <v>1421</v>
      </c>
      <c r="W14" s="23">
        <f>IF(C14="","",IFERROR(VLOOKUP(C14,SETUP!$A$9:$D$24,3,0),"⚠ Check SETUP"))</f>
        <v>1424</v>
      </c>
      <c r="X14" s="22" t="str">
        <f>IF(C14="","",IFERROR(VLOOKUP(C14,SETUP!$A$9:$D$24,4,0),"⚠ Check SETUP"))</f>
        <v>Over</v>
      </c>
      <c r="Y14" s="24">
        <f t="shared" si="8"/>
        <v>3.1855955678670361E-2</v>
      </c>
      <c r="Z14" s="24">
        <f t="shared" si="9"/>
        <v>5.2631578947368418E-2</v>
      </c>
      <c r="AA14" s="24">
        <f t="shared" si="10"/>
        <v>8.0332409972299165E-2</v>
      </c>
      <c r="AB14" s="24">
        <f t="shared" si="11"/>
        <v>0</v>
      </c>
    </row>
    <row r="15" spans="1:28" ht="19.5" customHeight="1" x14ac:dyDescent="0.25">
      <c r="A15" s="6" t="s">
        <v>122</v>
      </c>
      <c r="B15" s="60" t="s">
        <v>138</v>
      </c>
      <c r="C15" s="4" t="s">
        <v>108</v>
      </c>
      <c r="D15" s="19">
        <v>46137</v>
      </c>
      <c r="E15" s="20">
        <f t="shared" si="0"/>
        <v>46047</v>
      </c>
      <c r="F15" s="20">
        <f t="shared" si="1"/>
        <v>46077</v>
      </c>
      <c r="G15" s="20">
        <f t="shared" si="2"/>
        <v>46107</v>
      </c>
      <c r="H15" s="21">
        <v>500</v>
      </c>
      <c r="I15" s="5">
        <v>1329</v>
      </c>
      <c r="J15" s="22" t="str">
        <f t="shared" si="3"/>
        <v>Offer 1</v>
      </c>
      <c r="K15" s="59">
        <v>0</v>
      </c>
      <c r="L15" s="23">
        <f t="shared" si="4"/>
        <v>1330</v>
      </c>
      <c r="M15" s="23">
        <f t="shared" si="5"/>
        <v>1370</v>
      </c>
      <c r="N15" s="23">
        <f t="shared" si="6"/>
        <v>1400</v>
      </c>
      <c r="O15" s="23">
        <f t="shared" si="7"/>
        <v>1440</v>
      </c>
      <c r="P15" s="4" t="s">
        <v>222</v>
      </c>
      <c r="Q15" s="61">
        <v>46071</v>
      </c>
      <c r="R15" s="4"/>
      <c r="S15" s="4"/>
      <c r="T15" s="4" t="s">
        <v>717</v>
      </c>
      <c r="U15" s="6" t="s">
        <v>613</v>
      </c>
      <c r="V15" s="23">
        <f>IF(C15="","",IFERROR(VLOOKUP(C15,SETUP!$A$9:$D$24,2,0),"⚠ Check SETUP"))</f>
        <v>1301</v>
      </c>
      <c r="W15" s="23">
        <f>IF(C15="","",IFERROR(VLOOKUP(C15,SETUP!$A$9:$D$24,3,0),"⚠ Check SETUP"))</f>
        <v>1298</v>
      </c>
      <c r="X15" s="22" t="str">
        <f>IF(C15="","",IFERROR(VLOOKUP(C15,SETUP!$A$9:$D$24,4,0),"⚠ Check SETUP"))</f>
        <v>Over</v>
      </c>
      <c r="Y15" s="24">
        <f t="shared" si="8"/>
        <v>3.0850263355906696E-2</v>
      </c>
      <c r="Z15" s="24">
        <f t="shared" si="9"/>
        <v>5.3423626787057941E-2</v>
      </c>
      <c r="AA15" s="24">
        <f t="shared" si="10"/>
        <v>8.35214446952596E-2</v>
      </c>
      <c r="AB15" s="24">
        <f t="shared" si="11"/>
        <v>7.5244544770504136E-4</v>
      </c>
    </row>
    <row r="16" spans="1:28" ht="19.5" customHeight="1" x14ac:dyDescent="0.25">
      <c r="A16" s="6" t="s">
        <v>123</v>
      </c>
      <c r="B16" s="60" t="s">
        <v>139</v>
      </c>
      <c r="C16" s="4" t="s">
        <v>106</v>
      </c>
      <c r="D16" s="19">
        <v>46139</v>
      </c>
      <c r="E16" s="20">
        <f t="shared" si="0"/>
        <v>46049</v>
      </c>
      <c r="F16" s="20">
        <f t="shared" si="1"/>
        <v>46079</v>
      </c>
      <c r="G16" s="20">
        <f t="shared" si="2"/>
        <v>46109</v>
      </c>
      <c r="H16" s="21">
        <v>0</v>
      </c>
      <c r="I16" s="5">
        <v>2216</v>
      </c>
      <c r="J16" s="22" t="str">
        <f t="shared" si="3"/>
        <v>Offer 1</v>
      </c>
      <c r="K16" s="59">
        <v>0</v>
      </c>
      <c r="L16" s="23">
        <f t="shared" si="4"/>
        <v>2220</v>
      </c>
      <c r="M16" s="23">
        <f t="shared" si="5"/>
        <v>2285</v>
      </c>
      <c r="N16" s="23">
        <f t="shared" si="6"/>
        <v>2330</v>
      </c>
      <c r="O16" s="23">
        <f t="shared" si="7"/>
        <v>2395</v>
      </c>
      <c r="P16" s="4" t="s">
        <v>222</v>
      </c>
      <c r="Q16" s="61">
        <v>46071</v>
      </c>
      <c r="R16" s="4"/>
      <c r="S16" s="4"/>
      <c r="T16" s="4" t="s">
        <v>718</v>
      </c>
      <c r="U16" s="6" t="s">
        <v>629</v>
      </c>
      <c r="V16" s="23">
        <f>IF(C16="","",IFERROR(VLOOKUP(C16,SETUP!$A$9:$D$24,2,0),"⚠ Check SETUP"))</f>
        <v>1969</v>
      </c>
      <c r="W16" s="23">
        <f>IF(C16="","",IFERROR(VLOOKUP(C16,SETUP!$A$9:$D$24,3,0),"⚠ Check SETUP"))</f>
        <v>1617</v>
      </c>
      <c r="X16" s="22" t="str">
        <f>IF(C16="","",IFERROR(VLOOKUP(C16,SETUP!$A$9:$D$24,4,0),"⚠ Check SETUP"))</f>
        <v>Over</v>
      </c>
      <c r="Y16" s="24">
        <f t="shared" si="8"/>
        <v>3.1137184115523464E-2</v>
      </c>
      <c r="Z16" s="24">
        <f t="shared" si="9"/>
        <v>5.1444043321299641E-2</v>
      </c>
      <c r="AA16" s="24">
        <f t="shared" si="10"/>
        <v>8.0776173285198552E-2</v>
      </c>
      <c r="AB16" s="24">
        <f t="shared" si="11"/>
        <v>1.8050541516245488E-3</v>
      </c>
    </row>
    <row r="17" spans="1:28" ht="19.5" customHeight="1" x14ac:dyDescent="0.25">
      <c r="A17" s="6" t="s">
        <v>125</v>
      </c>
      <c r="B17" s="60" t="s">
        <v>141</v>
      </c>
      <c r="C17" s="4" t="s">
        <v>95</v>
      </c>
      <c r="D17" s="19">
        <v>46140</v>
      </c>
      <c r="E17" s="20">
        <f t="shared" si="0"/>
        <v>46050</v>
      </c>
      <c r="F17" s="20">
        <f t="shared" si="1"/>
        <v>46080</v>
      </c>
      <c r="G17" s="20">
        <f t="shared" si="2"/>
        <v>46110</v>
      </c>
      <c r="H17" s="21">
        <v>0</v>
      </c>
      <c r="I17" s="5">
        <v>1469</v>
      </c>
      <c r="J17" s="22" t="str">
        <f t="shared" si="3"/>
        <v>Offer 1</v>
      </c>
      <c r="K17" s="59">
        <v>0</v>
      </c>
      <c r="L17" s="23">
        <f t="shared" si="4"/>
        <v>1470</v>
      </c>
      <c r="M17" s="23">
        <f t="shared" si="5"/>
        <v>1500</v>
      </c>
      <c r="N17" s="23">
        <f t="shared" si="6"/>
        <v>1515</v>
      </c>
      <c r="O17" s="23">
        <f t="shared" si="7"/>
        <v>1545</v>
      </c>
      <c r="P17" s="4"/>
      <c r="Q17" s="4"/>
      <c r="R17" s="4"/>
      <c r="S17" s="61">
        <v>46076</v>
      </c>
      <c r="T17" s="4" t="s">
        <v>720</v>
      </c>
      <c r="U17" s="77" t="s">
        <v>624</v>
      </c>
      <c r="V17" s="23">
        <f>IF(C17="","",IFERROR(VLOOKUP(C17,SETUP!$A$9:$D$24,2,0),"⚠ Check SETUP"))</f>
        <v>1595</v>
      </c>
      <c r="W17" s="23">
        <f>IF(C17="","",IFERROR(VLOOKUP(C17,SETUP!$A$9:$D$24,3,0),"⚠ Check SETUP"))</f>
        <v>1504</v>
      </c>
      <c r="X17" s="22" t="str">
        <f>IF(C17="","",IFERROR(VLOOKUP(C17,SETUP!$A$9:$D$24,4,0),"⚠ Check SETUP"))</f>
        <v>Under</v>
      </c>
      <c r="Y17" s="24">
        <f t="shared" si="8"/>
        <v>2.1102791014295439E-2</v>
      </c>
      <c r="Z17" s="24">
        <f t="shared" si="9"/>
        <v>3.1313818924438394E-2</v>
      </c>
      <c r="AA17" s="24">
        <f t="shared" si="10"/>
        <v>5.1735874744724304E-2</v>
      </c>
      <c r="AB17" s="24" t="str">
        <f t="shared" si="11"/>
        <v/>
      </c>
    </row>
    <row r="18" spans="1:28" ht="19.5" customHeight="1" x14ac:dyDescent="0.25">
      <c r="A18" s="6" t="s">
        <v>124</v>
      </c>
      <c r="B18" s="60" t="s">
        <v>140</v>
      </c>
      <c r="C18" s="4" t="s">
        <v>108</v>
      </c>
      <c r="D18" s="19">
        <v>46140</v>
      </c>
      <c r="E18" s="20">
        <f t="shared" si="0"/>
        <v>46050</v>
      </c>
      <c r="F18" s="20">
        <f t="shared" si="1"/>
        <v>46080</v>
      </c>
      <c r="G18" s="20">
        <f t="shared" si="2"/>
        <v>46110</v>
      </c>
      <c r="H18" s="21">
        <v>500</v>
      </c>
      <c r="I18" s="5">
        <v>1337</v>
      </c>
      <c r="J18" s="22" t="str">
        <f t="shared" si="3"/>
        <v>Offer 1</v>
      </c>
      <c r="K18" s="59">
        <v>0</v>
      </c>
      <c r="L18" s="23">
        <f t="shared" si="4"/>
        <v>1340</v>
      </c>
      <c r="M18" s="23">
        <f t="shared" si="5"/>
        <v>1380</v>
      </c>
      <c r="N18" s="23">
        <f t="shared" si="6"/>
        <v>1405</v>
      </c>
      <c r="O18" s="23">
        <f t="shared" si="7"/>
        <v>1445</v>
      </c>
      <c r="P18" s="4"/>
      <c r="Q18" s="4"/>
      <c r="R18" s="4"/>
      <c r="S18" s="61">
        <v>46055</v>
      </c>
      <c r="T18" s="4" t="s">
        <v>719</v>
      </c>
      <c r="U18" s="6" t="s">
        <v>623</v>
      </c>
      <c r="V18" s="23">
        <f>IF(C18="","",IFERROR(VLOOKUP(C18,SETUP!$A$9:$D$24,2,0),"⚠ Check SETUP"))</f>
        <v>1301</v>
      </c>
      <c r="W18" s="23">
        <f>IF(C18="","",IFERROR(VLOOKUP(C18,SETUP!$A$9:$D$24,3,0),"⚠ Check SETUP"))</f>
        <v>1298</v>
      </c>
      <c r="X18" s="22" t="str">
        <f>IF(C18="","",IFERROR(VLOOKUP(C18,SETUP!$A$9:$D$24,4,0),"⚠ Check SETUP"))</f>
        <v>Over</v>
      </c>
      <c r="Y18" s="24">
        <f t="shared" si="8"/>
        <v>3.2161555721765149E-2</v>
      </c>
      <c r="Z18" s="24">
        <f t="shared" si="9"/>
        <v>5.0860134629768135E-2</v>
      </c>
      <c r="AA18" s="24">
        <f t="shared" si="10"/>
        <v>8.0777860882572924E-2</v>
      </c>
      <c r="AB18" s="24" t="str">
        <f t="shared" si="11"/>
        <v/>
      </c>
    </row>
    <row r="19" spans="1:28" ht="19.5" customHeight="1" x14ac:dyDescent="0.25">
      <c r="A19" s="6" t="s">
        <v>126</v>
      </c>
      <c r="B19" s="60" t="s">
        <v>142</v>
      </c>
      <c r="C19" s="4" t="s">
        <v>101</v>
      </c>
      <c r="D19" s="19">
        <v>46142</v>
      </c>
      <c r="E19" s="20">
        <f t="shared" si="0"/>
        <v>46052</v>
      </c>
      <c r="F19" s="20">
        <f t="shared" si="1"/>
        <v>46082</v>
      </c>
      <c r="G19" s="20">
        <f t="shared" si="2"/>
        <v>46112</v>
      </c>
      <c r="H19" s="21">
        <v>1906</v>
      </c>
      <c r="I19" s="5">
        <v>1906</v>
      </c>
      <c r="J19" s="22" t="str">
        <f t="shared" si="3"/>
        <v>Offer 2</v>
      </c>
      <c r="K19" s="59">
        <v>0</v>
      </c>
      <c r="L19" s="23">
        <f t="shared" si="4"/>
        <v>1910</v>
      </c>
      <c r="M19" s="23">
        <f t="shared" si="5"/>
        <v>1945</v>
      </c>
      <c r="N19" s="23">
        <f t="shared" si="6"/>
        <v>1965</v>
      </c>
      <c r="O19" s="23">
        <f t="shared" si="7"/>
        <v>2005</v>
      </c>
      <c r="P19" s="4"/>
      <c r="Q19" s="4"/>
      <c r="R19" s="4"/>
      <c r="S19" s="61">
        <v>46066</v>
      </c>
      <c r="T19" s="4" t="s">
        <v>721</v>
      </c>
      <c r="U19" s="6" t="s">
        <v>625</v>
      </c>
      <c r="V19" s="23">
        <f>IF(C19="","",IFERROR(VLOOKUP(C19,SETUP!$A$9:$D$24,2,0),"⚠ Check SETUP"))</f>
        <v>1880</v>
      </c>
      <c r="W19" s="23">
        <f>IF(C19="","",IFERROR(VLOOKUP(C19,SETUP!$A$9:$D$24,3,0),"⚠ Check SETUP"))</f>
        <v>1976</v>
      </c>
      <c r="X19" s="22" t="str">
        <f>IF(C19="","",IFERROR(VLOOKUP(C19,SETUP!$A$9:$D$24,4,0),"⚠ Check SETUP"))</f>
        <v>Under</v>
      </c>
      <c r="Y19" s="24">
        <f t="shared" si="8"/>
        <v>2.0461699895068207E-2</v>
      </c>
      <c r="Z19" s="24">
        <f t="shared" si="9"/>
        <v>3.0954879328436515E-2</v>
      </c>
      <c r="AA19" s="24">
        <f t="shared" si="10"/>
        <v>5.1941238195173135E-2</v>
      </c>
      <c r="AB19" s="24" t="str">
        <f t="shared" si="11"/>
        <v/>
      </c>
    </row>
    <row r="21" spans="1:28" ht="25.5" customHeight="1" x14ac:dyDescent="0.25">
      <c r="A21" s="94" t="s">
        <v>66</v>
      </c>
      <c r="B21" s="94"/>
      <c r="C21" s="94"/>
      <c r="D21" s="94"/>
      <c r="E21" s="94"/>
      <c r="F21" s="94"/>
      <c r="G21" s="94"/>
      <c r="H21" s="27"/>
      <c r="Q21" s="72"/>
      <c r="R21" s="64"/>
      <c r="S21" s="72"/>
      <c r="T21" s="64"/>
      <c r="U21" s="83"/>
    </row>
    <row r="22" spans="1:28" ht="21.75" customHeight="1" x14ac:dyDescent="0.25">
      <c r="A22" s="28" t="s">
        <v>67</v>
      </c>
      <c r="B22" s="28" t="s">
        <v>68</v>
      </c>
      <c r="C22" s="28" t="s">
        <v>69</v>
      </c>
      <c r="D22" s="28" t="s">
        <v>70</v>
      </c>
      <c r="E22" s="28" t="s">
        <v>71</v>
      </c>
      <c r="F22" s="27"/>
      <c r="G22" s="27"/>
      <c r="H22" s="27"/>
      <c r="P22" s="64"/>
      <c r="Q22" s="72"/>
      <c r="R22" s="64"/>
      <c r="S22" s="64"/>
      <c r="T22" s="64"/>
      <c r="U22" s="62"/>
    </row>
    <row r="23" spans="1:28" ht="21.75" customHeight="1" x14ac:dyDescent="0.25">
      <c r="A23" s="29" t="s">
        <v>72</v>
      </c>
      <c r="B23" s="30">
        <f>COUNTA(A4:A19)</f>
        <v>16</v>
      </c>
      <c r="C23" s="31"/>
      <c r="D23" s="31"/>
      <c r="E23" s="31"/>
      <c r="F23" s="27"/>
      <c r="G23" s="27"/>
      <c r="H23" s="27"/>
      <c r="P23" s="64"/>
      <c r="Q23" s="64"/>
      <c r="R23" s="64"/>
      <c r="S23" s="72"/>
      <c r="T23" s="64"/>
      <c r="U23" s="62"/>
    </row>
    <row r="24" spans="1:28" ht="21.75" customHeight="1" x14ac:dyDescent="0.25">
      <c r="A24" s="32" t="s">
        <v>73</v>
      </c>
      <c r="B24" s="33">
        <f>COUNTA(Q4:Q19)</f>
        <v>10</v>
      </c>
      <c r="C24" s="34">
        <f>IFERROR(B24/B23,"-")</f>
        <v>0.625</v>
      </c>
      <c r="D24" s="34">
        <f>IFERROR(B24/(B24+B25),"-")</f>
        <v>0.66666666666666663</v>
      </c>
      <c r="E24" s="35" t="str">
        <f>IF(B23=0,"Awaiting data",IF(B24/B23&gt;=0.6,"On Track ✓","Needs Attention ⚠"))</f>
        <v>On Track ✓</v>
      </c>
      <c r="F24" s="27"/>
      <c r="G24" s="27"/>
      <c r="H24" s="27"/>
    </row>
    <row r="25" spans="1:28" ht="21.75" customHeight="1" x14ac:dyDescent="0.25">
      <c r="A25" s="36" t="s">
        <v>74</v>
      </c>
      <c r="B25" s="37">
        <f>COUNTA(S4:S19)</f>
        <v>5</v>
      </c>
      <c r="C25" s="38">
        <f>IFERROR(B25/B23,"-")</f>
        <v>0.3125</v>
      </c>
      <c r="D25" s="38">
        <f>IFERROR(B25/(B24+B25),"-")</f>
        <v>0.33333333333333331</v>
      </c>
      <c r="E25" s="39" t="str">
        <f>IF(B23=0,"Awaiting data",IF(B25/B23&lt;=0.2,"Acceptable","High NTV ⚠"))</f>
        <v>High NTV ⚠</v>
      </c>
      <c r="F25" s="27"/>
      <c r="G25" s="27"/>
      <c r="H25" s="27"/>
    </row>
    <row r="26" spans="1:28" ht="21.75" customHeight="1" x14ac:dyDescent="0.25">
      <c r="A26" s="40" t="s">
        <v>75</v>
      </c>
      <c r="B26" s="41">
        <f>COUNTA(R4:R19)</f>
        <v>1</v>
      </c>
      <c r="C26" s="42">
        <f>IFERROR(B26/B23,"-")</f>
        <v>6.25E-2</v>
      </c>
      <c r="D26" s="43" t="s">
        <v>76</v>
      </c>
      <c r="E26" s="44" t="s">
        <v>77</v>
      </c>
      <c r="F26" s="27"/>
      <c r="G26" s="27"/>
      <c r="H26" s="27"/>
    </row>
    <row r="27" spans="1:28" ht="21.75" customHeight="1" x14ac:dyDescent="0.25">
      <c r="A27" s="45" t="s">
        <v>78</v>
      </c>
      <c r="B27" s="46">
        <f>MAX(0,B23-B24-B25-B26)</f>
        <v>0</v>
      </c>
      <c r="C27" s="47">
        <f>IFERROR(B27/B23,"-")</f>
        <v>0</v>
      </c>
      <c r="D27" s="48" t="s">
        <v>76</v>
      </c>
      <c r="E27" s="49" t="str">
        <f>IF(B27=0,"All accounted for ✓","Follow up needed")</f>
        <v>All accounted for ✓</v>
      </c>
      <c r="F27" s="27"/>
      <c r="G27" s="27"/>
      <c r="H27" s="27"/>
    </row>
    <row r="28" spans="1:28" ht="7.5" customHeight="1" thickBot="1" x14ac:dyDescent="0.3">
      <c r="A28" s="27"/>
      <c r="B28" s="27"/>
      <c r="C28" s="27"/>
      <c r="D28" s="27"/>
      <c r="E28" s="27"/>
      <c r="F28" s="27"/>
      <c r="G28" s="27"/>
      <c r="H28" s="27"/>
    </row>
    <row r="29" spans="1:28" ht="37.5" customHeight="1" thickBot="1" x14ac:dyDescent="0.3">
      <c r="A29" s="95" t="s">
        <v>79</v>
      </c>
      <c r="B29" s="95"/>
      <c r="C29" s="50">
        <f>IFERROR(B24/B23,"-")</f>
        <v>0.625</v>
      </c>
      <c r="D29" s="96" t="str">
        <f>IF(B23=0,"Enter resident data to calculate",IF(B24/B23&gt;=0.6,"✓ Meeting target retention","⚠ Below target — review offers"))</f>
        <v>✓ Meeting target retention</v>
      </c>
      <c r="E29" s="96"/>
      <c r="F29" s="96"/>
      <c r="G29" s="96"/>
      <c r="H29" s="27"/>
    </row>
    <row r="30" spans="1:28" ht="25.5" customHeight="1" x14ac:dyDescent="0.25">
      <c r="A30" s="97" t="s">
        <v>80</v>
      </c>
      <c r="B30" s="97"/>
      <c r="C30" s="51">
        <f>IFERROR(B24/(B24+B25),"-")</f>
        <v>0.66666666666666663</v>
      </c>
      <c r="D30" s="98" t="s">
        <v>81</v>
      </c>
      <c r="E30" s="98"/>
      <c r="F30" s="98"/>
      <c r="G30" s="98"/>
      <c r="H30" s="27"/>
    </row>
    <row r="31" spans="1:28" ht="18" customHeight="1" x14ac:dyDescent="0.25">
      <c r="A31" s="27"/>
      <c r="B31" s="27"/>
      <c r="C31" s="27"/>
      <c r="D31" s="27"/>
      <c r="E31" s="27"/>
      <c r="F31" s="27"/>
      <c r="G31" s="27"/>
      <c r="H31" s="27"/>
    </row>
    <row r="32" spans="1:28" ht="7.5" customHeight="1" x14ac:dyDescent="0.25">
      <c r="A32" s="27"/>
      <c r="B32" s="27"/>
      <c r="C32" s="27"/>
      <c r="D32" s="27"/>
      <c r="E32" s="27"/>
      <c r="F32" s="27"/>
      <c r="G32" s="27"/>
      <c r="H32" s="27"/>
    </row>
    <row r="33" spans="1:8" ht="21.75" customHeight="1" x14ac:dyDescent="0.25">
      <c r="A33" s="52" t="s">
        <v>82</v>
      </c>
      <c r="B33" s="27"/>
      <c r="C33" s="27"/>
      <c r="D33" s="27"/>
      <c r="E33" s="27"/>
      <c r="F33" s="27"/>
      <c r="G33" s="27"/>
      <c r="H33" s="27"/>
    </row>
    <row r="34" spans="1:8" ht="18" customHeight="1" x14ac:dyDescent="0.25">
      <c r="A34" s="53" t="s">
        <v>83</v>
      </c>
      <c r="B34" s="27"/>
      <c r="C34" s="27"/>
      <c r="D34" s="27"/>
      <c r="E34" s="27"/>
      <c r="F34" s="27"/>
      <c r="G34" s="27"/>
      <c r="H34" s="27"/>
    </row>
    <row r="35" spans="1:8" ht="18" customHeight="1" x14ac:dyDescent="0.25">
      <c r="A35" s="54" t="s">
        <v>84</v>
      </c>
      <c r="B35" s="27"/>
      <c r="C35" s="27"/>
      <c r="D35" s="27"/>
      <c r="E35" s="27"/>
      <c r="F35" s="27"/>
      <c r="G35" s="27"/>
      <c r="H35" s="27"/>
    </row>
    <row r="36" spans="1:8" ht="18" customHeight="1" x14ac:dyDescent="0.25">
      <c r="A36" s="55" t="s">
        <v>85</v>
      </c>
      <c r="B36" s="27"/>
      <c r="C36" s="27"/>
      <c r="D36" s="27"/>
      <c r="E36" s="27"/>
      <c r="F36" s="27"/>
      <c r="G36" s="27"/>
      <c r="H36" s="27"/>
    </row>
    <row r="37" spans="1:8" ht="18" customHeight="1" x14ac:dyDescent="0.25">
      <c r="A37" s="56" t="s">
        <v>86</v>
      </c>
      <c r="B37" s="27"/>
      <c r="C37" s="27"/>
      <c r="D37" s="27"/>
      <c r="E37" s="27"/>
      <c r="F37" s="27"/>
      <c r="G37" s="27"/>
      <c r="H37" s="27"/>
    </row>
    <row r="38" spans="1:8" ht="18" customHeight="1" x14ac:dyDescent="0.25">
      <c r="A38" s="57" t="s">
        <v>87</v>
      </c>
      <c r="B38" s="27"/>
      <c r="C38" s="27"/>
      <c r="D38" s="27"/>
      <c r="E38" s="27"/>
      <c r="F38" s="27"/>
      <c r="G38" s="27"/>
      <c r="H38" s="27"/>
    </row>
    <row r="39" spans="1:8" ht="15" customHeight="1" x14ac:dyDescent="0.25">
      <c r="A39" s="27"/>
      <c r="B39" s="27"/>
      <c r="C39" s="27"/>
      <c r="D39" s="27"/>
      <c r="E39" s="27"/>
      <c r="F39" s="27"/>
      <c r="G39" s="27"/>
      <c r="H39" s="27"/>
    </row>
    <row r="40" spans="1:8" ht="15" customHeight="1" x14ac:dyDescent="0.25">
      <c r="A40" s="27"/>
      <c r="B40" s="27"/>
      <c r="C40" s="27"/>
      <c r="D40" s="27"/>
      <c r="E40" s="27"/>
      <c r="F40" s="27"/>
      <c r="G40" s="27"/>
      <c r="H40" s="27"/>
    </row>
    <row r="41" spans="1:8" ht="15" customHeight="1" x14ac:dyDescent="0.25">
      <c r="A41" s="27"/>
      <c r="B41" s="27"/>
      <c r="C41" s="27"/>
      <c r="D41" s="27"/>
      <c r="E41" s="27"/>
      <c r="F41" s="27"/>
      <c r="G41" s="27"/>
      <c r="H41" s="27"/>
    </row>
    <row r="42" spans="1:8" ht="15" customHeight="1" x14ac:dyDescent="0.25">
      <c r="A42" s="27"/>
      <c r="B42" s="27"/>
      <c r="C42" s="27"/>
      <c r="D42" s="27"/>
      <c r="E42" s="27"/>
      <c r="F42" s="27"/>
      <c r="G42" s="27"/>
      <c r="H42" s="27"/>
    </row>
    <row r="43" spans="1:8" ht="15" customHeight="1" x14ac:dyDescent="0.25">
      <c r="A43" s="27"/>
      <c r="B43" s="27"/>
      <c r="C43" s="27"/>
      <c r="D43" s="27"/>
      <c r="E43" s="27"/>
      <c r="F43" s="27"/>
      <c r="G43" s="27"/>
      <c r="H43" s="27"/>
    </row>
    <row r="44" spans="1:8" ht="15" customHeight="1" x14ac:dyDescent="0.25">
      <c r="A44" s="27"/>
      <c r="B44" s="27"/>
      <c r="C44" s="27"/>
      <c r="D44" s="27"/>
      <c r="E44" s="27"/>
      <c r="F44" s="27"/>
      <c r="G44" s="27"/>
      <c r="H44" s="27"/>
    </row>
    <row r="45" spans="1:8" ht="15" customHeight="1" x14ac:dyDescent="0.25">
      <c r="A45" s="27"/>
      <c r="B45" s="27"/>
      <c r="C45" s="27"/>
      <c r="D45" s="27"/>
      <c r="E45" s="27"/>
      <c r="F45" s="27"/>
      <c r="G45" s="27"/>
      <c r="H45" s="27"/>
    </row>
  </sheetData>
  <mergeCells count="6">
    <mergeCell ref="A1:AB1"/>
    <mergeCell ref="A21:G21"/>
    <mergeCell ref="A29:B29"/>
    <mergeCell ref="D29:G29"/>
    <mergeCell ref="A30:B30"/>
    <mergeCell ref="D30:G30"/>
  </mergeCells>
  <conditionalFormatting sqref="A4:U19">
    <cfRule type="expression" dxfId="35" priority="1">
      <formula>$S4&lt;&gt;""</formula>
    </cfRule>
    <cfRule type="expression" dxfId="34" priority="2">
      <formula>$R4&lt;&gt;""</formula>
    </cfRule>
    <cfRule type="expression" dxfId="33" priority="3">
      <formula>$Q4&lt;&gt;""</formula>
    </cfRule>
  </conditionalFormatting>
  <conditionalFormatting sqref="P22:U23">
    <cfRule type="expression" dxfId="32" priority="19">
      <formula>$S22&lt;&gt;""</formula>
    </cfRule>
    <cfRule type="expression" dxfId="31" priority="20">
      <formula>$R22&lt;&gt;""</formula>
    </cfRule>
    <cfRule type="expression" dxfId="30" priority="21">
      <formula>$Q22&lt;&gt;""</formula>
    </cfRule>
  </conditionalFormatting>
  <conditionalFormatting sqref="Q21:U21">
    <cfRule type="expression" dxfId="29" priority="4">
      <formula>$S21&lt;&gt;""</formula>
    </cfRule>
    <cfRule type="expression" dxfId="28" priority="5">
      <formula>$R21&lt;&gt;""</formula>
    </cfRule>
    <cfRule type="expression" dxfId="27" priority="6">
      <formula>$Q21&lt;&gt;""</formula>
    </cfRule>
  </conditionalFormatting>
  <dataValidations count="1">
    <dataValidation type="list" allowBlank="1" showInputMessage="1" showErrorMessage="1" sqref="P22:P23 P4:P19" xr:uid="{0253963D-57D5-4DF8-88BA-4D6409F56FDE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D1CE-0A90-4971-BB65-54B3B14F3D2E}">
  <dimension ref="A1:AB45"/>
  <sheetViews>
    <sheetView zoomScaleNormal="100" workbookViewId="0">
      <pane ySplit="3" topLeftCell="A4" activePane="bottomLeft" state="frozen"/>
      <selection pane="bottomLeft" activeCell="A14" sqref="A14"/>
    </sheetView>
  </sheetViews>
  <sheetFormatPr defaultColWidth="8.5703125" defaultRowHeight="15" customHeight="1" x14ac:dyDescent="0.25"/>
  <cols>
    <col min="1" max="1" width="23" customWidth="1"/>
    <col min="2" max="2" width="10" customWidth="1"/>
    <col min="3" max="3" width="13.28515625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15.7109375" customWidth="1"/>
    <col min="21" max="21" width="45.7109375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143</v>
      </c>
      <c r="B4" s="60" t="s">
        <v>159</v>
      </c>
      <c r="C4" s="4" t="s">
        <v>106</v>
      </c>
      <c r="D4" s="19">
        <v>46145</v>
      </c>
      <c r="E4" s="20">
        <f t="shared" ref="E4:E19" si="0">IF(D4="","",D4-90)</f>
        <v>46055</v>
      </c>
      <c r="F4" s="20">
        <f t="shared" ref="F4:F19" si="1">IF(D4="","",D4-60)</f>
        <v>46085</v>
      </c>
      <c r="G4" s="20">
        <f t="shared" ref="G4:G19" si="2">IF(D4="","",D4-30)</f>
        <v>46115</v>
      </c>
      <c r="H4" s="21">
        <v>0</v>
      </c>
      <c r="I4" s="5">
        <v>1937</v>
      </c>
      <c r="J4" s="22" t="str">
        <f t="shared" ref="J4:J19" si="3">IF(I4="","",IF(ABS(N4-W4)&lt;=ABS(M4-W4),IF(ABS(N4-W4)&lt;=ABS(O4-W4),"Offer 2","Offer 3"),IF(ABS(M4-W4)&lt;=ABS(O4-W4),"Offer 1","Offer 3")))</f>
        <v>Offer 1</v>
      </c>
      <c r="K4" s="59">
        <v>1.7999999999999999E-2</v>
      </c>
      <c r="L4" s="23">
        <f t="shared" ref="L4:L19" si="4">IF(OR(I4="",K4=""),"",CEILING(I4*(1+K4),5))</f>
        <v>1975</v>
      </c>
      <c r="M4" s="23">
        <f t="shared" ref="M4:M19" si="5">IF(I4="","",IF(X4="Under",CEILING(MAX(I4*1.02,MIN(V4,W4)*0.95),5),CEILING(MAX(I4*1.03,MIN(V4,W4)*0.97),5)))</f>
        <v>2000</v>
      </c>
      <c r="N4" s="23">
        <f t="shared" ref="N4:N19" si="6">IF(I4="","",IF(X4="Under",CEILING(MAX(I4*1.03,(V4+W4)/2*0.96),5),CEILING(MAX(I4*1.05,(V4+W4)/2*0.98),5)))</f>
        <v>2035</v>
      </c>
      <c r="O4" s="23">
        <f t="shared" ref="O4:O19" si="7">IF(I4="","",IF(X4="Under",CEILING(MAX(I4*1.05,MIN(V4,W4*1.01)),5),CEILING(MAX(I4*1.08,MIN(V4,W4*1.02)),5)))</f>
        <v>2095</v>
      </c>
      <c r="P4" s="4" t="s">
        <v>222</v>
      </c>
      <c r="Q4" s="61">
        <v>46091</v>
      </c>
      <c r="R4" s="4"/>
      <c r="S4" s="4"/>
      <c r="T4" s="4" t="s">
        <v>632</v>
      </c>
      <c r="U4" s="6" t="s">
        <v>650</v>
      </c>
      <c r="V4" s="23">
        <f>IF(C4="","",IFERROR(VLOOKUP(C4,SETUP!$A$9:$D$24,2,0),"⚠ Check SETUP"))</f>
        <v>1969</v>
      </c>
      <c r="W4" s="23">
        <f>IF(C4="","",IFERROR(VLOOKUP(C4,SETUP!$A$9:$D$24,3,0),"⚠ Check SETUP"))</f>
        <v>1617</v>
      </c>
      <c r="X4" s="22" t="str">
        <f>IF(C4="","",IFERROR(VLOOKUP(C4,SETUP!$A$9:$D$24,4,0),"⚠ Check SETUP"))</f>
        <v>Over</v>
      </c>
      <c r="Y4" s="24">
        <f t="shared" ref="Y4:Y19" si="8">IF(OR(I4="",M4=""),"",(M4-I4)/I4)</f>
        <v>3.2524522457408361E-2</v>
      </c>
      <c r="Z4" s="24">
        <f t="shared" ref="Z4:Z19" si="9">IF(OR(I4="",N4=""),"",(N4-I4)/I4)</f>
        <v>5.0593701600413009E-2</v>
      </c>
      <c r="AA4" s="24">
        <f t="shared" ref="AA4:AA19" si="10">IF(OR(I4="",O4=""),"",(O4-I4)/I4)</f>
        <v>8.1569437274135265E-2</v>
      </c>
      <c r="AB4" s="24">
        <f t="shared" ref="AB4:AB19" si="11">IF(OR(Q4="",S4&lt;&gt;"",P4="",I4=""),"",IF(P4="Investor Override",IF(L4="","",(L4-I4)/I4),IF(P4="Offer 1",IF(M4="","",(M4-I4)/I4),IF(P4="Offer 2",IF(N4="","",(N4-I4)/I4),IF(P4="Offer 3",IF(O4="","",(O4-I4)/I4),"")))))</f>
        <v>1.961796592669076E-2</v>
      </c>
    </row>
    <row r="5" spans="1:28" ht="19.5" customHeight="1" x14ac:dyDescent="0.25">
      <c r="A5" s="6" t="s">
        <v>144</v>
      </c>
      <c r="B5" s="60" t="s">
        <v>160</v>
      </c>
      <c r="C5" s="4" t="s">
        <v>13</v>
      </c>
      <c r="D5" s="19">
        <v>46146</v>
      </c>
      <c r="E5" s="20">
        <f t="shared" si="0"/>
        <v>46056</v>
      </c>
      <c r="F5" s="20">
        <f t="shared" si="1"/>
        <v>46086</v>
      </c>
      <c r="G5" s="20">
        <f t="shared" si="2"/>
        <v>46116</v>
      </c>
      <c r="H5" s="21">
        <v>0</v>
      </c>
      <c r="I5" s="5">
        <v>2037</v>
      </c>
      <c r="J5" s="22" t="str">
        <f t="shared" si="3"/>
        <v>Offer 1</v>
      </c>
      <c r="K5" s="59">
        <v>0</v>
      </c>
      <c r="L5" s="23">
        <f t="shared" si="4"/>
        <v>2040</v>
      </c>
      <c r="M5" s="23">
        <f t="shared" si="5"/>
        <v>2080</v>
      </c>
      <c r="N5" s="23">
        <f t="shared" si="6"/>
        <v>2100</v>
      </c>
      <c r="O5" s="23">
        <f t="shared" si="7"/>
        <v>2140</v>
      </c>
      <c r="P5" s="4" t="s">
        <v>222</v>
      </c>
      <c r="Q5" s="61">
        <v>46091</v>
      </c>
      <c r="R5" s="4"/>
      <c r="S5" s="4"/>
      <c r="T5" s="4" t="s">
        <v>633</v>
      </c>
      <c r="U5" s="6" t="s">
        <v>651</v>
      </c>
      <c r="V5" s="23">
        <f>IF(C5="","",IFERROR(VLOOKUP(C5,SETUP!$A$9:$D$24,2,0),"⚠ Check SETUP"))</f>
        <v>1809</v>
      </c>
      <c r="W5" s="23">
        <f>IF(C5="","",IFERROR(VLOOKUP(C5,SETUP!$A$9:$D$24,3,0),"⚠ Check SETUP"))</f>
        <v>1764</v>
      </c>
      <c r="X5" s="22" t="str">
        <f>IF(C5="","",IFERROR(VLOOKUP(C5,SETUP!$A$9:$D$24,4,0),"⚠ Check SETUP"))</f>
        <v>Under</v>
      </c>
      <c r="Y5" s="24">
        <f t="shared" si="8"/>
        <v>2.1109474717722142E-2</v>
      </c>
      <c r="Z5" s="24">
        <f t="shared" si="9"/>
        <v>3.0927835051546393E-2</v>
      </c>
      <c r="AA5" s="24">
        <f t="shared" si="10"/>
        <v>5.0564555719194895E-2</v>
      </c>
      <c r="AB5" s="24">
        <f t="shared" si="11"/>
        <v>1.4727540500736377E-3</v>
      </c>
    </row>
    <row r="6" spans="1:28" ht="19.5" customHeight="1" x14ac:dyDescent="0.25">
      <c r="A6" s="6" t="s">
        <v>147</v>
      </c>
      <c r="B6" s="60" t="s">
        <v>163</v>
      </c>
      <c r="C6" s="4" t="s">
        <v>95</v>
      </c>
      <c r="D6" s="19">
        <v>46146</v>
      </c>
      <c r="E6" s="20">
        <f t="shared" si="0"/>
        <v>46056</v>
      </c>
      <c r="F6" s="20">
        <f t="shared" si="1"/>
        <v>46086</v>
      </c>
      <c r="G6" s="20">
        <f t="shared" si="2"/>
        <v>46116</v>
      </c>
      <c r="H6" s="21">
        <v>500</v>
      </c>
      <c r="I6" s="5">
        <v>1469</v>
      </c>
      <c r="J6" s="22" t="str">
        <f t="shared" si="3"/>
        <v>Offer 1</v>
      </c>
      <c r="K6" s="59">
        <v>2.5000000000000001E-2</v>
      </c>
      <c r="L6" s="23">
        <f t="shared" si="4"/>
        <v>1510</v>
      </c>
      <c r="M6" s="23">
        <f t="shared" si="5"/>
        <v>1500</v>
      </c>
      <c r="N6" s="23">
        <f t="shared" si="6"/>
        <v>1515</v>
      </c>
      <c r="O6" s="23">
        <f t="shared" si="7"/>
        <v>1545</v>
      </c>
      <c r="P6" s="4"/>
      <c r="Q6" s="4"/>
      <c r="R6" s="61">
        <v>46146</v>
      </c>
      <c r="S6" s="4"/>
      <c r="T6" s="4" t="s">
        <v>634</v>
      </c>
      <c r="U6" s="6" t="s">
        <v>648</v>
      </c>
      <c r="V6" s="23">
        <f>IF(C6="","",IFERROR(VLOOKUP(C6,SETUP!$A$9:$D$24,2,0),"⚠ Check SETUP"))</f>
        <v>1595</v>
      </c>
      <c r="W6" s="23">
        <f>IF(C6="","",IFERROR(VLOOKUP(C6,SETUP!$A$9:$D$24,3,0),"⚠ Check SETUP"))</f>
        <v>1504</v>
      </c>
      <c r="X6" s="22" t="str">
        <f>IF(C6="","",IFERROR(VLOOKUP(C6,SETUP!$A$9:$D$24,4,0),"⚠ Check SETUP"))</f>
        <v>Under</v>
      </c>
      <c r="Y6" s="24">
        <f t="shared" si="8"/>
        <v>2.1102791014295439E-2</v>
      </c>
      <c r="Z6" s="24">
        <f t="shared" si="9"/>
        <v>3.1313818924438394E-2</v>
      </c>
      <c r="AA6" s="24">
        <f t="shared" si="10"/>
        <v>5.1735874744724304E-2</v>
      </c>
      <c r="AB6" s="24" t="str">
        <f t="shared" si="11"/>
        <v/>
      </c>
    </row>
    <row r="7" spans="1:28" ht="19.5" customHeight="1" x14ac:dyDescent="0.25">
      <c r="A7" s="6" t="s">
        <v>145</v>
      </c>
      <c r="B7" s="60" t="s">
        <v>161</v>
      </c>
      <c r="C7" s="4" t="s">
        <v>13</v>
      </c>
      <c r="D7" s="19">
        <v>46146</v>
      </c>
      <c r="E7" s="20">
        <f t="shared" si="0"/>
        <v>46056</v>
      </c>
      <c r="F7" s="20">
        <f t="shared" si="1"/>
        <v>46086</v>
      </c>
      <c r="G7" s="20">
        <f t="shared" si="2"/>
        <v>46116</v>
      </c>
      <c r="H7" s="21">
        <v>0</v>
      </c>
      <c r="I7" s="5">
        <v>1810</v>
      </c>
      <c r="J7" s="22" t="str">
        <f t="shared" si="3"/>
        <v>Offer 1</v>
      </c>
      <c r="K7" s="59">
        <v>0</v>
      </c>
      <c r="L7" s="23">
        <f t="shared" si="4"/>
        <v>1810</v>
      </c>
      <c r="M7" s="23">
        <f t="shared" si="5"/>
        <v>1850</v>
      </c>
      <c r="N7" s="23">
        <f t="shared" si="6"/>
        <v>1865</v>
      </c>
      <c r="O7" s="23">
        <f t="shared" si="7"/>
        <v>1905</v>
      </c>
      <c r="P7" s="4" t="s">
        <v>222</v>
      </c>
      <c r="Q7" s="61">
        <v>46114</v>
      </c>
      <c r="R7" s="4"/>
      <c r="S7" s="61"/>
      <c r="T7" s="4" t="s">
        <v>635</v>
      </c>
      <c r="U7" s="6" t="s">
        <v>652</v>
      </c>
      <c r="V7" s="23">
        <f>IF(C7="","",IFERROR(VLOOKUP(C7,SETUP!$A$9:$D$24,2,0),"⚠ Check SETUP"))</f>
        <v>1809</v>
      </c>
      <c r="W7" s="23">
        <f>IF(C7="","",IFERROR(VLOOKUP(C7,SETUP!$A$9:$D$24,3,0),"⚠ Check SETUP"))</f>
        <v>1764</v>
      </c>
      <c r="X7" s="22" t="str">
        <f>IF(C7="","",IFERROR(VLOOKUP(C7,SETUP!$A$9:$D$24,4,0),"⚠ Check SETUP"))</f>
        <v>Under</v>
      </c>
      <c r="Y7" s="24">
        <f t="shared" si="8"/>
        <v>2.2099447513812154E-2</v>
      </c>
      <c r="Z7" s="24">
        <f t="shared" si="9"/>
        <v>3.0386740331491711E-2</v>
      </c>
      <c r="AA7" s="24">
        <f t="shared" si="10"/>
        <v>5.2486187845303865E-2</v>
      </c>
      <c r="AB7" s="24">
        <f t="shared" si="11"/>
        <v>0</v>
      </c>
    </row>
    <row r="8" spans="1:28" ht="19.5" customHeight="1" x14ac:dyDescent="0.25">
      <c r="A8" s="6" t="s">
        <v>146</v>
      </c>
      <c r="B8" s="60" t="s">
        <v>162</v>
      </c>
      <c r="C8" s="4" t="s">
        <v>95</v>
      </c>
      <c r="D8" s="19">
        <v>46146</v>
      </c>
      <c r="E8" s="20">
        <f t="shared" si="0"/>
        <v>46056</v>
      </c>
      <c r="F8" s="20">
        <f t="shared" si="1"/>
        <v>46086</v>
      </c>
      <c r="G8" s="20">
        <f t="shared" si="2"/>
        <v>46116</v>
      </c>
      <c r="H8" s="21">
        <v>0</v>
      </c>
      <c r="I8" s="5">
        <v>1530</v>
      </c>
      <c r="J8" s="22" t="str">
        <f t="shared" si="3"/>
        <v>Offer 1</v>
      </c>
      <c r="K8" s="59">
        <v>7.1999999999999995E-2</v>
      </c>
      <c r="L8" s="23">
        <f t="shared" si="4"/>
        <v>1645</v>
      </c>
      <c r="M8" s="23">
        <f t="shared" si="5"/>
        <v>1565</v>
      </c>
      <c r="N8" s="23">
        <f t="shared" si="6"/>
        <v>1580</v>
      </c>
      <c r="O8" s="23">
        <f t="shared" si="7"/>
        <v>1610</v>
      </c>
      <c r="P8" s="4" t="s">
        <v>222</v>
      </c>
      <c r="Q8" s="61">
        <v>46079</v>
      </c>
      <c r="R8" s="4"/>
      <c r="S8" s="4"/>
      <c r="T8" s="4" t="s">
        <v>636</v>
      </c>
      <c r="U8" s="6" t="s">
        <v>653</v>
      </c>
      <c r="V8" s="23">
        <f>IF(C8="","",IFERROR(VLOOKUP(C8,SETUP!$A$9:$D$24,2,0),"⚠ Check SETUP"))</f>
        <v>1595</v>
      </c>
      <c r="W8" s="23">
        <f>IF(C8="","",IFERROR(VLOOKUP(C8,SETUP!$A$9:$D$24,3,0),"⚠ Check SETUP"))</f>
        <v>1504</v>
      </c>
      <c r="X8" s="22" t="str">
        <f>IF(C8="","",IFERROR(VLOOKUP(C8,SETUP!$A$9:$D$24,4,0),"⚠ Check SETUP"))</f>
        <v>Under</v>
      </c>
      <c r="Y8" s="24">
        <f t="shared" si="8"/>
        <v>2.2875816993464051E-2</v>
      </c>
      <c r="Z8" s="24">
        <f t="shared" si="9"/>
        <v>3.2679738562091505E-2</v>
      </c>
      <c r="AA8" s="24">
        <f t="shared" si="10"/>
        <v>5.2287581699346407E-2</v>
      </c>
      <c r="AB8" s="24">
        <f t="shared" si="11"/>
        <v>7.5163398692810454E-2</v>
      </c>
    </row>
    <row r="9" spans="1:28" ht="19.5" customHeight="1" x14ac:dyDescent="0.25">
      <c r="A9" s="6" t="s">
        <v>149</v>
      </c>
      <c r="B9" s="60" t="s">
        <v>165</v>
      </c>
      <c r="C9" s="4" t="s">
        <v>95</v>
      </c>
      <c r="D9" s="19">
        <v>46148</v>
      </c>
      <c r="E9" s="20">
        <f t="shared" si="0"/>
        <v>46058</v>
      </c>
      <c r="F9" s="20">
        <f t="shared" si="1"/>
        <v>46088</v>
      </c>
      <c r="G9" s="20">
        <f t="shared" si="2"/>
        <v>46118</v>
      </c>
      <c r="H9" s="21">
        <v>0</v>
      </c>
      <c r="I9" s="5">
        <v>1468</v>
      </c>
      <c r="J9" s="22" t="str">
        <f t="shared" si="3"/>
        <v>Offer 1</v>
      </c>
      <c r="K9" s="59">
        <v>1.9E-2</v>
      </c>
      <c r="L9" s="23">
        <f t="shared" si="4"/>
        <v>1500</v>
      </c>
      <c r="M9" s="23">
        <f t="shared" si="5"/>
        <v>1500</v>
      </c>
      <c r="N9" s="23">
        <f t="shared" si="6"/>
        <v>1515</v>
      </c>
      <c r="O9" s="23">
        <f t="shared" si="7"/>
        <v>1545</v>
      </c>
      <c r="P9" s="4" t="s">
        <v>222</v>
      </c>
      <c r="Q9" s="61">
        <v>46085</v>
      </c>
      <c r="R9" s="4"/>
      <c r="S9" s="4"/>
      <c r="T9" s="4" t="s">
        <v>637</v>
      </c>
      <c r="U9" s="6" t="s">
        <v>627</v>
      </c>
      <c r="V9" s="23">
        <f>IF(C9="","",IFERROR(VLOOKUP(C9,SETUP!$A$9:$D$24,2,0),"⚠ Check SETUP"))</f>
        <v>1595</v>
      </c>
      <c r="W9" s="23">
        <f>IF(C9="","",IFERROR(VLOOKUP(C9,SETUP!$A$9:$D$24,3,0),"⚠ Check SETUP"))</f>
        <v>1504</v>
      </c>
      <c r="X9" s="22" t="str">
        <f>IF(C9="","",IFERROR(VLOOKUP(C9,SETUP!$A$9:$D$24,4,0),"⚠ Check SETUP"))</f>
        <v>Under</v>
      </c>
      <c r="Y9" s="24">
        <f t="shared" si="8"/>
        <v>2.1798365122615803E-2</v>
      </c>
      <c r="Z9" s="24">
        <f t="shared" si="9"/>
        <v>3.2016348773841963E-2</v>
      </c>
      <c r="AA9" s="24">
        <f t="shared" si="10"/>
        <v>5.2452316076294275E-2</v>
      </c>
      <c r="AB9" s="24">
        <f t="shared" si="11"/>
        <v>2.1798365122615803E-2</v>
      </c>
    </row>
    <row r="10" spans="1:28" ht="19.5" customHeight="1" x14ac:dyDescent="0.25">
      <c r="A10" s="6" t="s">
        <v>148</v>
      </c>
      <c r="B10" s="60" t="s">
        <v>164</v>
      </c>
      <c r="C10" s="4" t="s">
        <v>100</v>
      </c>
      <c r="D10" s="19">
        <v>46148</v>
      </c>
      <c r="E10" s="20">
        <f t="shared" si="0"/>
        <v>46058</v>
      </c>
      <c r="F10" s="20">
        <f t="shared" si="1"/>
        <v>46088</v>
      </c>
      <c r="G10" s="20">
        <f t="shared" si="2"/>
        <v>46118</v>
      </c>
      <c r="H10" s="21">
        <v>500</v>
      </c>
      <c r="I10" s="5">
        <v>1867</v>
      </c>
      <c r="J10" s="22" t="str">
        <f t="shared" si="3"/>
        <v>Offer 1</v>
      </c>
      <c r="K10" s="59">
        <v>0</v>
      </c>
      <c r="L10" s="23">
        <f t="shared" si="4"/>
        <v>1870</v>
      </c>
      <c r="M10" s="23">
        <f t="shared" si="5"/>
        <v>1905</v>
      </c>
      <c r="N10" s="23">
        <f t="shared" si="6"/>
        <v>1925</v>
      </c>
      <c r="O10" s="23">
        <f t="shared" si="7"/>
        <v>1965</v>
      </c>
      <c r="P10" s="4" t="s">
        <v>222</v>
      </c>
      <c r="Q10" s="61">
        <v>46111</v>
      </c>
      <c r="R10" s="4"/>
      <c r="S10" s="4"/>
      <c r="T10" s="4" t="s">
        <v>638</v>
      </c>
      <c r="U10" s="6" t="s">
        <v>654</v>
      </c>
      <c r="V10" s="23">
        <f>IF(C10="","",IFERROR(VLOOKUP(C10,SETUP!$A$9:$D$24,2,0),"⚠ Check SETUP"))</f>
        <v>1595</v>
      </c>
      <c r="W10" s="23">
        <f>IF(C10="","",IFERROR(VLOOKUP(C10,SETUP!$A$9:$D$24,3,0),"⚠ Check SETUP"))</f>
        <v>1806</v>
      </c>
      <c r="X10" s="22" t="str">
        <f>IF(C10="","",IFERROR(VLOOKUP(C10,SETUP!$A$9:$D$24,4,0),"⚠ Check SETUP"))</f>
        <v>Under</v>
      </c>
      <c r="Y10" s="24">
        <f t="shared" si="8"/>
        <v>2.0353508302088912E-2</v>
      </c>
      <c r="Z10" s="24">
        <f t="shared" si="9"/>
        <v>3.1065881092662024E-2</v>
      </c>
      <c r="AA10" s="24">
        <f t="shared" si="10"/>
        <v>5.2490626673808251E-2</v>
      </c>
      <c r="AB10" s="24">
        <f t="shared" si="11"/>
        <v>1.6068559185859668E-3</v>
      </c>
    </row>
    <row r="11" spans="1:28" ht="19.5" customHeight="1" x14ac:dyDescent="0.25">
      <c r="A11" s="6" t="s">
        <v>150</v>
      </c>
      <c r="B11" s="60" t="s">
        <v>166</v>
      </c>
      <c r="C11" s="4" t="s">
        <v>98</v>
      </c>
      <c r="D11" s="19">
        <v>46152</v>
      </c>
      <c r="E11" s="20">
        <f t="shared" si="0"/>
        <v>46062</v>
      </c>
      <c r="F11" s="20">
        <f t="shared" si="1"/>
        <v>46092</v>
      </c>
      <c r="G11" s="20">
        <f t="shared" si="2"/>
        <v>46122</v>
      </c>
      <c r="H11" s="21">
        <v>1399</v>
      </c>
      <c r="I11" s="5">
        <v>1539</v>
      </c>
      <c r="J11" s="22" t="str">
        <f t="shared" si="3"/>
        <v>Offer 1</v>
      </c>
      <c r="K11" s="59">
        <v>0</v>
      </c>
      <c r="L11" s="23">
        <f t="shared" si="4"/>
        <v>1540</v>
      </c>
      <c r="M11" s="23">
        <f t="shared" si="5"/>
        <v>1590</v>
      </c>
      <c r="N11" s="23">
        <f t="shared" si="6"/>
        <v>1620</v>
      </c>
      <c r="O11" s="23">
        <f t="shared" si="7"/>
        <v>1665</v>
      </c>
      <c r="P11" s="4" t="s">
        <v>222</v>
      </c>
      <c r="Q11" s="61">
        <v>46072</v>
      </c>
      <c r="R11" s="4"/>
      <c r="S11" s="4"/>
      <c r="T11" s="4" t="s">
        <v>639</v>
      </c>
      <c r="U11" s="6" t="s">
        <v>629</v>
      </c>
      <c r="V11" s="23">
        <f>IF(C11="","",IFERROR(VLOOKUP(C11,SETUP!$A$9:$D$24,2,0),"⚠ Check SETUP"))</f>
        <v>1421</v>
      </c>
      <c r="W11" s="23">
        <f>IF(C11="","",IFERROR(VLOOKUP(C11,SETUP!$A$9:$D$24,3,0),"⚠ Check SETUP"))</f>
        <v>1424</v>
      </c>
      <c r="X11" s="22" t="str">
        <f>IF(C11="","",IFERROR(VLOOKUP(C11,SETUP!$A$9:$D$24,4,0),"⚠ Check SETUP"))</f>
        <v>Over</v>
      </c>
      <c r="Y11" s="24">
        <f t="shared" si="8"/>
        <v>3.3138401559454189E-2</v>
      </c>
      <c r="Z11" s="24">
        <f t="shared" si="9"/>
        <v>5.2631578947368418E-2</v>
      </c>
      <c r="AA11" s="24">
        <f t="shared" si="10"/>
        <v>8.1871345029239762E-2</v>
      </c>
      <c r="AB11" s="24">
        <f t="shared" si="11"/>
        <v>6.4977257959714096E-4</v>
      </c>
    </row>
    <row r="12" spans="1:28" ht="19.5" customHeight="1" x14ac:dyDescent="0.25">
      <c r="A12" s="6" t="s">
        <v>151</v>
      </c>
      <c r="B12" s="60" t="s">
        <v>167</v>
      </c>
      <c r="C12" s="4" t="s">
        <v>100</v>
      </c>
      <c r="D12" s="19">
        <v>46153</v>
      </c>
      <c r="E12" s="20">
        <f t="shared" si="0"/>
        <v>46063</v>
      </c>
      <c r="F12" s="20">
        <f t="shared" si="1"/>
        <v>46093</v>
      </c>
      <c r="G12" s="20">
        <f t="shared" si="2"/>
        <v>46123</v>
      </c>
      <c r="H12" s="21">
        <v>0</v>
      </c>
      <c r="I12" s="5">
        <v>1821</v>
      </c>
      <c r="J12" s="22" t="str">
        <f t="shared" si="3"/>
        <v>Offer 1</v>
      </c>
      <c r="K12" s="59">
        <v>0</v>
      </c>
      <c r="L12" s="23">
        <f t="shared" si="4"/>
        <v>1825</v>
      </c>
      <c r="M12" s="23">
        <f t="shared" si="5"/>
        <v>1860</v>
      </c>
      <c r="N12" s="23">
        <f t="shared" si="6"/>
        <v>1880</v>
      </c>
      <c r="O12" s="23">
        <f t="shared" si="7"/>
        <v>1915</v>
      </c>
      <c r="P12" s="4" t="s">
        <v>222</v>
      </c>
      <c r="Q12" s="61">
        <v>46111</v>
      </c>
      <c r="R12" s="4"/>
      <c r="S12" s="4"/>
      <c r="T12" s="4" t="s">
        <v>640</v>
      </c>
      <c r="U12" s="6" t="s">
        <v>654</v>
      </c>
      <c r="V12" s="23">
        <f>IF(C12="","",IFERROR(VLOOKUP(C12,SETUP!$A$9:$D$24,2,0),"⚠ Check SETUP"))</f>
        <v>1595</v>
      </c>
      <c r="W12" s="23">
        <f>IF(C12="","",IFERROR(VLOOKUP(C12,SETUP!$A$9:$D$24,3,0),"⚠ Check SETUP"))</f>
        <v>1806</v>
      </c>
      <c r="X12" s="22" t="str">
        <f>IF(C12="","",IFERROR(VLOOKUP(C12,SETUP!$A$9:$D$24,4,0),"⚠ Check SETUP"))</f>
        <v>Under</v>
      </c>
      <c r="Y12" s="24">
        <f t="shared" si="8"/>
        <v>2.1416803953871501E-2</v>
      </c>
      <c r="Z12" s="24">
        <f t="shared" si="9"/>
        <v>3.2399780340472265E-2</v>
      </c>
      <c r="AA12" s="24">
        <f t="shared" si="10"/>
        <v>5.1619989017023617E-2</v>
      </c>
      <c r="AB12" s="24">
        <f t="shared" si="11"/>
        <v>2.1965952773201538E-3</v>
      </c>
    </row>
    <row r="13" spans="1:28" ht="19.5" customHeight="1" x14ac:dyDescent="0.25">
      <c r="A13" s="6" t="s">
        <v>152</v>
      </c>
      <c r="B13" s="60" t="s">
        <v>168</v>
      </c>
      <c r="C13" s="4" t="s">
        <v>107</v>
      </c>
      <c r="D13" s="19">
        <v>46160</v>
      </c>
      <c r="E13" s="20">
        <f t="shared" si="0"/>
        <v>46070</v>
      </c>
      <c r="F13" s="20">
        <f t="shared" si="1"/>
        <v>46100</v>
      </c>
      <c r="G13" s="20">
        <f t="shared" si="2"/>
        <v>46130</v>
      </c>
      <c r="H13" s="21">
        <v>1308</v>
      </c>
      <c r="I13" s="5"/>
      <c r="J13" s="22" t="str">
        <f t="shared" si="3"/>
        <v/>
      </c>
      <c r="K13" s="59">
        <v>0</v>
      </c>
      <c r="L13" s="23" t="str">
        <f t="shared" si="4"/>
        <v/>
      </c>
      <c r="M13" s="23" t="str">
        <f t="shared" si="5"/>
        <v/>
      </c>
      <c r="N13" s="23" t="str">
        <f t="shared" si="6"/>
        <v/>
      </c>
      <c r="O13" s="23" t="str">
        <f t="shared" si="7"/>
        <v/>
      </c>
      <c r="P13" s="4"/>
      <c r="Q13" s="4"/>
      <c r="R13" s="61">
        <v>46143</v>
      </c>
      <c r="S13" s="61"/>
      <c r="T13" s="4" t="s">
        <v>641</v>
      </c>
      <c r="U13" s="6" t="s">
        <v>612</v>
      </c>
      <c r="V13" s="23">
        <f>IF(C13="","",IFERROR(VLOOKUP(C13,SETUP!$A$9:$D$24,2,0),"⚠ Check SETUP"))</f>
        <v>1365</v>
      </c>
      <c r="W13" s="23">
        <f>IF(C13="","",IFERROR(VLOOKUP(C13,SETUP!$A$9:$D$24,3,0),"⚠ Check SETUP"))</f>
        <v>1377</v>
      </c>
      <c r="X13" s="22" t="str">
        <f>IF(C13="","",IFERROR(VLOOKUP(C13,SETUP!$A$9:$D$24,4,0),"⚠ Check SETUP"))</f>
        <v>Under</v>
      </c>
      <c r="Y13" s="24" t="str">
        <f t="shared" si="8"/>
        <v/>
      </c>
      <c r="Z13" s="24" t="str">
        <f t="shared" si="9"/>
        <v/>
      </c>
      <c r="AA13" s="24" t="str">
        <f t="shared" si="10"/>
        <v/>
      </c>
      <c r="AB13" s="24" t="str">
        <f t="shared" si="11"/>
        <v/>
      </c>
    </row>
    <row r="14" spans="1:28" ht="19.5" customHeight="1" x14ac:dyDescent="0.25">
      <c r="A14" s="6" t="s">
        <v>153</v>
      </c>
      <c r="B14" s="60" t="s">
        <v>169</v>
      </c>
      <c r="C14" s="4" t="s">
        <v>101</v>
      </c>
      <c r="D14" s="19">
        <v>46166</v>
      </c>
      <c r="E14" s="20">
        <f t="shared" si="0"/>
        <v>46076</v>
      </c>
      <c r="F14" s="20">
        <f t="shared" si="1"/>
        <v>46106</v>
      </c>
      <c r="G14" s="20">
        <f t="shared" si="2"/>
        <v>46136</v>
      </c>
      <c r="H14" s="21">
        <v>1997</v>
      </c>
      <c r="I14" s="5">
        <v>1997</v>
      </c>
      <c r="J14" s="22" t="str">
        <f t="shared" si="3"/>
        <v>Offer 1</v>
      </c>
      <c r="K14" s="59">
        <v>0</v>
      </c>
      <c r="L14" s="23">
        <f t="shared" si="4"/>
        <v>2000</v>
      </c>
      <c r="M14" s="23">
        <f t="shared" si="5"/>
        <v>2040</v>
      </c>
      <c r="N14" s="23">
        <f t="shared" si="6"/>
        <v>2060</v>
      </c>
      <c r="O14" s="23">
        <f t="shared" si="7"/>
        <v>2100</v>
      </c>
      <c r="P14" s="4"/>
      <c r="Q14" s="4"/>
      <c r="R14" s="4"/>
      <c r="S14" s="61">
        <v>46077</v>
      </c>
      <c r="T14" s="4" t="s">
        <v>642</v>
      </c>
      <c r="U14" s="6" t="s">
        <v>611</v>
      </c>
      <c r="V14" s="23">
        <f>IF(C14="","",IFERROR(VLOOKUP(C14,SETUP!$A$9:$D$24,2,0),"⚠ Check SETUP"))</f>
        <v>1880</v>
      </c>
      <c r="W14" s="23">
        <f>IF(C14="","",IFERROR(VLOOKUP(C14,SETUP!$A$9:$D$24,3,0),"⚠ Check SETUP"))</f>
        <v>1976</v>
      </c>
      <c r="X14" s="22" t="str">
        <f>IF(C14="","",IFERROR(VLOOKUP(C14,SETUP!$A$9:$D$24,4,0),"⚠ Check SETUP"))</f>
        <v>Under</v>
      </c>
      <c r="Y14" s="24">
        <f t="shared" si="8"/>
        <v>2.1532298447671506E-2</v>
      </c>
      <c r="Z14" s="24">
        <f t="shared" si="9"/>
        <v>3.1547320981472206E-2</v>
      </c>
      <c r="AA14" s="24">
        <f t="shared" si="10"/>
        <v>5.1577366049073613E-2</v>
      </c>
      <c r="AB14" s="24" t="str">
        <f t="shared" si="11"/>
        <v/>
      </c>
    </row>
    <row r="15" spans="1:28" ht="19.5" customHeight="1" x14ac:dyDescent="0.25">
      <c r="A15" s="6" t="s">
        <v>154</v>
      </c>
      <c r="B15" s="60" t="s">
        <v>170</v>
      </c>
      <c r="C15" s="4" t="s">
        <v>100</v>
      </c>
      <c r="D15" s="19">
        <v>46166</v>
      </c>
      <c r="E15" s="20">
        <f t="shared" si="0"/>
        <v>46076</v>
      </c>
      <c r="F15" s="20">
        <f t="shared" si="1"/>
        <v>46106</v>
      </c>
      <c r="G15" s="20">
        <f t="shared" si="2"/>
        <v>46136</v>
      </c>
      <c r="H15" s="21">
        <v>0</v>
      </c>
      <c r="I15" s="5">
        <v>1804</v>
      </c>
      <c r="J15" s="22" t="str">
        <f t="shared" si="3"/>
        <v>Offer 1</v>
      </c>
      <c r="K15" s="59">
        <v>0.02</v>
      </c>
      <c r="L15" s="23">
        <f t="shared" si="4"/>
        <v>1845</v>
      </c>
      <c r="M15" s="23">
        <f t="shared" si="5"/>
        <v>1845</v>
      </c>
      <c r="N15" s="23">
        <f t="shared" si="6"/>
        <v>1860</v>
      </c>
      <c r="O15" s="23">
        <f t="shared" si="7"/>
        <v>1895</v>
      </c>
      <c r="P15" s="4"/>
      <c r="Q15" s="4"/>
      <c r="R15" s="4"/>
      <c r="S15" s="61">
        <v>46090</v>
      </c>
      <c r="T15" s="4" t="s">
        <v>643</v>
      </c>
      <c r="U15" s="6" t="s">
        <v>649</v>
      </c>
      <c r="V15" s="23">
        <f>IF(C15="","",IFERROR(VLOOKUP(C15,SETUP!$A$9:$D$24,2,0),"⚠ Check SETUP"))</f>
        <v>1595</v>
      </c>
      <c r="W15" s="23">
        <f>IF(C15="","",IFERROR(VLOOKUP(C15,SETUP!$A$9:$D$24,3,0),"⚠ Check SETUP"))</f>
        <v>1806</v>
      </c>
      <c r="X15" s="22" t="str">
        <f>IF(C15="","",IFERROR(VLOOKUP(C15,SETUP!$A$9:$D$24,4,0),"⚠ Check SETUP"))</f>
        <v>Under</v>
      </c>
      <c r="Y15" s="24">
        <f t="shared" si="8"/>
        <v>2.2727272727272728E-2</v>
      </c>
      <c r="Z15" s="24">
        <f t="shared" si="9"/>
        <v>3.1042128603104215E-2</v>
      </c>
      <c r="AA15" s="24">
        <f t="shared" si="10"/>
        <v>5.0443458980044348E-2</v>
      </c>
      <c r="AB15" s="24" t="str">
        <f t="shared" si="11"/>
        <v/>
      </c>
    </row>
    <row r="16" spans="1:28" ht="19.5" customHeight="1" x14ac:dyDescent="0.25">
      <c r="A16" s="6" t="s">
        <v>156</v>
      </c>
      <c r="B16" s="60" t="s">
        <v>172</v>
      </c>
      <c r="C16" s="4" t="s">
        <v>99</v>
      </c>
      <c r="D16" s="19">
        <v>46169</v>
      </c>
      <c r="E16" s="20">
        <f t="shared" si="0"/>
        <v>46079</v>
      </c>
      <c r="F16" s="20">
        <f t="shared" si="1"/>
        <v>46109</v>
      </c>
      <c r="G16" s="20">
        <f t="shared" si="2"/>
        <v>46139</v>
      </c>
      <c r="H16" s="21">
        <v>0</v>
      </c>
      <c r="I16" s="5">
        <v>1530</v>
      </c>
      <c r="J16" s="22" t="str">
        <f t="shared" si="3"/>
        <v>Offer 1</v>
      </c>
      <c r="K16" s="59">
        <v>1.7999999999999999E-2</v>
      </c>
      <c r="L16" s="23">
        <f t="shared" si="4"/>
        <v>1560</v>
      </c>
      <c r="M16" s="23">
        <f t="shared" si="5"/>
        <v>1565</v>
      </c>
      <c r="N16" s="23">
        <f t="shared" si="6"/>
        <v>1580</v>
      </c>
      <c r="O16" s="23">
        <f t="shared" si="7"/>
        <v>1610</v>
      </c>
      <c r="P16" s="4" t="s">
        <v>222</v>
      </c>
      <c r="Q16" s="61">
        <v>46088</v>
      </c>
      <c r="R16" s="4"/>
      <c r="S16" s="4"/>
      <c r="T16" s="4" t="s">
        <v>644</v>
      </c>
      <c r="U16" s="6" t="s">
        <v>655</v>
      </c>
      <c r="V16" s="23">
        <f>IF(C16="","",IFERROR(VLOOKUP(C16,SETUP!$A$9:$D$24,2,0),"⚠ Check SETUP"))</f>
        <v>1719</v>
      </c>
      <c r="W16" s="23">
        <f>IF(C16="","",IFERROR(VLOOKUP(C16,SETUP!$A$9:$D$24,3,0),"⚠ Check SETUP"))</f>
        <v>1561</v>
      </c>
      <c r="X16" s="22" t="str">
        <f>IF(C16="","",IFERROR(VLOOKUP(C16,SETUP!$A$9:$D$24,4,0),"⚠ Check SETUP"))</f>
        <v>Under</v>
      </c>
      <c r="Y16" s="24">
        <f t="shared" si="8"/>
        <v>2.2875816993464051E-2</v>
      </c>
      <c r="Z16" s="24">
        <f t="shared" si="9"/>
        <v>3.2679738562091505E-2</v>
      </c>
      <c r="AA16" s="24">
        <f t="shared" si="10"/>
        <v>5.2287581699346407E-2</v>
      </c>
      <c r="AB16" s="24">
        <f t="shared" si="11"/>
        <v>1.9607843137254902E-2</v>
      </c>
    </row>
    <row r="17" spans="1:28" ht="19.5" customHeight="1" x14ac:dyDescent="0.25">
      <c r="A17" s="6" t="s">
        <v>155</v>
      </c>
      <c r="B17" s="60" t="s">
        <v>171</v>
      </c>
      <c r="C17" s="4" t="s">
        <v>107</v>
      </c>
      <c r="D17" s="19">
        <v>46169</v>
      </c>
      <c r="E17" s="20">
        <f t="shared" si="0"/>
        <v>46079</v>
      </c>
      <c r="F17" s="20">
        <f t="shared" si="1"/>
        <v>46109</v>
      </c>
      <c r="G17" s="20">
        <f t="shared" si="2"/>
        <v>46139</v>
      </c>
      <c r="H17" s="21">
        <v>0</v>
      </c>
      <c r="I17" s="5"/>
      <c r="J17" s="22" t="str">
        <f t="shared" si="3"/>
        <v/>
      </c>
      <c r="K17" s="59">
        <v>0</v>
      </c>
      <c r="L17" s="23" t="str">
        <f t="shared" si="4"/>
        <v/>
      </c>
      <c r="M17" s="23" t="str">
        <f t="shared" si="5"/>
        <v/>
      </c>
      <c r="N17" s="23" t="str">
        <f t="shared" si="6"/>
        <v/>
      </c>
      <c r="O17" s="23" t="str">
        <f t="shared" si="7"/>
        <v/>
      </c>
      <c r="P17" s="4"/>
      <c r="Q17" s="4"/>
      <c r="R17" s="4"/>
      <c r="S17" s="61">
        <v>46091</v>
      </c>
      <c r="T17" s="4" t="s">
        <v>645</v>
      </c>
      <c r="U17" s="6" t="s">
        <v>250</v>
      </c>
      <c r="V17" s="23">
        <f>IF(C17="","",IFERROR(VLOOKUP(C17,SETUP!$A$9:$D$24,2,0),"⚠ Check SETUP"))</f>
        <v>1365</v>
      </c>
      <c r="W17" s="23">
        <f>IF(C17="","",IFERROR(VLOOKUP(C17,SETUP!$A$9:$D$24,3,0),"⚠ Check SETUP"))</f>
        <v>1377</v>
      </c>
      <c r="X17" s="22" t="str">
        <f>IF(C17="","",IFERROR(VLOOKUP(C17,SETUP!$A$9:$D$24,4,0),"⚠ Check SETUP"))</f>
        <v>Under</v>
      </c>
      <c r="Y17" s="24" t="str">
        <f t="shared" si="8"/>
        <v/>
      </c>
      <c r="Z17" s="24" t="str">
        <f t="shared" si="9"/>
        <v/>
      </c>
      <c r="AA17" s="24" t="str">
        <f t="shared" si="10"/>
        <v/>
      </c>
      <c r="AB17" s="24" t="str">
        <f t="shared" si="11"/>
        <v/>
      </c>
    </row>
    <row r="18" spans="1:28" ht="19.5" customHeight="1" x14ac:dyDescent="0.25">
      <c r="A18" s="6" t="s">
        <v>158</v>
      </c>
      <c r="B18" s="60" t="s">
        <v>174</v>
      </c>
      <c r="C18" s="4" t="s">
        <v>103</v>
      </c>
      <c r="D18" s="19">
        <v>46173</v>
      </c>
      <c r="E18" s="20">
        <f t="shared" si="0"/>
        <v>46083</v>
      </c>
      <c r="F18" s="20">
        <f t="shared" si="1"/>
        <v>46113</v>
      </c>
      <c r="G18" s="20">
        <f t="shared" si="2"/>
        <v>46143</v>
      </c>
      <c r="H18" s="21">
        <v>0</v>
      </c>
      <c r="I18" s="5">
        <v>1814</v>
      </c>
      <c r="J18" s="22" t="str">
        <f t="shared" si="3"/>
        <v>Offer 1</v>
      </c>
      <c r="K18" s="59">
        <v>0</v>
      </c>
      <c r="L18" s="23">
        <f t="shared" si="4"/>
        <v>1815</v>
      </c>
      <c r="M18" s="23">
        <f t="shared" si="5"/>
        <v>1870</v>
      </c>
      <c r="N18" s="23">
        <f t="shared" si="6"/>
        <v>1905</v>
      </c>
      <c r="O18" s="23">
        <f t="shared" si="7"/>
        <v>1960</v>
      </c>
      <c r="P18" s="4" t="s">
        <v>222</v>
      </c>
      <c r="Q18" s="61">
        <v>46113</v>
      </c>
      <c r="R18" s="4"/>
      <c r="S18" s="4"/>
      <c r="T18" s="4" t="s">
        <v>646</v>
      </c>
      <c r="U18" s="6" t="s">
        <v>656</v>
      </c>
      <c r="V18" s="23">
        <f>IF(C18="","",IFERROR(VLOOKUP(C18,SETUP!$A$9:$D$24,2,0),"⚠ Check SETUP"))</f>
        <v>1860</v>
      </c>
      <c r="W18" s="23">
        <f>IF(C18="","",IFERROR(VLOOKUP(C18,SETUP!$A$9:$D$24,3,0),"⚠ Check SETUP"))</f>
        <v>1776</v>
      </c>
      <c r="X18" s="22" t="str">
        <f>IF(C18="","",IFERROR(VLOOKUP(C18,SETUP!$A$9:$D$24,4,0),"⚠ Check SETUP"))</f>
        <v>Over</v>
      </c>
      <c r="Y18" s="24">
        <f t="shared" si="8"/>
        <v>3.0871003307607496E-2</v>
      </c>
      <c r="Z18" s="24">
        <f t="shared" si="9"/>
        <v>5.0165380374862185E-2</v>
      </c>
      <c r="AA18" s="24">
        <f t="shared" si="10"/>
        <v>8.0485115766262397E-2</v>
      </c>
      <c r="AB18" s="24">
        <f t="shared" si="11"/>
        <v>5.5126791620727675E-4</v>
      </c>
    </row>
    <row r="19" spans="1:28" ht="19.5" customHeight="1" x14ac:dyDescent="0.25">
      <c r="A19" s="6" t="s">
        <v>157</v>
      </c>
      <c r="B19" s="60" t="s">
        <v>173</v>
      </c>
      <c r="C19" s="4" t="s">
        <v>95</v>
      </c>
      <c r="D19" s="19">
        <v>46173</v>
      </c>
      <c r="E19" s="20">
        <f t="shared" si="0"/>
        <v>46083</v>
      </c>
      <c r="F19" s="20">
        <f t="shared" si="1"/>
        <v>46113</v>
      </c>
      <c r="G19" s="20">
        <f t="shared" si="2"/>
        <v>46143</v>
      </c>
      <c r="H19" s="21">
        <v>0</v>
      </c>
      <c r="I19" s="5">
        <v>1574</v>
      </c>
      <c r="J19" s="22" t="str">
        <f t="shared" si="3"/>
        <v>Offer 1</v>
      </c>
      <c r="K19" s="59">
        <v>0</v>
      </c>
      <c r="L19" s="23">
        <f t="shared" si="4"/>
        <v>1575</v>
      </c>
      <c r="M19" s="23">
        <f t="shared" si="5"/>
        <v>1610</v>
      </c>
      <c r="N19" s="23">
        <f t="shared" si="6"/>
        <v>1625</v>
      </c>
      <c r="O19" s="23">
        <f t="shared" si="7"/>
        <v>1655</v>
      </c>
      <c r="P19" s="4" t="s">
        <v>222</v>
      </c>
      <c r="Q19" s="61">
        <v>46098</v>
      </c>
      <c r="R19" s="4"/>
      <c r="S19" s="4"/>
      <c r="T19" s="4" t="s">
        <v>647</v>
      </c>
      <c r="U19" s="6" t="s">
        <v>657</v>
      </c>
      <c r="V19" s="23">
        <f>IF(C19="","",IFERROR(VLOOKUP(C19,SETUP!$A$9:$D$24,2,0),"⚠ Check SETUP"))</f>
        <v>1595</v>
      </c>
      <c r="W19" s="23">
        <f>IF(C19="","",IFERROR(VLOOKUP(C19,SETUP!$A$9:$D$24,3,0),"⚠ Check SETUP"))</f>
        <v>1504</v>
      </c>
      <c r="X19" s="22" t="str">
        <f>IF(C19="","",IFERROR(VLOOKUP(C19,SETUP!$A$9:$D$24,4,0),"⚠ Check SETUP"))</f>
        <v>Under</v>
      </c>
      <c r="Y19" s="24">
        <f t="shared" si="8"/>
        <v>2.2871664548919948E-2</v>
      </c>
      <c r="Z19" s="24">
        <f t="shared" si="9"/>
        <v>3.2401524777636595E-2</v>
      </c>
      <c r="AA19" s="24">
        <f t="shared" si="10"/>
        <v>5.1461245235069883E-2</v>
      </c>
      <c r="AB19" s="24">
        <f t="shared" si="11"/>
        <v>6.3532401524777639E-4</v>
      </c>
    </row>
    <row r="21" spans="1:28" ht="25.5" customHeight="1" x14ac:dyDescent="0.25">
      <c r="A21" s="94" t="s">
        <v>66</v>
      </c>
      <c r="B21" s="94"/>
      <c r="C21" s="94"/>
      <c r="D21" s="94"/>
      <c r="E21" s="94"/>
      <c r="F21" s="94"/>
      <c r="G21" s="94"/>
      <c r="H21" s="27"/>
    </row>
    <row r="22" spans="1:28" ht="21.75" customHeight="1" x14ac:dyDescent="0.25">
      <c r="A22" s="28" t="s">
        <v>67</v>
      </c>
      <c r="B22" s="28" t="s">
        <v>68</v>
      </c>
      <c r="C22" s="28" t="s">
        <v>69</v>
      </c>
      <c r="D22" s="28" t="s">
        <v>70</v>
      </c>
      <c r="E22" s="28" t="s">
        <v>71</v>
      </c>
      <c r="F22" s="27"/>
      <c r="G22" s="27"/>
      <c r="H22" s="27"/>
    </row>
    <row r="23" spans="1:28" ht="21.75" customHeight="1" x14ac:dyDescent="0.25">
      <c r="A23" s="29" t="s">
        <v>72</v>
      </c>
      <c r="B23" s="30">
        <f>COUNTA(A4:A19)</f>
        <v>16</v>
      </c>
      <c r="C23" s="31"/>
      <c r="D23" s="31"/>
      <c r="E23" s="31"/>
      <c r="F23" s="27"/>
      <c r="G23" s="27"/>
      <c r="H23" s="27"/>
    </row>
    <row r="24" spans="1:28" ht="21.75" customHeight="1" x14ac:dyDescent="0.25">
      <c r="A24" s="32" t="s">
        <v>73</v>
      </c>
      <c r="B24" s="33">
        <f>COUNTA(Q4:Q19)</f>
        <v>11</v>
      </c>
      <c r="C24" s="34">
        <f>IFERROR(B24/B23,"-")</f>
        <v>0.6875</v>
      </c>
      <c r="D24" s="34">
        <f>IFERROR(B24/(B24+B25),"-")</f>
        <v>0.7857142857142857</v>
      </c>
      <c r="E24" s="35" t="str">
        <f>IF(B23=0,"Awaiting data",IF(B24/B23&gt;=0.6,"On Track ✓","Needs Attention ⚠"))</f>
        <v>On Track ✓</v>
      </c>
      <c r="F24" s="27"/>
      <c r="G24" s="27"/>
      <c r="H24" s="27"/>
    </row>
    <row r="25" spans="1:28" ht="21.75" customHeight="1" x14ac:dyDescent="0.25">
      <c r="A25" s="36" t="s">
        <v>74</v>
      </c>
      <c r="B25" s="37">
        <f>COUNTA(S4:S19)</f>
        <v>3</v>
      </c>
      <c r="C25" s="38">
        <f>IFERROR(B25/B23,"-")</f>
        <v>0.1875</v>
      </c>
      <c r="D25" s="38">
        <f>IFERROR(B25/(B24+B25),"-")</f>
        <v>0.21428571428571427</v>
      </c>
      <c r="E25" s="39" t="str">
        <f>IF(B23=0,"Awaiting data",IF(B25/B23&lt;=0.2,"Acceptable","High NTV ⚠"))</f>
        <v>Acceptable</v>
      </c>
      <c r="F25" s="27"/>
      <c r="G25" s="27"/>
      <c r="H25" s="27"/>
    </row>
    <row r="26" spans="1:28" ht="21.75" customHeight="1" x14ac:dyDescent="0.25">
      <c r="A26" s="40" t="s">
        <v>75</v>
      </c>
      <c r="B26" s="41">
        <f>COUNTA(R4:R19)</f>
        <v>2</v>
      </c>
      <c r="C26" s="42">
        <f>IFERROR(B26/B23,"-")</f>
        <v>0.125</v>
      </c>
      <c r="D26" s="43" t="s">
        <v>76</v>
      </c>
      <c r="E26" s="44" t="s">
        <v>77</v>
      </c>
      <c r="F26" s="27"/>
      <c r="G26" s="27"/>
      <c r="H26" s="27"/>
    </row>
    <row r="27" spans="1:28" ht="21.75" customHeight="1" x14ac:dyDescent="0.25">
      <c r="A27" s="45" t="s">
        <v>78</v>
      </c>
      <c r="B27" s="46">
        <f>MAX(0,B23-B24-B25-B26)</f>
        <v>0</v>
      </c>
      <c r="C27" s="47">
        <f>IFERROR(B27/B23,"-")</f>
        <v>0</v>
      </c>
      <c r="D27" s="48" t="s">
        <v>76</v>
      </c>
      <c r="E27" s="49" t="str">
        <f>IF(B27=0,"All accounted for ✓","Follow up needed")</f>
        <v>All accounted for ✓</v>
      </c>
      <c r="F27" s="27"/>
      <c r="G27" s="27"/>
      <c r="H27" s="27"/>
    </row>
    <row r="28" spans="1:28" ht="7.5" customHeight="1" thickBot="1" x14ac:dyDescent="0.3">
      <c r="A28" s="27"/>
      <c r="B28" s="27"/>
      <c r="C28" s="27"/>
      <c r="D28" s="27"/>
      <c r="E28" s="27"/>
      <c r="F28" s="27"/>
      <c r="G28" s="27"/>
      <c r="H28" s="27"/>
    </row>
    <row r="29" spans="1:28" ht="37.5" customHeight="1" thickBot="1" x14ac:dyDescent="0.3">
      <c r="A29" s="95" t="s">
        <v>79</v>
      </c>
      <c r="B29" s="95"/>
      <c r="C29" s="50">
        <f>IFERROR(B24/B23,"-")</f>
        <v>0.6875</v>
      </c>
      <c r="D29" s="96" t="str">
        <f>IF(B23=0,"Enter resident data to calculate",IF(B24/B23&gt;=0.6,"✓ Meeting target retention","⚠ Below target — review offers"))</f>
        <v>✓ Meeting target retention</v>
      </c>
      <c r="E29" s="96"/>
      <c r="F29" s="96"/>
      <c r="G29" s="96"/>
      <c r="H29" s="27"/>
    </row>
    <row r="30" spans="1:28" ht="25.5" customHeight="1" x14ac:dyDescent="0.25">
      <c r="A30" s="97" t="s">
        <v>80</v>
      </c>
      <c r="B30" s="97"/>
      <c r="C30" s="51">
        <f>IFERROR(B24/(B24+B25),"-")</f>
        <v>0.7857142857142857</v>
      </c>
      <c r="D30" s="98" t="s">
        <v>81</v>
      </c>
      <c r="E30" s="98"/>
      <c r="F30" s="98"/>
      <c r="G30" s="98"/>
      <c r="H30" s="27"/>
    </row>
    <row r="31" spans="1:28" ht="18" customHeight="1" x14ac:dyDescent="0.25">
      <c r="A31" s="27"/>
      <c r="B31" s="27"/>
      <c r="C31" s="27"/>
      <c r="D31" s="27"/>
      <c r="E31" s="27"/>
      <c r="F31" s="27"/>
      <c r="G31" s="27"/>
      <c r="H31" s="27"/>
    </row>
    <row r="32" spans="1:28" ht="7.5" customHeight="1" x14ac:dyDescent="0.25">
      <c r="A32" s="27"/>
      <c r="B32" s="27"/>
      <c r="C32" s="27"/>
      <c r="D32" s="27"/>
      <c r="E32" s="27"/>
      <c r="F32" s="27"/>
      <c r="G32" s="27"/>
      <c r="H32" s="27"/>
    </row>
    <row r="33" spans="1:8" ht="21.75" customHeight="1" x14ac:dyDescent="0.25">
      <c r="A33" s="52" t="s">
        <v>82</v>
      </c>
      <c r="B33" s="27"/>
      <c r="C33" s="27"/>
      <c r="D33" s="27"/>
      <c r="E33" s="27"/>
      <c r="F33" s="27"/>
      <c r="G33" s="27"/>
      <c r="H33" s="27"/>
    </row>
    <row r="34" spans="1:8" ht="18" customHeight="1" x14ac:dyDescent="0.25">
      <c r="A34" s="53" t="s">
        <v>83</v>
      </c>
      <c r="B34" s="27"/>
      <c r="C34" s="27"/>
      <c r="D34" s="27"/>
      <c r="E34" s="27"/>
      <c r="F34" s="27"/>
      <c r="G34" s="27"/>
      <c r="H34" s="27"/>
    </row>
    <row r="35" spans="1:8" ht="18" customHeight="1" x14ac:dyDescent="0.25">
      <c r="A35" s="54" t="s">
        <v>84</v>
      </c>
      <c r="B35" s="27"/>
      <c r="C35" s="27"/>
      <c r="D35" s="27"/>
      <c r="E35" s="27"/>
      <c r="F35" s="27"/>
      <c r="G35" s="27"/>
      <c r="H35" s="27"/>
    </row>
    <row r="36" spans="1:8" ht="18" customHeight="1" x14ac:dyDescent="0.25">
      <c r="A36" s="55" t="s">
        <v>85</v>
      </c>
      <c r="B36" s="27"/>
      <c r="C36" s="27"/>
      <c r="D36" s="27"/>
      <c r="E36" s="27"/>
      <c r="F36" s="27"/>
      <c r="G36" s="27"/>
      <c r="H36" s="27"/>
    </row>
    <row r="37" spans="1:8" ht="18" customHeight="1" x14ac:dyDescent="0.25">
      <c r="A37" s="56" t="s">
        <v>86</v>
      </c>
      <c r="B37" s="27"/>
      <c r="C37" s="27"/>
      <c r="D37" s="27"/>
      <c r="E37" s="27"/>
      <c r="F37" s="27"/>
      <c r="G37" s="27"/>
      <c r="H37" s="27"/>
    </row>
    <row r="38" spans="1:8" ht="18" customHeight="1" x14ac:dyDescent="0.25">
      <c r="A38" s="57" t="s">
        <v>87</v>
      </c>
      <c r="B38" s="27"/>
      <c r="C38" s="27"/>
      <c r="D38" s="27"/>
      <c r="E38" s="27"/>
      <c r="F38" s="27"/>
      <c r="G38" s="27"/>
      <c r="H38" s="27"/>
    </row>
    <row r="39" spans="1:8" ht="15" customHeight="1" x14ac:dyDescent="0.25">
      <c r="A39" s="27"/>
      <c r="B39" s="27"/>
      <c r="C39" s="27"/>
      <c r="D39" s="27"/>
      <c r="E39" s="27"/>
      <c r="F39" s="27"/>
      <c r="G39" s="27"/>
      <c r="H39" s="27"/>
    </row>
    <row r="40" spans="1:8" ht="15" customHeight="1" x14ac:dyDescent="0.25">
      <c r="A40" s="27"/>
      <c r="B40" s="27"/>
      <c r="C40" s="27"/>
      <c r="D40" s="27"/>
      <c r="E40" s="27"/>
      <c r="F40" s="27"/>
      <c r="G40" s="27"/>
      <c r="H40" s="27"/>
    </row>
    <row r="41" spans="1:8" ht="15" customHeight="1" x14ac:dyDescent="0.25">
      <c r="A41" s="27"/>
      <c r="B41" s="27"/>
      <c r="C41" s="27"/>
      <c r="D41" s="27"/>
      <c r="E41" s="27"/>
      <c r="F41" s="27"/>
      <c r="G41" s="27"/>
      <c r="H41" s="27"/>
    </row>
    <row r="42" spans="1:8" ht="15" customHeight="1" x14ac:dyDescent="0.25">
      <c r="A42" s="27"/>
      <c r="B42" s="27"/>
      <c r="C42" s="27"/>
      <c r="D42" s="27"/>
      <c r="E42" s="27"/>
      <c r="F42" s="27"/>
      <c r="G42" s="27"/>
      <c r="H42" s="27"/>
    </row>
    <row r="43" spans="1:8" ht="15" customHeight="1" x14ac:dyDescent="0.25">
      <c r="A43" s="27"/>
      <c r="B43" s="27"/>
      <c r="C43" s="27"/>
      <c r="D43" s="27"/>
      <c r="E43" s="27"/>
      <c r="F43" s="27"/>
      <c r="G43" s="27"/>
      <c r="H43" s="27"/>
    </row>
    <row r="44" spans="1:8" ht="15" customHeight="1" x14ac:dyDescent="0.25">
      <c r="A44" s="27"/>
      <c r="B44" s="27"/>
      <c r="C44" s="27"/>
      <c r="D44" s="27"/>
      <c r="E44" s="27"/>
      <c r="F44" s="27"/>
      <c r="G44" s="27"/>
      <c r="H44" s="27"/>
    </row>
    <row r="45" spans="1:8" ht="15" customHeight="1" x14ac:dyDescent="0.25">
      <c r="A45" s="27"/>
      <c r="B45" s="27"/>
      <c r="C45" s="27"/>
      <c r="D45" s="27"/>
      <c r="E45" s="27"/>
      <c r="F45" s="27"/>
      <c r="G45" s="27"/>
      <c r="H45" s="27"/>
    </row>
  </sheetData>
  <mergeCells count="6">
    <mergeCell ref="A1:AB1"/>
    <mergeCell ref="A21:G21"/>
    <mergeCell ref="A29:B29"/>
    <mergeCell ref="D29:G29"/>
    <mergeCell ref="A30:B30"/>
    <mergeCell ref="D30:G30"/>
  </mergeCells>
  <conditionalFormatting sqref="A4:U19">
    <cfRule type="expression" dxfId="26" priority="1">
      <formula>$S4&lt;&gt;""</formula>
    </cfRule>
    <cfRule type="expression" dxfId="25" priority="2">
      <formula>$R4&lt;&gt;""</formula>
    </cfRule>
    <cfRule type="expression" dxfId="24" priority="3">
      <formula>$Q4&lt;&gt;""</formula>
    </cfRule>
  </conditionalFormatting>
  <dataValidations count="1">
    <dataValidation type="list" allowBlank="1" showInputMessage="1" showErrorMessage="1" sqref="P4:P19" xr:uid="{BE45DD52-428A-40C9-B1A6-6F81B1F3BD17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D5E6-95BB-441F-A9C8-18E588B6FB2A}">
  <dimension ref="A1:AB53"/>
  <sheetViews>
    <sheetView zoomScaleNormal="100" workbookViewId="0">
      <pane ySplit="3" topLeftCell="A4" activePane="bottomLeft" state="frozen"/>
      <selection pane="bottomLeft" activeCell="A5" sqref="A5"/>
    </sheetView>
  </sheetViews>
  <sheetFormatPr defaultColWidth="8.5703125" defaultRowHeight="15" customHeight="1" x14ac:dyDescent="0.25"/>
  <cols>
    <col min="1" max="1" width="33.5703125" customWidth="1"/>
    <col min="2" max="2" width="10" customWidth="1"/>
    <col min="3" max="3" width="13.28515625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15.7109375" customWidth="1"/>
    <col min="21" max="21" width="45.7109375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175</v>
      </c>
      <c r="B4" s="60" t="s">
        <v>198</v>
      </c>
      <c r="C4" s="4" t="s">
        <v>13</v>
      </c>
      <c r="D4" s="19">
        <v>46176</v>
      </c>
      <c r="E4" s="20">
        <f t="shared" ref="E4:E27" si="0">IF(D4="","",D4-90)</f>
        <v>46086</v>
      </c>
      <c r="F4" s="20">
        <f t="shared" ref="F4:F27" si="1">IF(D4="","",D4-60)</f>
        <v>46116</v>
      </c>
      <c r="G4" s="20">
        <f t="shared" ref="G4:G27" si="2">IF(D4="","",D4-30)</f>
        <v>46146</v>
      </c>
      <c r="H4" s="21">
        <v>0</v>
      </c>
      <c r="I4" s="5">
        <v>1808</v>
      </c>
      <c r="J4" s="22" t="str">
        <f t="shared" ref="J4:J27" si="3">IF(I4="","",IF(ABS(N4-W4)&lt;=ABS(M4-W4),IF(ABS(N4-W4)&lt;=ABS(O4-W4),"Offer 2","Offer 3"),IF(ABS(M4-W4)&lt;=ABS(O4-W4),"Offer 1","Offer 3")))</f>
        <v>Offer 1</v>
      </c>
      <c r="K4" s="59">
        <v>0</v>
      </c>
      <c r="L4" s="23">
        <f t="shared" ref="L4:L27" si="4">IF(OR(I4="",K4=""),"",CEILING(I4*(1+K4),5))</f>
        <v>1810</v>
      </c>
      <c r="M4" s="23">
        <f t="shared" ref="M4:M27" si="5">IF(I4="","",IF(X4="Under",CEILING(MAX(I4*1.02,MIN(V4,W4)*0.95),5),CEILING(MAX(I4*1.03,MIN(V4,W4)*0.97),5)))</f>
        <v>1845</v>
      </c>
      <c r="N4" s="23">
        <f t="shared" ref="N4:N27" si="6">IF(I4="","",IF(X4="Under",CEILING(MAX(I4*1.03,(V4+W4)/2*0.96),5),CEILING(MAX(I4*1.05,(V4+W4)/2*0.98),5)))</f>
        <v>1865</v>
      </c>
      <c r="O4" s="23">
        <f t="shared" ref="O4:O27" si="7">IF(I4="","",IF(X4="Under",CEILING(MAX(I4*1.05,MIN(V4,W4*1.01)),5),CEILING(MAX(I4*1.08,MIN(V4,W4*1.02)),5)))</f>
        <v>1900</v>
      </c>
      <c r="P4" s="4"/>
      <c r="Q4" s="61">
        <v>5</v>
      </c>
      <c r="R4" s="4"/>
      <c r="S4" s="4"/>
      <c r="T4" s="4" t="s">
        <v>681</v>
      </c>
      <c r="U4" s="6"/>
      <c r="V4" s="23">
        <f>IF(C4="","",IFERROR(VLOOKUP(C4,SETUP!$A$9:$D$24,2,0),"⚠ Check SETUP"))</f>
        <v>1809</v>
      </c>
      <c r="W4" s="23">
        <f>IF(C4="","",IFERROR(VLOOKUP(C4,SETUP!$A$9:$D$24,3,0),"⚠ Check SETUP"))</f>
        <v>1764</v>
      </c>
      <c r="X4" s="22" t="str">
        <f>IF(C4="","",IFERROR(VLOOKUP(C4,SETUP!$A$9:$D$24,4,0),"⚠ Check SETUP"))</f>
        <v>Under</v>
      </c>
      <c r="Y4" s="24">
        <f t="shared" ref="Y4:Y27" si="8">IF(OR(I4="",M4=""),"",(M4-I4)/I4)</f>
        <v>2.0464601769911505E-2</v>
      </c>
      <c r="Z4" s="24">
        <f t="shared" ref="Z4:Z27" si="9">IF(OR(I4="",N4=""),"",(N4-I4)/I4)</f>
        <v>3.1526548672566372E-2</v>
      </c>
      <c r="AA4" s="24">
        <f t="shared" ref="AA4:AA27" si="10">IF(OR(I4="",O4=""),"",(O4-I4)/I4)</f>
        <v>5.0884955752212392E-2</v>
      </c>
      <c r="AB4" s="24" t="str">
        <f t="shared" ref="AB4:AB27" si="11">IF(OR(Q4="",S4&lt;&gt;"",P4="",I4=""),"",IF(P4="Investor Override",IF(L4="","",(L4-I4)/I4),IF(P4="Offer 1",IF(M4="","",(M4-I4)/I4),IF(P4="Offer 2",IF(N4="","",(N4-I4)/I4),IF(P4="Offer 3",IF(O4="","",(O4-I4)/I4),"")))))</f>
        <v/>
      </c>
    </row>
    <row r="5" spans="1:28" ht="19.5" customHeight="1" x14ac:dyDescent="0.25">
      <c r="A5" s="6" t="s">
        <v>177</v>
      </c>
      <c r="B5" s="60" t="s">
        <v>200</v>
      </c>
      <c r="C5" s="4" t="s">
        <v>98</v>
      </c>
      <c r="D5" s="19">
        <v>46177</v>
      </c>
      <c r="E5" s="20">
        <f t="shared" si="0"/>
        <v>46087</v>
      </c>
      <c r="F5" s="20">
        <f t="shared" si="1"/>
        <v>46117</v>
      </c>
      <c r="G5" s="20">
        <f t="shared" si="2"/>
        <v>46147</v>
      </c>
      <c r="H5" s="21">
        <v>1360</v>
      </c>
      <c r="I5" s="5">
        <v>1360</v>
      </c>
      <c r="J5" s="22" t="str">
        <f t="shared" si="3"/>
        <v>Offer 2</v>
      </c>
      <c r="K5" s="59">
        <v>0</v>
      </c>
      <c r="L5" s="23">
        <f t="shared" si="4"/>
        <v>1360</v>
      </c>
      <c r="M5" s="23">
        <f t="shared" si="5"/>
        <v>1405</v>
      </c>
      <c r="N5" s="23">
        <f t="shared" si="6"/>
        <v>1430</v>
      </c>
      <c r="O5" s="23">
        <f t="shared" si="7"/>
        <v>1470</v>
      </c>
      <c r="P5" s="4"/>
      <c r="Q5" s="4"/>
      <c r="R5" s="4"/>
      <c r="S5" s="4">
        <v>5</v>
      </c>
      <c r="T5" s="4" t="s">
        <v>682</v>
      </c>
      <c r="U5" s="6" t="s">
        <v>611</v>
      </c>
      <c r="V5" s="23">
        <f>IF(C5="","",IFERROR(VLOOKUP(C5,SETUP!$A$9:$D$24,2,0),"⚠ Check SETUP"))</f>
        <v>1421</v>
      </c>
      <c r="W5" s="23">
        <f>IF(C5="","",IFERROR(VLOOKUP(C5,SETUP!$A$9:$D$24,3,0),"⚠ Check SETUP"))</f>
        <v>1424</v>
      </c>
      <c r="X5" s="22" t="str">
        <f>IF(C5="","",IFERROR(VLOOKUP(C5,SETUP!$A$9:$D$24,4,0),"⚠ Check SETUP"))</f>
        <v>Over</v>
      </c>
      <c r="Y5" s="24">
        <f t="shared" si="8"/>
        <v>3.3088235294117647E-2</v>
      </c>
      <c r="Z5" s="24">
        <f t="shared" si="9"/>
        <v>5.1470588235294115E-2</v>
      </c>
      <c r="AA5" s="24">
        <f t="shared" si="10"/>
        <v>8.0882352941176475E-2</v>
      </c>
      <c r="AB5" s="24" t="str">
        <f t="shared" si="11"/>
        <v/>
      </c>
    </row>
    <row r="6" spans="1:28" ht="19.5" customHeight="1" x14ac:dyDescent="0.25">
      <c r="A6" s="6" t="s">
        <v>176</v>
      </c>
      <c r="B6" s="60" t="s">
        <v>199</v>
      </c>
      <c r="C6" s="4" t="s">
        <v>104</v>
      </c>
      <c r="D6" s="19">
        <v>46177</v>
      </c>
      <c r="E6" s="20">
        <f t="shared" si="0"/>
        <v>46087</v>
      </c>
      <c r="F6" s="20">
        <f t="shared" si="1"/>
        <v>46117</v>
      </c>
      <c r="G6" s="20">
        <f t="shared" si="2"/>
        <v>46147</v>
      </c>
      <c r="H6" s="21">
        <v>0</v>
      </c>
      <c r="I6" s="5">
        <v>1806</v>
      </c>
      <c r="J6" s="22" t="str">
        <f t="shared" si="3"/>
        <v>Offer 1</v>
      </c>
      <c r="K6" s="59">
        <v>0</v>
      </c>
      <c r="L6" s="23">
        <f t="shared" si="4"/>
        <v>1810</v>
      </c>
      <c r="M6" s="23">
        <f t="shared" si="5"/>
        <v>1845</v>
      </c>
      <c r="N6" s="23">
        <f t="shared" si="6"/>
        <v>1865</v>
      </c>
      <c r="O6" s="23">
        <f t="shared" si="7"/>
        <v>1900</v>
      </c>
      <c r="P6" s="4"/>
      <c r="Q6" s="4"/>
      <c r="R6" s="4"/>
      <c r="S6" s="61">
        <v>46104</v>
      </c>
      <c r="T6" s="4" t="s">
        <v>683</v>
      </c>
      <c r="U6" s="6" t="s">
        <v>251</v>
      </c>
      <c r="V6" s="23">
        <f>IF(C6="","",IFERROR(VLOOKUP(C6,SETUP!$A$9:$D$24,2,0),"⚠ Check SETUP"))</f>
        <v>1880</v>
      </c>
      <c r="W6" s="23">
        <f>IF(C6="","",IFERROR(VLOOKUP(C6,SETUP!$A$9:$D$24,3,0),"⚠ Check SETUP"))</f>
        <v>1789</v>
      </c>
      <c r="X6" s="22" t="str">
        <f>IF(C6="","",IFERROR(VLOOKUP(C6,SETUP!$A$9:$D$24,4,0),"⚠ Check SETUP"))</f>
        <v>Under</v>
      </c>
      <c r="Y6" s="24">
        <f t="shared" si="8"/>
        <v>2.1594684385382059E-2</v>
      </c>
      <c r="Z6" s="24">
        <f t="shared" si="9"/>
        <v>3.2668881506090805E-2</v>
      </c>
      <c r="AA6" s="24">
        <f t="shared" si="10"/>
        <v>5.2048726467331122E-2</v>
      </c>
      <c r="AB6" s="24" t="str">
        <f t="shared" si="11"/>
        <v/>
      </c>
    </row>
    <row r="7" spans="1:28" ht="19.5" customHeight="1" x14ac:dyDescent="0.25">
      <c r="A7" s="6" t="s">
        <v>178</v>
      </c>
      <c r="B7" s="60" t="s">
        <v>201</v>
      </c>
      <c r="C7" s="4" t="s">
        <v>96</v>
      </c>
      <c r="D7" s="19">
        <v>46179</v>
      </c>
      <c r="E7" s="20">
        <f t="shared" si="0"/>
        <v>46089</v>
      </c>
      <c r="F7" s="20">
        <f t="shared" si="1"/>
        <v>46119</v>
      </c>
      <c r="G7" s="20">
        <f t="shared" si="2"/>
        <v>46149</v>
      </c>
      <c r="H7" s="21">
        <v>0</v>
      </c>
      <c r="I7" s="5">
        <v>1621</v>
      </c>
      <c r="J7" s="22" t="str">
        <f t="shared" si="3"/>
        <v>Offer 1</v>
      </c>
      <c r="K7" s="59">
        <v>0</v>
      </c>
      <c r="L7" s="23">
        <f t="shared" si="4"/>
        <v>1625</v>
      </c>
      <c r="M7" s="23">
        <f t="shared" si="5"/>
        <v>1670</v>
      </c>
      <c r="N7" s="23">
        <f t="shared" si="6"/>
        <v>1705</v>
      </c>
      <c r="O7" s="23">
        <f t="shared" si="7"/>
        <v>1755</v>
      </c>
      <c r="P7" s="4"/>
      <c r="Q7" s="61">
        <v>5</v>
      </c>
      <c r="R7" s="4"/>
      <c r="S7" s="4"/>
      <c r="T7" s="4" t="s">
        <v>680</v>
      </c>
      <c r="U7" s="6"/>
      <c r="V7" s="23">
        <f>IF(C7="","",IFERROR(VLOOKUP(C7,SETUP!$A$9:$D$24,2,0),"⚠ Check SETUP"))</f>
        <v>1795</v>
      </c>
      <c r="W7" s="23">
        <f>IF(C7="","",IFERROR(VLOOKUP(C7,SETUP!$A$9:$D$24,3,0),"⚠ Check SETUP"))</f>
        <v>1476</v>
      </c>
      <c r="X7" s="22" t="str">
        <f>IF(C7="","",IFERROR(VLOOKUP(C7,SETUP!$A$9:$D$24,4,0),"⚠ Check SETUP"))</f>
        <v>Over</v>
      </c>
      <c r="Y7" s="24">
        <f t="shared" si="8"/>
        <v>3.0228254164096236E-2</v>
      </c>
      <c r="Z7" s="24">
        <f t="shared" si="9"/>
        <v>5.1819864281307831E-2</v>
      </c>
      <c r="AA7" s="24">
        <f t="shared" si="10"/>
        <v>8.2665021591610113E-2</v>
      </c>
      <c r="AB7" s="24" t="str">
        <f t="shared" si="11"/>
        <v/>
      </c>
    </row>
    <row r="8" spans="1:28" ht="19.5" customHeight="1" x14ac:dyDescent="0.25">
      <c r="A8" s="6" t="s">
        <v>179</v>
      </c>
      <c r="B8" s="60" t="s">
        <v>202</v>
      </c>
      <c r="C8" s="4" t="s">
        <v>98</v>
      </c>
      <c r="D8" s="19">
        <v>46180</v>
      </c>
      <c r="E8" s="20">
        <f t="shared" si="0"/>
        <v>46090</v>
      </c>
      <c r="F8" s="20">
        <f t="shared" si="1"/>
        <v>46120</v>
      </c>
      <c r="G8" s="20">
        <f t="shared" si="2"/>
        <v>46150</v>
      </c>
      <c r="H8" s="21">
        <v>0</v>
      </c>
      <c r="I8" s="5">
        <v>1523</v>
      </c>
      <c r="J8" s="22" t="str">
        <f t="shared" si="3"/>
        <v>Offer 1</v>
      </c>
      <c r="K8" s="59">
        <v>0</v>
      </c>
      <c r="L8" s="23">
        <f t="shared" si="4"/>
        <v>1525</v>
      </c>
      <c r="M8" s="23">
        <f t="shared" si="5"/>
        <v>1570</v>
      </c>
      <c r="N8" s="23">
        <f t="shared" si="6"/>
        <v>1600</v>
      </c>
      <c r="O8" s="23">
        <f t="shared" si="7"/>
        <v>1645</v>
      </c>
      <c r="P8" s="4"/>
      <c r="Q8" s="61">
        <v>5</v>
      </c>
      <c r="R8" s="4"/>
      <c r="S8" s="4"/>
      <c r="T8" s="4" t="s">
        <v>252</v>
      </c>
      <c r="U8" s="6"/>
      <c r="V8" s="23">
        <f>IF(C8="","",IFERROR(VLOOKUP(C8,SETUP!$A$9:$D$24,2,0),"⚠ Check SETUP"))</f>
        <v>1421</v>
      </c>
      <c r="W8" s="23">
        <f>IF(C8="","",IFERROR(VLOOKUP(C8,SETUP!$A$9:$D$24,3,0),"⚠ Check SETUP"))</f>
        <v>1424</v>
      </c>
      <c r="X8" s="22" t="str">
        <f>IF(C8="","",IFERROR(VLOOKUP(C8,SETUP!$A$9:$D$24,4,0),"⚠ Check SETUP"))</f>
        <v>Over</v>
      </c>
      <c r="Y8" s="24">
        <f t="shared" si="8"/>
        <v>3.0860144451739988E-2</v>
      </c>
      <c r="Z8" s="24">
        <f t="shared" si="9"/>
        <v>5.0558108995403805E-2</v>
      </c>
      <c r="AA8" s="24">
        <f t="shared" si="10"/>
        <v>8.0105055810899536E-2</v>
      </c>
      <c r="AB8" s="24" t="str">
        <f t="shared" si="11"/>
        <v/>
      </c>
    </row>
    <row r="9" spans="1:28" ht="19.5" customHeight="1" x14ac:dyDescent="0.25">
      <c r="A9" s="6" t="s">
        <v>180</v>
      </c>
      <c r="B9" s="60" t="s">
        <v>203</v>
      </c>
      <c r="C9" s="4" t="s">
        <v>95</v>
      </c>
      <c r="D9" s="19">
        <v>46184</v>
      </c>
      <c r="E9" s="20">
        <f t="shared" si="0"/>
        <v>46094</v>
      </c>
      <c r="F9" s="20">
        <f t="shared" si="1"/>
        <v>46124</v>
      </c>
      <c r="G9" s="20">
        <f t="shared" si="2"/>
        <v>46154</v>
      </c>
      <c r="H9" s="21">
        <v>500</v>
      </c>
      <c r="I9" s="5">
        <v>1556</v>
      </c>
      <c r="J9" s="22" t="str">
        <f t="shared" si="3"/>
        <v>Offer 1</v>
      </c>
      <c r="K9" s="59">
        <v>0</v>
      </c>
      <c r="L9" s="23">
        <f t="shared" si="4"/>
        <v>1560</v>
      </c>
      <c r="M9" s="23">
        <f t="shared" si="5"/>
        <v>1590</v>
      </c>
      <c r="N9" s="23">
        <f t="shared" si="6"/>
        <v>1605</v>
      </c>
      <c r="O9" s="23">
        <f t="shared" si="7"/>
        <v>1635</v>
      </c>
      <c r="P9" s="4"/>
      <c r="Q9" s="61">
        <v>5</v>
      </c>
      <c r="R9" s="4"/>
      <c r="S9" s="4"/>
      <c r="T9" s="4" t="s">
        <v>688</v>
      </c>
      <c r="U9" s="6"/>
      <c r="V9" s="23">
        <f>IF(C9="","",IFERROR(VLOOKUP(C9,SETUP!$A$9:$D$24,2,0),"⚠ Check SETUP"))</f>
        <v>1595</v>
      </c>
      <c r="W9" s="23">
        <f>IF(C9="","",IFERROR(VLOOKUP(C9,SETUP!$A$9:$D$24,3,0),"⚠ Check SETUP"))</f>
        <v>1504</v>
      </c>
      <c r="X9" s="22" t="str">
        <f>IF(C9="","",IFERROR(VLOOKUP(C9,SETUP!$A$9:$D$24,4,0),"⚠ Check SETUP"))</f>
        <v>Under</v>
      </c>
      <c r="Y9" s="24">
        <f t="shared" si="8"/>
        <v>2.1850899742930592E-2</v>
      </c>
      <c r="Z9" s="24">
        <f t="shared" si="9"/>
        <v>3.1491002570694086E-2</v>
      </c>
      <c r="AA9" s="24">
        <f t="shared" si="10"/>
        <v>5.0771208226221082E-2</v>
      </c>
      <c r="AB9" s="24" t="str">
        <f t="shared" si="11"/>
        <v/>
      </c>
    </row>
    <row r="10" spans="1:28" ht="19.5" customHeight="1" x14ac:dyDescent="0.25">
      <c r="A10" s="6" t="s">
        <v>181</v>
      </c>
      <c r="B10" s="60" t="s">
        <v>204</v>
      </c>
      <c r="C10" s="4" t="s">
        <v>95</v>
      </c>
      <c r="D10" s="19">
        <v>46185</v>
      </c>
      <c r="E10" s="20">
        <f t="shared" si="0"/>
        <v>46095</v>
      </c>
      <c r="F10" s="20">
        <f t="shared" si="1"/>
        <v>46125</v>
      </c>
      <c r="G10" s="20">
        <f t="shared" si="2"/>
        <v>46155</v>
      </c>
      <c r="H10" s="21">
        <v>0</v>
      </c>
      <c r="I10" s="5">
        <v>1598</v>
      </c>
      <c r="J10" s="22" t="str">
        <f t="shared" si="3"/>
        <v>Offer 1</v>
      </c>
      <c r="K10" s="59">
        <v>0</v>
      </c>
      <c r="L10" s="23">
        <f t="shared" si="4"/>
        <v>1600</v>
      </c>
      <c r="M10" s="23">
        <f t="shared" si="5"/>
        <v>1630</v>
      </c>
      <c r="N10" s="23">
        <f t="shared" si="6"/>
        <v>1650</v>
      </c>
      <c r="O10" s="23">
        <f t="shared" si="7"/>
        <v>1680</v>
      </c>
      <c r="P10" s="4"/>
      <c r="Q10" s="4"/>
      <c r="R10" s="4"/>
      <c r="S10" s="61">
        <v>46097</v>
      </c>
      <c r="T10" s="4" t="s">
        <v>689</v>
      </c>
      <c r="U10" s="82" t="s">
        <v>705</v>
      </c>
      <c r="V10" s="23">
        <f>IF(C10="","",IFERROR(VLOOKUP(C10,SETUP!$A$9:$D$24,2,0),"⚠ Check SETUP"))</f>
        <v>1595</v>
      </c>
      <c r="W10" s="23">
        <f>IF(C10="","",IFERROR(VLOOKUP(C10,SETUP!$A$9:$D$24,3,0),"⚠ Check SETUP"))</f>
        <v>1504</v>
      </c>
      <c r="X10" s="22" t="str">
        <f>IF(C10="","",IFERROR(VLOOKUP(C10,SETUP!$A$9:$D$24,4,0),"⚠ Check SETUP"))</f>
        <v>Under</v>
      </c>
      <c r="Y10" s="24">
        <f t="shared" si="8"/>
        <v>2.002503128911139E-2</v>
      </c>
      <c r="Z10" s="24">
        <f t="shared" si="9"/>
        <v>3.2540675844806008E-2</v>
      </c>
      <c r="AA10" s="24">
        <f t="shared" si="10"/>
        <v>5.1314142678347933E-2</v>
      </c>
      <c r="AB10" s="24" t="str">
        <f t="shared" si="11"/>
        <v/>
      </c>
    </row>
    <row r="11" spans="1:28" ht="19.5" customHeight="1" x14ac:dyDescent="0.25">
      <c r="A11" s="6" t="s">
        <v>182</v>
      </c>
      <c r="B11" s="60" t="s">
        <v>205</v>
      </c>
      <c r="C11" s="4" t="s">
        <v>95</v>
      </c>
      <c r="D11" s="19">
        <v>46186</v>
      </c>
      <c r="E11" s="20">
        <f t="shared" si="0"/>
        <v>46096</v>
      </c>
      <c r="F11" s="20">
        <f t="shared" si="1"/>
        <v>46126</v>
      </c>
      <c r="G11" s="20">
        <f t="shared" si="2"/>
        <v>46156</v>
      </c>
      <c r="H11" s="21">
        <v>0</v>
      </c>
      <c r="I11" s="5">
        <v>1644</v>
      </c>
      <c r="J11" s="22" t="str">
        <f t="shared" si="3"/>
        <v>Offer 1</v>
      </c>
      <c r="K11" s="59"/>
      <c r="L11" s="23" t="str">
        <f t="shared" si="4"/>
        <v/>
      </c>
      <c r="M11" s="23">
        <f t="shared" si="5"/>
        <v>1680</v>
      </c>
      <c r="N11" s="23">
        <f t="shared" si="6"/>
        <v>1695</v>
      </c>
      <c r="O11" s="23">
        <f t="shared" si="7"/>
        <v>1730</v>
      </c>
      <c r="P11" s="4"/>
      <c r="Q11" s="4"/>
      <c r="R11" s="4"/>
      <c r="S11" s="61">
        <v>46116</v>
      </c>
      <c r="T11" s="4" t="s">
        <v>684</v>
      </c>
      <c r="U11" s="6" t="s">
        <v>706</v>
      </c>
      <c r="V11" s="23">
        <f>IF(C11="","",IFERROR(VLOOKUP(C11,SETUP!$A$9:$D$24,2,0),"⚠ Check SETUP"))</f>
        <v>1595</v>
      </c>
      <c r="W11" s="23">
        <f>IF(C11="","",IFERROR(VLOOKUP(C11,SETUP!$A$9:$D$24,3,0),"⚠ Check SETUP"))</f>
        <v>1504</v>
      </c>
      <c r="X11" s="22" t="str">
        <f>IF(C11="","",IFERROR(VLOOKUP(C11,SETUP!$A$9:$D$24,4,0),"⚠ Check SETUP"))</f>
        <v>Under</v>
      </c>
      <c r="Y11" s="24">
        <f t="shared" si="8"/>
        <v>2.1897810218978103E-2</v>
      </c>
      <c r="Z11" s="24">
        <f t="shared" si="9"/>
        <v>3.1021897810218978E-2</v>
      </c>
      <c r="AA11" s="24">
        <f t="shared" si="10"/>
        <v>5.2311435523114354E-2</v>
      </c>
      <c r="AB11" s="24" t="str">
        <f t="shared" si="11"/>
        <v/>
      </c>
    </row>
    <row r="12" spans="1:28" ht="19.5" customHeight="1" x14ac:dyDescent="0.25">
      <c r="A12" s="6" t="s">
        <v>183</v>
      </c>
      <c r="B12" s="60" t="s">
        <v>206</v>
      </c>
      <c r="C12" s="4" t="s">
        <v>98</v>
      </c>
      <c r="D12" s="19">
        <v>46187</v>
      </c>
      <c r="E12" s="20">
        <f t="shared" si="0"/>
        <v>46097</v>
      </c>
      <c r="F12" s="20">
        <f t="shared" si="1"/>
        <v>46127</v>
      </c>
      <c r="G12" s="20">
        <f t="shared" si="2"/>
        <v>46157</v>
      </c>
      <c r="H12" s="21">
        <v>0</v>
      </c>
      <c r="I12" s="5">
        <v>1508</v>
      </c>
      <c r="J12" s="22" t="str">
        <f t="shared" si="3"/>
        <v>Offer 1</v>
      </c>
      <c r="K12" s="59">
        <v>0</v>
      </c>
      <c r="L12" s="23">
        <f t="shared" si="4"/>
        <v>1510</v>
      </c>
      <c r="M12" s="23">
        <f t="shared" si="5"/>
        <v>1555</v>
      </c>
      <c r="N12" s="23">
        <f t="shared" si="6"/>
        <v>1585</v>
      </c>
      <c r="O12" s="23">
        <f t="shared" si="7"/>
        <v>1630</v>
      </c>
      <c r="P12" s="4"/>
      <c r="Q12" s="4">
        <v>5</v>
      </c>
      <c r="R12" s="4"/>
      <c r="S12" s="4"/>
      <c r="T12" s="4" t="s">
        <v>685</v>
      </c>
      <c r="U12" s="6"/>
      <c r="V12" s="23">
        <f>IF(C12="","",IFERROR(VLOOKUP(C12,SETUP!$A$9:$D$24,2,0),"⚠ Check SETUP"))</f>
        <v>1421</v>
      </c>
      <c r="W12" s="23">
        <f>IF(C12="","",IFERROR(VLOOKUP(C12,SETUP!$A$9:$D$24,3,0),"⚠ Check SETUP"))</f>
        <v>1424</v>
      </c>
      <c r="X12" s="22" t="str">
        <f>IF(C12="","",IFERROR(VLOOKUP(C12,SETUP!$A$9:$D$24,4,0),"⚠ Check SETUP"))</f>
        <v>Over</v>
      </c>
      <c r="Y12" s="24">
        <f t="shared" si="8"/>
        <v>3.1167108753315648E-2</v>
      </c>
      <c r="Z12" s="24">
        <f t="shared" si="9"/>
        <v>5.1061007957559683E-2</v>
      </c>
      <c r="AA12" s="24">
        <f t="shared" si="10"/>
        <v>8.0901856763925736E-2</v>
      </c>
      <c r="AB12" s="24" t="str">
        <f t="shared" si="11"/>
        <v/>
      </c>
    </row>
    <row r="13" spans="1:28" ht="19.5" customHeight="1" x14ac:dyDescent="0.25">
      <c r="A13" s="6" t="s">
        <v>185</v>
      </c>
      <c r="B13" s="60" t="s">
        <v>208</v>
      </c>
      <c r="C13" s="4" t="s">
        <v>100</v>
      </c>
      <c r="D13" s="19">
        <v>46187</v>
      </c>
      <c r="E13" s="20">
        <f t="shared" si="0"/>
        <v>46097</v>
      </c>
      <c r="F13" s="20">
        <f t="shared" si="1"/>
        <v>46127</v>
      </c>
      <c r="G13" s="20">
        <f t="shared" si="2"/>
        <v>46157</v>
      </c>
      <c r="H13" s="21">
        <v>0</v>
      </c>
      <c r="I13" s="5">
        <v>1856</v>
      </c>
      <c r="J13" s="22" t="str">
        <f t="shared" si="3"/>
        <v>Offer 1</v>
      </c>
      <c r="K13" s="59">
        <v>0</v>
      </c>
      <c r="L13" s="23">
        <f t="shared" si="4"/>
        <v>1860</v>
      </c>
      <c r="M13" s="23">
        <f t="shared" si="5"/>
        <v>1895</v>
      </c>
      <c r="N13" s="23">
        <f t="shared" si="6"/>
        <v>1915</v>
      </c>
      <c r="O13" s="23">
        <f t="shared" si="7"/>
        <v>1950</v>
      </c>
      <c r="P13" s="4"/>
      <c r="Q13" s="4">
        <v>5</v>
      </c>
      <c r="R13" s="4"/>
      <c r="S13" s="61"/>
      <c r="T13" s="4" t="s">
        <v>253</v>
      </c>
      <c r="U13" s="6"/>
      <c r="V13" s="23">
        <f>IF(C13="","",IFERROR(VLOOKUP(C13,SETUP!$A$9:$D$24,2,0),"⚠ Check SETUP"))</f>
        <v>1595</v>
      </c>
      <c r="W13" s="23">
        <f>IF(C13="","",IFERROR(VLOOKUP(C13,SETUP!$A$9:$D$24,3,0),"⚠ Check SETUP"))</f>
        <v>1806</v>
      </c>
      <c r="X13" s="22" t="str">
        <f>IF(C13="","",IFERROR(VLOOKUP(C13,SETUP!$A$9:$D$24,4,0),"⚠ Check SETUP"))</f>
        <v>Under</v>
      </c>
      <c r="Y13" s="24">
        <f t="shared" si="8"/>
        <v>2.1012931034482759E-2</v>
      </c>
      <c r="Z13" s="24">
        <f t="shared" si="9"/>
        <v>3.1788793103448273E-2</v>
      </c>
      <c r="AA13" s="24">
        <f t="shared" si="10"/>
        <v>5.0646551724137928E-2</v>
      </c>
      <c r="AB13" s="24" t="str">
        <f t="shared" si="11"/>
        <v/>
      </c>
    </row>
    <row r="14" spans="1:28" ht="19.5" customHeight="1" x14ac:dyDescent="0.25">
      <c r="A14" s="6" t="s">
        <v>184</v>
      </c>
      <c r="B14" s="60" t="s">
        <v>207</v>
      </c>
      <c r="C14" s="4" t="s">
        <v>101</v>
      </c>
      <c r="D14" s="19">
        <v>46187</v>
      </c>
      <c r="E14" s="20">
        <f t="shared" si="0"/>
        <v>46097</v>
      </c>
      <c r="F14" s="20">
        <f t="shared" si="1"/>
        <v>46127</v>
      </c>
      <c r="G14" s="20">
        <f t="shared" si="2"/>
        <v>46157</v>
      </c>
      <c r="H14" s="21">
        <v>2071</v>
      </c>
      <c r="I14" s="5">
        <v>2071</v>
      </c>
      <c r="J14" s="22" t="str">
        <f t="shared" si="3"/>
        <v>Offer 1</v>
      </c>
      <c r="K14" s="59">
        <v>0</v>
      </c>
      <c r="L14" s="23">
        <f t="shared" si="4"/>
        <v>2075</v>
      </c>
      <c r="M14" s="23">
        <f t="shared" si="5"/>
        <v>2115</v>
      </c>
      <c r="N14" s="23">
        <f t="shared" si="6"/>
        <v>2135</v>
      </c>
      <c r="O14" s="23">
        <f t="shared" si="7"/>
        <v>2175</v>
      </c>
      <c r="P14" s="4"/>
      <c r="Q14" s="61"/>
      <c r="R14" s="4"/>
      <c r="S14" s="4"/>
      <c r="T14" s="4" t="s">
        <v>686</v>
      </c>
      <c r="U14" s="6" t="s">
        <v>729</v>
      </c>
      <c r="V14" s="23">
        <f>IF(C14="","",IFERROR(VLOOKUP(C14,SETUP!$A$9:$D$24,2,0),"⚠ Check SETUP"))</f>
        <v>1880</v>
      </c>
      <c r="W14" s="23">
        <f>IF(C14="","",IFERROR(VLOOKUP(C14,SETUP!$A$9:$D$24,3,0),"⚠ Check SETUP"))</f>
        <v>1976</v>
      </c>
      <c r="X14" s="22" t="str">
        <f>IF(C14="","",IFERROR(VLOOKUP(C14,SETUP!$A$9:$D$24,4,0),"⚠ Check SETUP"))</f>
        <v>Under</v>
      </c>
      <c r="Y14" s="24">
        <f t="shared" si="8"/>
        <v>2.1245774987928536E-2</v>
      </c>
      <c r="Z14" s="24">
        <f t="shared" si="9"/>
        <v>3.0902945436986962E-2</v>
      </c>
      <c r="AA14" s="24">
        <f t="shared" si="10"/>
        <v>5.0217286335103813E-2</v>
      </c>
      <c r="AB14" s="24" t="str">
        <f t="shared" si="11"/>
        <v/>
      </c>
    </row>
    <row r="15" spans="1:28" ht="19.5" customHeight="1" x14ac:dyDescent="0.25">
      <c r="A15" s="6" t="s">
        <v>186</v>
      </c>
      <c r="B15" s="60" t="s">
        <v>209</v>
      </c>
      <c r="C15" s="4" t="s">
        <v>99</v>
      </c>
      <c r="D15" s="19">
        <v>46193</v>
      </c>
      <c r="E15" s="20">
        <f t="shared" si="0"/>
        <v>46103</v>
      </c>
      <c r="F15" s="20">
        <f t="shared" si="1"/>
        <v>46133</v>
      </c>
      <c r="G15" s="20">
        <f t="shared" si="2"/>
        <v>46163</v>
      </c>
      <c r="H15" s="21">
        <v>0</v>
      </c>
      <c r="I15" s="5">
        <v>1586</v>
      </c>
      <c r="J15" s="22" t="str">
        <f t="shared" si="3"/>
        <v>Offer 1</v>
      </c>
      <c r="K15" s="59">
        <v>0</v>
      </c>
      <c r="L15" s="23">
        <f t="shared" si="4"/>
        <v>1590</v>
      </c>
      <c r="M15" s="23">
        <f t="shared" si="5"/>
        <v>1620</v>
      </c>
      <c r="N15" s="23">
        <f t="shared" si="6"/>
        <v>1635</v>
      </c>
      <c r="O15" s="23">
        <f t="shared" si="7"/>
        <v>1670</v>
      </c>
      <c r="P15" s="4"/>
      <c r="Q15" s="4"/>
      <c r="R15" s="4"/>
      <c r="S15" s="4">
        <v>5</v>
      </c>
      <c r="T15" s="4" t="s">
        <v>690</v>
      </c>
      <c r="U15" s="6" t="s">
        <v>611</v>
      </c>
      <c r="V15" s="23">
        <f>IF(C15="","",IFERROR(VLOOKUP(C15,SETUP!$A$9:$D$24,2,0),"⚠ Check SETUP"))</f>
        <v>1719</v>
      </c>
      <c r="W15" s="23">
        <f>IF(C15="","",IFERROR(VLOOKUP(C15,SETUP!$A$9:$D$24,3,0),"⚠ Check SETUP"))</f>
        <v>1561</v>
      </c>
      <c r="X15" s="22" t="str">
        <f>IF(C15="","",IFERROR(VLOOKUP(C15,SETUP!$A$9:$D$24,4,0),"⚠ Check SETUP"))</f>
        <v>Under</v>
      </c>
      <c r="Y15" s="24">
        <f t="shared" si="8"/>
        <v>2.1437578814627996E-2</v>
      </c>
      <c r="Z15" s="24">
        <f t="shared" si="9"/>
        <v>3.0895334174022699E-2</v>
      </c>
      <c r="AA15" s="24">
        <f t="shared" si="10"/>
        <v>5.2963430012610342E-2</v>
      </c>
      <c r="AB15" s="24" t="str">
        <f t="shared" si="11"/>
        <v/>
      </c>
    </row>
    <row r="16" spans="1:28" ht="19.5" customHeight="1" x14ac:dyDescent="0.25">
      <c r="A16" s="6" t="s">
        <v>187</v>
      </c>
      <c r="B16" s="60" t="s">
        <v>210</v>
      </c>
      <c r="C16" s="4" t="s">
        <v>101</v>
      </c>
      <c r="D16" s="19">
        <v>46194</v>
      </c>
      <c r="E16" s="20">
        <f t="shared" si="0"/>
        <v>46104</v>
      </c>
      <c r="F16" s="20">
        <f t="shared" si="1"/>
        <v>46134</v>
      </c>
      <c r="G16" s="20">
        <f t="shared" si="2"/>
        <v>46164</v>
      </c>
      <c r="H16" s="21">
        <v>1946</v>
      </c>
      <c r="I16" s="5">
        <v>1946</v>
      </c>
      <c r="J16" s="22" t="str">
        <f t="shared" si="3"/>
        <v>Offer 1</v>
      </c>
      <c r="K16" s="59">
        <v>0</v>
      </c>
      <c r="L16" s="23">
        <f t="shared" si="4"/>
        <v>1950</v>
      </c>
      <c r="M16" s="23">
        <f t="shared" si="5"/>
        <v>1985</v>
      </c>
      <c r="N16" s="23">
        <f t="shared" si="6"/>
        <v>2005</v>
      </c>
      <c r="O16" s="23">
        <f t="shared" si="7"/>
        <v>2045</v>
      </c>
      <c r="P16" s="4"/>
      <c r="Q16" s="4"/>
      <c r="R16" s="4"/>
      <c r="S16" s="4">
        <v>5</v>
      </c>
      <c r="T16" s="4" t="s">
        <v>691</v>
      </c>
      <c r="U16" s="6" t="s">
        <v>611</v>
      </c>
      <c r="V16" s="23">
        <f>IF(C16="","",IFERROR(VLOOKUP(C16,SETUP!$A$9:$D$24,2,0),"⚠ Check SETUP"))</f>
        <v>1880</v>
      </c>
      <c r="W16" s="23">
        <f>IF(C16="","",IFERROR(VLOOKUP(C16,SETUP!$A$9:$D$24,3,0),"⚠ Check SETUP"))</f>
        <v>1976</v>
      </c>
      <c r="X16" s="22" t="str">
        <f>IF(C16="","",IFERROR(VLOOKUP(C16,SETUP!$A$9:$D$24,4,0),"⚠ Check SETUP"))</f>
        <v>Under</v>
      </c>
      <c r="Y16" s="24">
        <f t="shared" si="8"/>
        <v>2.0041109969167522E-2</v>
      </c>
      <c r="Z16" s="24">
        <f t="shared" si="9"/>
        <v>3.0318602261048305E-2</v>
      </c>
      <c r="AA16" s="24">
        <f t="shared" si="10"/>
        <v>5.0873586844809866E-2</v>
      </c>
      <c r="AB16" s="24" t="str">
        <f t="shared" si="11"/>
        <v/>
      </c>
    </row>
    <row r="17" spans="1:28" ht="19.5" customHeight="1" x14ac:dyDescent="0.25">
      <c r="A17" s="6" t="s">
        <v>188</v>
      </c>
      <c r="B17" s="60" t="s">
        <v>211</v>
      </c>
      <c r="C17" s="4" t="s">
        <v>13</v>
      </c>
      <c r="D17" s="19">
        <v>46199</v>
      </c>
      <c r="E17" s="20">
        <f t="shared" si="0"/>
        <v>46109</v>
      </c>
      <c r="F17" s="20">
        <f t="shared" si="1"/>
        <v>46139</v>
      </c>
      <c r="G17" s="20">
        <f t="shared" si="2"/>
        <v>46169</v>
      </c>
      <c r="H17" s="21">
        <v>1790</v>
      </c>
      <c r="I17" s="5">
        <v>1772</v>
      </c>
      <c r="J17" s="22" t="str">
        <f t="shared" si="3"/>
        <v>Offer 1</v>
      </c>
      <c r="K17" s="59">
        <v>0</v>
      </c>
      <c r="L17" s="23">
        <f t="shared" si="4"/>
        <v>1775</v>
      </c>
      <c r="M17" s="23">
        <f t="shared" si="5"/>
        <v>1810</v>
      </c>
      <c r="N17" s="23">
        <f t="shared" si="6"/>
        <v>1830</v>
      </c>
      <c r="O17" s="23">
        <f t="shared" si="7"/>
        <v>1865</v>
      </c>
      <c r="P17" s="4"/>
      <c r="Q17" s="4">
        <v>5</v>
      </c>
      <c r="R17" s="4"/>
      <c r="S17" s="4"/>
      <c r="T17" s="4" t="s">
        <v>692</v>
      </c>
      <c r="U17" s="6"/>
      <c r="V17" s="23">
        <f>IF(C17="","",IFERROR(VLOOKUP(C17,SETUP!$A$9:$D$24,2,0),"⚠ Check SETUP"))</f>
        <v>1809</v>
      </c>
      <c r="W17" s="23">
        <f>IF(C17="","",IFERROR(VLOOKUP(C17,SETUP!$A$9:$D$24,3,0),"⚠ Check SETUP"))</f>
        <v>1764</v>
      </c>
      <c r="X17" s="22" t="str">
        <f>IF(C17="","",IFERROR(VLOOKUP(C17,SETUP!$A$9:$D$24,4,0),"⚠ Check SETUP"))</f>
        <v>Under</v>
      </c>
      <c r="Y17" s="24">
        <f t="shared" si="8"/>
        <v>2.144469525959368E-2</v>
      </c>
      <c r="Z17" s="24">
        <f t="shared" si="9"/>
        <v>3.2731376975169299E-2</v>
      </c>
      <c r="AA17" s="24">
        <f t="shared" si="10"/>
        <v>5.248306997742664E-2</v>
      </c>
      <c r="AB17" s="24" t="str">
        <f t="shared" si="11"/>
        <v/>
      </c>
    </row>
    <row r="18" spans="1:28" ht="19.5" customHeight="1" x14ac:dyDescent="0.25">
      <c r="A18" s="6" t="s">
        <v>189</v>
      </c>
      <c r="B18" s="60" t="s">
        <v>212</v>
      </c>
      <c r="C18" s="4" t="s">
        <v>96</v>
      </c>
      <c r="D18" s="19">
        <v>46200</v>
      </c>
      <c r="E18" s="20">
        <f t="shared" si="0"/>
        <v>46110</v>
      </c>
      <c r="F18" s="20">
        <f t="shared" si="1"/>
        <v>46140</v>
      </c>
      <c r="G18" s="20">
        <f t="shared" si="2"/>
        <v>46170</v>
      </c>
      <c r="H18" s="21">
        <v>1590</v>
      </c>
      <c r="I18" s="5">
        <v>1590</v>
      </c>
      <c r="J18" s="22" t="str">
        <f t="shared" si="3"/>
        <v>Offer 1</v>
      </c>
      <c r="K18" s="59">
        <v>0</v>
      </c>
      <c r="L18" s="23">
        <f t="shared" si="4"/>
        <v>1590</v>
      </c>
      <c r="M18" s="23">
        <f t="shared" si="5"/>
        <v>1640</v>
      </c>
      <c r="N18" s="23">
        <f t="shared" si="6"/>
        <v>1670</v>
      </c>
      <c r="O18" s="23">
        <f t="shared" si="7"/>
        <v>1720</v>
      </c>
      <c r="P18" s="4"/>
      <c r="Q18" s="4">
        <v>5</v>
      </c>
      <c r="R18" s="4"/>
      <c r="S18" s="4"/>
      <c r="T18" s="4" t="s">
        <v>693</v>
      </c>
      <c r="U18" s="6"/>
      <c r="V18" s="23">
        <f>IF(C18="","",IFERROR(VLOOKUP(C18,SETUP!$A$9:$D$24,2,0),"⚠ Check SETUP"))</f>
        <v>1795</v>
      </c>
      <c r="W18" s="23">
        <f>IF(C18="","",IFERROR(VLOOKUP(C18,SETUP!$A$9:$D$24,3,0),"⚠ Check SETUP"))</f>
        <v>1476</v>
      </c>
      <c r="X18" s="22" t="str">
        <f>IF(C18="","",IFERROR(VLOOKUP(C18,SETUP!$A$9:$D$24,4,0),"⚠ Check SETUP"))</f>
        <v>Over</v>
      </c>
      <c r="Y18" s="24">
        <f t="shared" si="8"/>
        <v>3.1446540880503145E-2</v>
      </c>
      <c r="Z18" s="24">
        <f t="shared" si="9"/>
        <v>5.0314465408805034E-2</v>
      </c>
      <c r="AA18" s="24">
        <f t="shared" si="10"/>
        <v>8.1761006289308172E-2</v>
      </c>
      <c r="AB18" s="24" t="str">
        <f t="shared" si="11"/>
        <v/>
      </c>
    </row>
    <row r="19" spans="1:28" ht="19.5" customHeight="1" x14ac:dyDescent="0.25">
      <c r="A19" s="6" t="s">
        <v>687</v>
      </c>
      <c r="B19" s="60" t="s">
        <v>213</v>
      </c>
      <c r="C19" s="4" t="s">
        <v>100</v>
      </c>
      <c r="D19" s="19">
        <v>46201</v>
      </c>
      <c r="E19" s="20">
        <f t="shared" si="0"/>
        <v>46111</v>
      </c>
      <c r="F19" s="20">
        <f t="shared" si="1"/>
        <v>46141</v>
      </c>
      <c r="G19" s="20">
        <f t="shared" si="2"/>
        <v>46171</v>
      </c>
      <c r="H19" s="21">
        <v>0</v>
      </c>
      <c r="I19" s="5">
        <v>1796</v>
      </c>
      <c r="J19" s="22" t="str">
        <f t="shared" si="3"/>
        <v>Offer 1</v>
      </c>
      <c r="K19" s="59">
        <v>0</v>
      </c>
      <c r="L19" s="23">
        <f t="shared" si="4"/>
        <v>1800</v>
      </c>
      <c r="M19" s="23">
        <f t="shared" si="5"/>
        <v>1835</v>
      </c>
      <c r="N19" s="23">
        <f t="shared" si="6"/>
        <v>1850</v>
      </c>
      <c r="O19" s="23">
        <f t="shared" si="7"/>
        <v>1890</v>
      </c>
      <c r="P19" s="4"/>
      <c r="Q19" s="4">
        <v>5</v>
      </c>
      <c r="R19" s="4"/>
      <c r="S19" s="4"/>
      <c r="T19" s="4" t="s">
        <v>694</v>
      </c>
      <c r="U19" s="6"/>
      <c r="V19" s="23">
        <f>IF(C19="","",IFERROR(VLOOKUP(C19,SETUP!$A$9:$D$24,2,0),"⚠ Check SETUP"))</f>
        <v>1595</v>
      </c>
      <c r="W19" s="23">
        <f>IF(C19="","",IFERROR(VLOOKUP(C19,SETUP!$A$9:$D$24,3,0),"⚠ Check SETUP"))</f>
        <v>1806</v>
      </c>
      <c r="X19" s="22" t="str">
        <f>IF(C19="","",IFERROR(VLOOKUP(C19,SETUP!$A$9:$D$24,4,0),"⚠ Check SETUP"))</f>
        <v>Under</v>
      </c>
      <c r="Y19" s="24">
        <f t="shared" si="8"/>
        <v>2.1714922048997772E-2</v>
      </c>
      <c r="Z19" s="24">
        <f t="shared" si="9"/>
        <v>3.0066815144766147E-2</v>
      </c>
      <c r="AA19" s="24">
        <f t="shared" si="10"/>
        <v>5.2338530066815145E-2</v>
      </c>
      <c r="AB19" s="24" t="str">
        <f t="shared" si="11"/>
        <v/>
      </c>
    </row>
    <row r="20" spans="1:28" ht="19.5" customHeight="1" x14ac:dyDescent="0.25">
      <c r="A20" s="6" t="s">
        <v>190</v>
      </c>
      <c r="B20" s="60" t="s">
        <v>214</v>
      </c>
      <c r="C20" s="4" t="s">
        <v>98</v>
      </c>
      <c r="D20" s="19">
        <v>46201</v>
      </c>
      <c r="E20" s="20">
        <f t="shared" si="0"/>
        <v>46111</v>
      </c>
      <c r="F20" s="20">
        <f t="shared" si="1"/>
        <v>46141</v>
      </c>
      <c r="G20" s="20">
        <f t="shared" si="2"/>
        <v>46171</v>
      </c>
      <c r="H20" s="21">
        <v>0</v>
      </c>
      <c r="I20" s="5">
        <v>1380</v>
      </c>
      <c r="J20" s="22" t="str">
        <f t="shared" si="3"/>
        <v>Offer 1</v>
      </c>
      <c r="K20" s="59">
        <v>0</v>
      </c>
      <c r="L20" s="23">
        <f t="shared" si="4"/>
        <v>1380</v>
      </c>
      <c r="M20" s="23">
        <f t="shared" si="5"/>
        <v>1425</v>
      </c>
      <c r="N20" s="23">
        <f t="shared" si="6"/>
        <v>1450</v>
      </c>
      <c r="O20" s="23">
        <f t="shared" si="7"/>
        <v>1495</v>
      </c>
      <c r="P20" s="4"/>
      <c r="Q20" s="4"/>
      <c r="R20" s="4"/>
      <c r="S20" s="4"/>
      <c r="T20" s="4" t="s">
        <v>695</v>
      </c>
      <c r="U20" s="6" t="s">
        <v>730</v>
      </c>
      <c r="V20" s="23">
        <f>IF(C20="","",IFERROR(VLOOKUP(C20,SETUP!$A$9:$D$24,2,0),"⚠ Check SETUP"))</f>
        <v>1421</v>
      </c>
      <c r="W20" s="23">
        <f>IF(C20="","",IFERROR(VLOOKUP(C20,SETUP!$A$9:$D$24,3,0),"⚠ Check SETUP"))</f>
        <v>1424</v>
      </c>
      <c r="X20" s="22" t="str">
        <f>IF(C20="","",IFERROR(VLOOKUP(C20,SETUP!$A$9:$D$24,4,0),"⚠ Check SETUP"))</f>
        <v>Over</v>
      </c>
      <c r="Y20" s="24">
        <f t="shared" si="8"/>
        <v>3.2608695652173912E-2</v>
      </c>
      <c r="Z20" s="24">
        <f t="shared" si="9"/>
        <v>5.0724637681159424E-2</v>
      </c>
      <c r="AA20" s="24">
        <f t="shared" si="10"/>
        <v>8.3333333333333329E-2</v>
      </c>
      <c r="AB20" s="24" t="str">
        <f t="shared" si="11"/>
        <v/>
      </c>
    </row>
    <row r="21" spans="1:28" ht="19.5" customHeight="1" x14ac:dyDescent="0.25">
      <c r="A21" s="6" t="s">
        <v>191</v>
      </c>
      <c r="B21" s="60" t="s">
        <v>215</v>
      </c>
      <c r="C21" s="4" t="s">
        <v>16</v>
      </c>
      <c r="D21" s="19">
        <v>46202</v>
      </c>
      <c r="E21" s="20">
        <f t="shared" si="0"/>
        <v>46112</v>
      </c>
      <c r="F21" s="20">
        <f t="shared" si="1"/>
        <v>46142</v>
      </c>
      <c r="G21" s="20">
        <f t="shared" si="2"/>
        <v>46172</v>
      </c>
      <c r="H21" s="21">
        <v>500</v>
      </c>
      <c r="I21" s="5">
        <v>2359</v>
      </c>
      <c r="J21" s="22" t="str">
        <f t="shared" si="3"/>
        <v>Offer 1</v>
      </c>
      <c r="K21" s="59">
        <v>0</v>
      </c>
      <c r="L21" s="23">
        <f t="shared" si="4"/>
        <v>2360</v>
      </c>
      <c r="M21" s="23">
        <f t="shared" si="5"/>
        <v>2410</v>
      </c>
      <c r="N21" s="23">
        <f t="shared" si="6"/>
        <v>2430</v>
      </c>
      <c r="O21" s="23">
        <f t="shared" si="7"/>
        <v>2480</v>
      </c>
      <c r="P21" s="4"/>
      <c r="Q21" s="4"/>
      <c r="R21" s="4"/>
      <c r="S21" s="4">
        <v>5</v>
      </c>
      <c r="T21" s="4" t="s">
        <v>696</v>
      </c>
      <c r="U21" s="6" t="s">
        <v>702</v>
      </c>
      <c r="V21" s="23">
        <f>IF(C21="","",IFERROR(VLOOKUP(C21,SETUP!$A$9:$D$24,2,0),"⚠ Check SETUP"))</f>
        <v>2406</v>
      </c>
      <c r="W21" s="23">
        <f>IF(C21="","",IFERROR(VLOOKUP(C21,SETUP!$A$9:$D$24,3,0),"⚠ Check SETUP"))</f>
        <v>2361</v>
      </c>
      <c r="X21" s="22" t="str">
        <f>IF(C21="","",IFERROR(VLOOKUP(C21,SETUP!$A$9:$D$24,4,0),"⚠ Check SETUP"))</f>
        <v>Under</v>
      </c>
      <c r="Y21" s="24">
        <f t="shared" si="8"/>
        <v>2.1619330224671472E-2</v>
      </c>
      <c r="Z21" s="24">
        <f t="shared" si="9"/>
        <v>3.0097498940228909E-2</v>
      </c>
      <c r="AA21" s="24">
        <f t="shared" si="10"/>
        <v>5.1292920729122511E-2</v>
      </c>
      <c r="AB21" s="24" t="str">
        <f t="shared" si="11"/>
        <v/>
      </c>
    </row>
    <row r="22" spans="1:28" ht="19.5" customHeight="1" x14ac:dyDescent="0.25">
      <c r="A22" s="6" t="s">
        <v>192</v>
      </c>
      <c r="B22" s="60" t="s">
        <v>216</v>
      </c>
      <c r="C22" s="4" t="s">
        <v>95</v>
      </c>
      <c r="D22" s="19">
        <v>46202</v>
      </c>
      <c r="E22" s="20">
        <f t="shared" si="0"/>
        <v>46112</v>
      </c>
      <c r="F22" s="20">
        <f t="shared" si="1"/>
        <v>46142</v>
      </c>
      <c r="G22" s="20">
        <f t="shared" si="2"/>
        <v>46172</v>
      </c>
      <c r="H22" s="21">
        <v>0</v>
      </c>
      <c r="I22" s="5">
        <v>1475</v>
      </c>
      <c r="J22" s="22" t="str">
        <f t="shared" si="3"/>
        <v>Offer 1</v>
      </c>
      <c r="K22" s="59">
        <v>0</v>
      </c>
      <c r="L22" s="23">
        <f t="shared" si="4"/>
        <v>1475</v>
      </c>
      <c r="M22" s="23">
        <f t="shared" si="5"/>
        <v>1505</v>
      </c>
      <c r="N22" s="23">
        <f t="shared" si="6"/>
        <v>1520</v>
      </c>
      <c r="O22" s="23">
        <f t="shared" si="7"/>
        <v>1550</v>
      </c>
      <c r="P22" s="4"/>
      <c r="Q22" s="4"/>
      <c r="R22" s="4"/>
      <c r="S22" s="4">
        <v>5</v>
      </c>
      <c r="T22" s="4" t="s">
        <v>697</v>
      </c>
      <c r="U22" s="6" t="s">
        <v>703</v>
      </c>
      <c r="V22" s="23">
        <f>IF(C22="","",IFERROR(VLOOKUP(C22,SETUP!$A$9:$D$24,2,0),"⚠ Check SETUP"))</f>
        <v>1595</v>
      </c>
      <c r="W22" s="23">
        <f>IF(C22="","",IFERROR(VLOOKUP(C22,SETUP!$A$9:$D$24,3,0),"⚠ Check SETUP"))</f>
        <v>1504</v>
      </c>
      <c r="X22" s="22" t="str">
        <f>IF(C22="","",IFERROR(VLOOKUP(C22,SETUP!$A$9:$D$24,4,0),"⚠ Check SETUP"))</f>
        <v>Under</v>
      </c>
      <c r="Y22" s="24">
        <f t="shared" si="8"/>
        <v>2.0338983050847456E-2</v>
      </c>
      <c r="Z22" s="24">
        <f t="shared" si="9"/>
        <v>3.0508474576271188E-2</v>
      </c>
      <c r="AA22" s="24">
        <f t="shared" si="10"/>
        <v>5.0847457627118647E-2</v>
      </c>
      <c r="AB22" s="24" t="str">
        <f t="shared" si="11"/>
        <v/>
      </c>
    </row>
    <row r="23" spans="1:28" ht="19.5" customHeight="1" x14ac:dyDescent="0.25">
      <c r="A23" s="6" t="s">
        <v>193</v>
      </c>
      <c r="B23" s="60" t="s">
        <v>217</v>
      </c>
      <c r="C23" s="4" t="s">
        <v>16</v>
      </c>
      <c r="D23" s="19">
        <v>46203</v>
      </c>
      <c r="E23" s="20">
        <f t="shared" si="0"/>
        <v>46113</v>
      </c>
      <c r="F23" s="20">
        <f t="shared" si="1"/>
        <v>46143</v>
      </c>
      <c r="G23" s="20">
        <f t="shared" si="2"/>
        <v>46173</v>
      </c>
      <c r="H23" s="21">
        <v>0</v>
      </c>
      <c r="I23" s="5">
        <v>2365</v>
      </c>
      <c r="J23" s="22" t="str">
        <f t="shared" si="3"/>
        <v>Offer 1</v>
      </c>
      <c r="K23" s="59">
        <v>0</v>
      </c>
      <c r="L23" s="23">
        <f t="shared" si="4"/>
        <v>2365</v>
      </c>
      <c r="M23" s="23">
        <f t="shared" si="5"/>
        <v>2415</v>
      </c>
      <c r="N23" s="23">
        <f t="shared" si="6"/>
        <v>2440</v>
      </c>
      <c r="O23" s="23">
        <f t="shared" si="7"/>
        <v>2485</v>
      </c>
      <c r="P23" s="4"/>
      <c r="Q23" s="61">
        <v>5</v>
      </c>
      <c r="R23" s="4"/>
      <c r="S23" s="4"/>
      <c r="T23" s="4" t="s">
        <v>698</v>
      </c>
      <c r="U23" s="6"/>
      <c r="V23" s="23">
        <f>IF(C23="","",IFERROR(VLOOKUP(C23,SETUP!$A$9:$D$24,2,0),"⚠ Check SETUP"))</f>
        <v>2406</v>
      </c>
      <c r="W23" s="23">
        <f>IF(C23="","",IFERROR(VLOOKUP(C23,SETUP!$A$9:$D$24,3,0),"⚠ Check SETUP"))</f>
        <v>2361</v>
      </c>
      <c r="X23" s="22" t="str">
        <f>IF(C23="","",IFERROR(VLOOKUP(C23,SETUP!$A$9:$D$24,4,0),"⚠ Check SETUP"))</f>
        <v>Under</v>
      </c>
      <c r="Y23" s="24">
        <f t="shared" si="8"/>
        <v>2.1141649048625793E-2</v>
      </c>
      <c r="Z23" s="24">
        <f t="shared" si="9"/>
        <v>3.1712473572938688E-2</v>
      </c>
      <c r="AA23" s="24">
        <f t="shared" si="10"/>
        <v>5.0739957716701901E-2</v>
      </c>
      <c r="AB23" s="24" t="str">
        <f t="shared" si="11"/>
        <v/>
      </c>
    </row>
    <row r="24" spans="1:28" ht="19.5" customHeight="1" x14ac:dyDescent="0.25">
      <c r="A24" s="6" t="s">
        <v>196</v>
      </c>
      <c r="B24" s="60" t="s">
        <v>220</v>
      </c>
      <c r="C24" s="4" t="s">
        <v>95</v>
      </c>
      <c r="D24" s="19">
        <v>46203</v>
      </c>
      <c r="E24" s="20">
        <f t="shared" si="0"/>
        <v>46113</v>
      </c>
      <c r="F24" s="20">
        <f t="shared" si="1"/>
        <v>46143</v>
      </c>
      <c r="G24" s="20">
        <f t="shared" si="2"/>
        <v>46173</v>
      </c>
      <c r="H24" s="21">
        <v>0</v>
      </c>
      <c r="I24" s="5"/>
      <c r="J24" s="22" t="str">
        <f t="shared" si="3"/>
        <v/>
      </c>
      <c r="K24" s="59">
        <v>0</v>
      </c>
      <c r="L24" s="23" t="str">
        <f t="shared" si="4"/>
        <v/>
      </c>
      <c r="M24" s="23" t="str">
        <f t="shared" si="5"/>
        <v/>
      </c>
      <c r="N24" s="23" t="str">
        <f t="shared" si="6"/>
        <v/>
      </c>
      <c r="O24" s="23" t="str">
        <f t="shared" si="7"/>
        <v/>
      </c>
      <c r="P24" s="4"/>
      <c r="Q24" s="4"/>
      <c r="R24" s="4"/>
      <c r="S24" s="4">
        <v>5</v>
      </c>
      <c r="T24" s="4" t="s">
        <v>699</v>
      </c>
      <c r="U24" s="6" t="s">
        <v>704</v>
      </c>
      <c r="V24" s="23">
        <f>IF(C24="","",IFERROR(VLOOKUP(C24,SETUP!$A$9:$D$24,2,0),"⚠ Check SETUP"))</f>
        <v>1595</v>
      </c>
      <c r="W24" s="23">
        <f>IF(C24="","",IFERROR(VLOOKUP(C24,SETUP!$A$9:$D$24,3,0),"⚠ Check SETUP"))</f>
        <v>1504</v>
      </c>
      <c r="X24" s="22" t="str">
        <f>IF(C24="","",IFERROR(VLOOKUP(C24,SETUP!$A$9:$D$24,4,0),"⚠ Check SETUP"))</f>
        <v>Under</v>
      </c>
      <c r="Y24" s="24" t="str">
        <f t="shared" si="8"/>
        <v/>
      </c>
      <c r="Z24" s="24" t="str">
        <f t="shared" si="9"/>
        <v/>
      </c>
      <c r="AA24" s="24" t="str">
        <f t="shared" si="10"/>
        <v/>
      </c>
      <c r="AB24" s="24" t="str">
        <f t="shared" si="11"/>
        <v/>
      </c>
    </row>
    <row r="25" spans="1:28" ht="19.5" customHeight="1" x14ac:dyDescent="0.25">
      <c r="A25" s="6" t="s">
        <v>194</v>
      </c>
      <c r="B25" s="60" t="s">
        <v>218</v>
      </c>
      <c r="C25" s="4" t="s">
        <v>16</v>
      </c>
      <c r="D25" s="19">
        <v>46203</v>
      </c>
      <c r="E25" s="20">
        <f t="shared" si="0"/>
        <v>46113</v>
      </c>
      <c r="F25" s="20">
        <f t="shared" si="1"/>
        <v>46143</v>
      </c>
      <c r="G25" s="20">
        <f t="shared" si="2"/>
        <v>46173</v>
      </c>
      <c r="H25" s="21">
        <v>500</v>
      </c>
      <c r="I25" s="5">
        <v>2357</v>
      </c>
      <c r="J25" s="22" t="str">
        <f t="shared" si="3"/>
        <v>Offer 1</v>
      </c>
      <c r="K25" s="59">
        <v>0</v>
      </c>
      <c r="L25" s="23">
        <f t="shared" si="4"/>
        <v>2360</v>
      </c>
      <c r="M25" s="23">
        <f t="shared" si="5"/>
        <v>2405</v>
      </c>
      <c r="N25" s="23">
        <f t="shared" si="6"/>
        <v>2430</v>
      </c>
      <c r="O25" s="23">
        <f t="shared" si="7"/>
        <v>2475</v>
      </c>
      <c r="P25" s="4"/>
      <c r="Q25" s="4">
        <v>5</v>
      </c>
      <c r="R25" s="4"/>
      <c r="S25" s="4"/>
      <c r="T25" s="4" t="s">
        <v>700</v>
      </c>
      <c r="U25" s="6"/>
      <c r="V25" s="23">
        <f>IF(C25="","",IFERROR(VLOOKUP(C25,SETUP!$A$9:$D$24,2,0),"⚠ Check SETUP"))</f>
        <v>2406</v>
      </c>
      <c r="W25" s="23">
        <f>IF(C25="","",IFERROR(VLOOKUP(C25,SETUP!$A$9:$D$24,3,0),"⚠ Check SETUP"))</f>
        <v>2361</v>
      </c>
      <c r="X25" s="22" t="str">
        <f>IF(C25="","",IFERROR(VLOOKUP(C25,SETUP!$A$9:$D$24,4,0),"⚠ Check SETUP"))</f>
        <v>Under</v>
      </c>
      <c r="Y25" s="24">
        <f t="shared" si="8"/>
        <v>2.0364870598218072E-2</v>
      </c>
      <c r="Z25" s="24">
        <f t="shared" si="9"/>
        <v>3.0971574034789989E-2</v>
      </c>
      <c r="AA25" s="24">
        <f t="shared" si="10"/>
        <v>5.0063640220619432E-2</v>
      </c>
      <c r="AB25" s="24" t="str">
        <f t="shared" si="11"/>
        <v/>
      </c>
    </row>
    <row r="26" spans="1:28" ht="19.5" customHeight="1" x14ac:dyDescent="0.25">
      <c r="A26" s="6" t="s">
        <v>195</v>
      </c>
      <c r="B26" s="60" t="s">
        <v>219</v>
      </c>
      <c r="C26" s="4" t="s">
        <v>103</v>
      </c>
      <c r="D26" s="19">
        <v>46203</v>
      </c>
      <c r="E26" s="20">
        <f t="shared" si="0"/>
        <v>46113</v>
      </c>
      <c r="F26" s="20">
        <f t="shared" si="1"/>
        <v>46143</v>
      </c>
      <c r="G26" s="20">
        <f t="shared" si="2"/>
        <v>46173</v>
      </c>
      <c r="H26" s="21">
        <v>0</v>
      </c>
      <c r="I26" s="5">
        <v>1808</v>
      </c>
      <c r="J26" s="22" t="str">
        <f t="shared" si="3"/>
        <v>Offer 1</v>
      </c>
      <c r="K26" s="59">
        <v>0</v>
      </c>
      <c r="L26" s="23">
        <f t="shared" si="4"/>
        <v>1810</v>
      </c>
      <c r="M26" s="23">
        <f t="shared" si="5"/>
        <v>1865</v>
      </c>
      <c r="N26" s="23">
        <f t="shared" si="6"/>
        <v>1900</v>
      </c>
      <c r="O26" s="23">
        <f t="shared" si="7"/>
        <v>1955</v>
      </c>
      <c r="P26" s="4"/>
      <c r="Q26" s="4">
        <v>5</v>
      </c>
      <c r="R26" s="4"/>
      <c r="S26" s="61"/>
      <c r="T26" s="4" t="s">
        <v>701</v>
      </c>
      <c r="U26" s="6"/>
      <c r="V26" s="23">
        <f>IF(C26="","",IFERROR(VLOOKUP(C26,SETUP!$A$9:$D$24,2,0),"⚠ Check SETUP"))</f>
        <v>1860</v>
      </c>
      <c r="W26" s="23">
        <f>IF(C26="","",IFERROR(VLOOKUP(C26,SETUP!$A$9:$D$24,3,0),"⚠ Check SETUP"))</f>
        <v>1776</v>
      </c>
      <c r="X26" s="22" t="str">
        <f>IF(C26="","",IFERROR(VLOOKUP(C26,SETUP!$A$9:$D$24,4,0),"⚠ Check SETUP"))</f>
        <v>Over</v>
      </c>
      <c r="Y26" s="24">
        <f t="shared" si="8"/>
        <v>3.1526548672566372E-2</v>
      </c>
      <c r="Z26" s="24">
        <f t="shared" si="9"/>
        <v>5.0884955752212392E-2</v>
      </c>
      <c r="AA26" s="24">
        <f t="shared" si="10"/>
        <v>8.1305309734513276E-2</v>
      </c>
      <c r="AB26" s="24" t="str">
        <f t="shared" si="11"/>
        <v/>
      </c>
    </row>
    <row r="27" spans="1:28" ht="19.5" customHeight="1" x14ac:dyDescent="0.25">
      <c r="A27" s="6" t="s">
        <v>197</v>
      </c>
      <c r="B27" s="60" t="s">
        <v>221</v>
      </c>
      <c r="C27" s="4" t="s">
        <v>95</v>
      </c>
      <c r="D27" s="19">
        <v>46203</v>
      </c>
      <c r="E27" s="20">
        <f t="shared" si="0"/>
        <v>46113</v>
      </c>
      <c r="F27" s="20">
        <f t="shared" si="1"/>
        <v>46143</v>
      </c>
      <c r="G27" s="20">
        <f t="shared" si="2"/>
        <v>46173</v>
      </c>
      <c r="H27" s="21">
        <v>0</v>
      </c>
      <c r="I27" s="5">
        <v>1471</v>
      </c>
      <c r="J27" s="22" t="str">
        <f t="shared" si="3"/>
        <v>Offer 1</v>
      </c>
      <c r="K27" s="59">
        <v>0</v>
      </c>
      <c r="L27" s="23">
        <f t="shared" si="4"/>
        <v>1475</v>
      </c>
      <c r="M27" s="23">
        <f t="shared" si="5"/>
        <v>1505</v>
      </c>
      <c r="N27" s="23">
        <f t="shared" si="6"/>
        <v>1520</v>
      </c>
      <c r="O27" s="23">
        <f t="shared" si="7"/>
        <v>1545</v>
      </c>
      <c r="P27" s="4"/>
      <c r="Q27" s="4"/>
      <c r="R27" s="4"/>
      <c r="S27" s="4"/>
      <c r="T27" s="4" t="s">
        <v>254</v>
      </c>
      <c r="U27" s="6" t="s">
        <v>730</v>
      </c>
      <c r="V27" s="23">
        <f>IF(C27="","",IFERROR(VLOOKUP(C27,SETUP!$A$9:$D$24,2,0),"⚠ Check SETUP"))</f>
        <v>1595</v>
      </c>
      <c r="W27" s="23">
        <f>IF(C27="","",IFERROR(VLOOKUP(C27,SETUP!$A$9:$D$24,3,0),"⚠ Check SETUP"))</f>
        <v>1504</v>
      </c>
      <c r="X27" s="22" t="str">
        <f>IF(C27="","",IFERROR(VLOOKUP(C27,SETUP!$A$9:$D$24,4,0),"⚠ Check SETUP"))</f>
        <v>Under</v>
      </c>
      <c r="Y27" s="24">
        <f t="shared" si="8"/>
        <v>2.3113528212100613E-2</v>
      </c>
      <c r="Z27" s="24">
        <f t="shared" si="9"/>
        <v>3.3310673011556761E-2</v>
      </c>
      <c r="AA27" s="24">
        <f t="shared" si="10"/>
        <v>5.0305914343983682E-2</v>
      </c>
      <c r="AB27" s="24" t="str">
        <f t="shared" si="11"/>
        <v/>
      </c>
    </row>
    <row r="29" spans="1:28" ht="25.5" customHeight="1" x14ac:dyDescent="0.25">
      <c r="A29" s="94" t="s">
        <v>66</v>
      </c>
      <c r="B29" s="94"/>
      <c r="C29" s="94"/>
      <c r="D29" s="94"/>
      <c r="E29" s="94"/>
      <c r="F29" s="94"/>
      <c r="G29" s="94"/>
      <c r="H29" s="27"/>
    </row>
    <row r="30" spans="1:28" ht="21.75" customHeight="1" x14ac:dyDescent="0.25">
      <c r="A30" s="28" t="s">
        <v>67</v>
      </c>
      <c r="B30" s="28" t="s">
        <v>68</v>
      </c>
      <c r="C30" s="28" t="s">
        <v>69</v>
      </c>
      <c r="D30" s="28" t="s">
        <v>70</v>
      </c>
      <c r="E30" s="28" t="s">
        <v>71</v>
      </c>
      <c r="F30" s="27"/>
      <c r="G30" s="27"/>
      <c r="H30" s="27"/>
    </row>
    <row r="31" spans="1:28" ht="21.75" customHeight="1" x14ac:dyDescent="0.25">
      <c r="A31" s="29" t="s">
        <v>72</v>
      </c>
      <c r="B31" s="30">
        <f>COUNTA(A4:A27)</f>
        <v>24</v>
      </c>
      <c r="C31" s="31"/>
      <c r="D31" s="31"/>
      <c r="E31" s="31"/>
      <c r="F31" s="27"/>
      <c r="G31" s="27"/>
      <c r="H31" s="27"/>
    </row>
    <row r="32" spans="1:28" ht="21.75" customHeight="1" x14ac:dyDescent="0.25">
      <c r="A32" s="32" t="s">
        <v>73</v>
      </c>
      <c r="B32" s="33">
        <f>COUNTA(Q4:Q27)</f>
        <v>12</v>
      </c>
      <c r="C32" s="34">
        <f>IFERROR(B32/B31,"-")</f>
        <v>0.5</v>
      </c>
      <c r="D32" s="34">
        <f>IFERROR(B32/(B32+B33),"-")</f>
        <v>0.5714285714285714</v>
      </c>
      <c r="E32" s="35" t="str">
        <f>IF(B31=0,"Awaiting data",IF(B32/B31&gt;=0.6,"On Track ✓","Needs Attention ⚠"))</f>
        <v>Needs Attention ⚠</v>
      </c>
      <c r="F32" s="27"/>
      <c r="G32" s="27"/>
      <c r="H32" s="27"/>
    </row>
    <row r="33" spans="1:8" ht="21.75" customHeight="1" x14ac:dyDescent="0.25">
      <c r="A33" s="36" t="s">
        <v>74</v>
      </c>
      <c r="B33" s="37">
        <f>COUNTA(S4:S27)</f>
        <v>9</v>
      </c>
      <c r="C33" s="38">
        <f>IFERROR(B33/B31,"-")</f>
        <v>0.375</v>
      </c>
      <c r="D33" s="38">
        <f>IFERROR(B33/(B32+B33),"-")</f>
        <v>0.42857142857142855</v>
      </c>
      <c r="E33" s="39" t="str">
        <f>IF(B31=0,"Awaiting data",IF(B33/B31&lt;=0.2,"Acceptable","High NTV ⚠"))</f>
        <v>High NTV ⚠</v>
      </c>
      <c r="F33" s="27"/>
      <c r="G33" s="27"/>
      <c r="H33" s="27"/>
    </row>
    <row r="34" spans="1:8" ht="21.75" customHeight="1" x14ac:dyDescent="0.25">
      <c r="A34" s="40" t="s">
        <v>75</v>
      </c>
      <c r="B34" s="41">
        <f>COUNTA(R4:R27)</f>
        <v>0</v>
      </c>
      <c r="C34" s="42">
        <f>IFERROR(B34/B31,"-")</f>
        <v>0</v>
      </c>
      <c r="D34" s="43" t="s">
        <v>76</v>
      </c>
      <c r="E34" s="44" t="s">
        <v>77</v>
      </c>
      <c r="F34" s="27"/>
      <c r="G34" s="27"/>
      <c r="H34" s="27"/>
    </row>
    <row r="35" spans="1:8" ht="21.75" customHeight="1" x14ac:dyDescent="0.25">
      <c r="A35" s="45" t="s">
        <v>78</v>
      </c>
      <c r="B35" s="46">
        <f>MAX(0,B31-B32-B33-B34)</f>
        <v>3</v>
      </c>
      <c r="C35" s="47">
        <f>IFERROR(B35/B31,"-")</f>
        <v>0.125</v>
      </c>
      <c r="D35" s="48" t="s">
        <v>76</v>
      </c>
      <c r="E35" s="49" t="str">
        <f>IF(B35=0,"All accounted for ✓","Follow up needed")</f>
        <v>Follow up needed</v>
      </c>
      <c r="F35" s="27"/>
      <c r="G35" s="27"/>
      <c r="H35" s="27"/>
    </row>
    <row r="36" spans="1:8" ht="7.5" customHeight="1" thickBot="1" x14ac:dyDescent="0.3">
      <c r="A36" s="27"/>
      <c r="B36" s="27"/>
      <c r="C36" s="27"/>
      <c r="D36" s="27"/>
      <c r="E36" s="27"/>
      <c r="F36" s="27"/>
      <c r="G36" s="27"/>
      <c r="H36" s="27"/>
    </row>
    <row r="37" spans="1:8" ht="37.5" customHeight="1" thickBot="1" x14ac:dyDescent="0.3">
      <c r="A37" s="95" t="s">
        <v>79</v>
      </c>
      <c r="B37" s="95"/>
      <c r="C37" s="50">
        <f>IFERROR(B32/B31,"-")</f>
        <v>0.5</v>
      </c>
      <c r="D37" s="96" t="str">
        <f>IF(B31=0,"Enter resident data to calculate",IF(B32/B31&gt;=0.6,"✓ Meeting target retention","⚠ Below target — review offers"))</f>
        <v>⚠ Below target — review offers</v>
      </c>
      <c r="E37" s="96"/>
      <c r="F37" s="96"/>
      <c r="G37" s="96"/>
      <c r="H37" s="27"/>
    </row>
    <row r="38" spans="1:8" ht="25.5" customHeight="1" x14ac:dyDescent="0.25">
      <c r="A38" s="97" t="s">
        <v>80</v>
      </c>
      <c r="B38" s="97"/>
      <c r="C38" s="51">
        <f>IFERROR(B32/(B32+B33),"-")</f>
        <v>0.5714285714285714</v>
      </c>
      <c r="D38" s="98" t="s">
        <v>81</v>
      </c>
      <c r="E38" s="98"/>
      <c r="F38" s="98"/>
      <c r="G38" s="98"/>
      <c r="H38" s="27"/>
    </row>
    <row r="39" spans="1:8" ht="18" customHeight="1" x14ac:dyDescent="0.25">
      <c r="A39" s="27"/>
      <c r="B39" s="27"/>
      <c r="C39" s="27"/>
      <c r="D39" s="27"/>
      <c r="E39" s="27"/>
      <c r="F39" s="27"/>
      <c r="G39" s="27"/>
      <c r="H39" s="27"/>
    </row>
    <row r="40" spans="1:8" ht="7.5" customHeight="1" x14ac:dyDescent="0.25">
      <c r="A40" s="27"/>
      <c r="B40" s="27"/>
      <c r="C40" s="27"/>
      <c r="D40" s="27"/>
      <c r="E40" s="27"/>
      <c r="F40" s="27"/>
      <c r="G40" s="27"/>
      <c r="H40" s="27"/>
    </row>
    <row r="41" spans="1:8" ht="21.75" customHeight="1" x14ac:dyDescent="0.25">
      <c r="A41" s="52" t="s">
        <v>82</v>
      </c>
      <c r="B41" s="27"/>
      <c r="C41" s="27"/>
      <c r="D41" s="27"/>
      <c r="E41" s="27"/>
      <c r="F41" s="27"/>
      <c r="G41" s="27"/>
      <c r="H41" s="27"/>
    </row>
    <row r="42" spans="1:8" ht="18" customHeight="1" x14ac:dyDescent="0.25">
      <c r="A42" s="53" t="s">
        <v>83</v>
      </c>
      <c r="B42" s="27"/>
      <c r="C42" s="27"/>
      <c r="D42" s="27"/>
      <c r="E42" s="27"/>
      <c r="F42" s="27"/>
      <c r="G42" s="27"/>
      <c r="H42" s="27"/>
    </row>
    <row r="43" spans="1:8" ht="18" customHeight="1" x14ac:dyDescent="0.25">
      <c r="A43" s="54" t="s">
        <v>84</v>
      </c>
      <c r="B43" s="27"/>
      <c r="C43" s="27"/>
      <c r="D43" s="27"/>
      <c r="E43" s="27"/>
      <c r="F43" s="27"/>
      <c r="G43" s="27"/>
      <c r="H43" s="27"/>
    </row>
    <row r="44" spans="1:8" ht="18" customHeight="1" x14ac:dyDescent="0.25">
      <c r="A44" s="55" t="s">
        <v>85</v>
      </c>
      <c r="B44" s="27"/>
      <c r="C44" s="27"/>
      <c r="D44" s="27"/>
      <c r="E44" s="27"/>
      <c r="F44" s="27"/>
      <c r="G44" s="27"/>
      <c r="H44" s="27"/>
    </row>
    <row r="45" spans="1:8" ht="18" customHeight="1" x14ac:dyDescent="0.25">
      <c r="A45" s="56" t="s">
        <v>86</v>
      </c>
      <c r="B45" s="27"/>
      <c r="C45" s="27"/>
      <c r="D45" s="27"/>
      <c r="E45" s="27"/>
      <c r="F45" s="27"/>
      <c r="G45" s="27"/>
      <c r="H45" s="27"/>
    </row>
    <row r="46" spans="1:8" ht="18" customHeight="1" x14ac:dyDescent="0.25">
      <c r="A46" s="57" t="s">
        <v>87</v>
      </c>
      <c r="B46" s="27"/>
      <c r="C46" s="27"/>
      <c r="D46" s="27"/>
      <c r="E46" s="27"/>
      <c r="F46" s="27"/>
      <c r="G46" s="27"/>
      <c r="H46" s="27"/>
    </row>
    <row r="47" spans="1:8" ht="15" customHeight="1" x14ac:dyDescent="0.25">
      <c r="A47" s="27"/>
      <c r="B47" s="27"/>
      <c r="C47" s="27"/>
      <c r="D47" s="27"/>
      <c r="E47" s="27"/>
      <c r="F47" s="27"/>
      <c r="G47" s="27"/>
      <c r="H47" s="27"/>
    </row>
    <row r="48" spans="1:8" ht="15" customHeight="1" x14ac:dyDescent="0.25">
      <c r="A48" s="27"/>
      <c r="B48" s="27"/>
      <c r="C48" s="27"/>
      <c r="D48" s="27"/>
      <c r="E48" s="27"/>
      <c r="F48" s="27"/>
      <c r="G48" s="27"/>
      <c r="H48" s="27"/>
    </row>
    <row r="49" spans="1:8" ht="15" customHeight="1" x14ac:dyDescent="0.25">
      <c r="A49" s="27"/>
      <c r="B49" s="27"/>
      <c r="C49" s="27"/>
      <c r="D49" s="27"/>
      <c r="E49" s="27"/>
      <c r="F49" s="27"/>
      <c r="G49" s="27"/>
      <c r="H49" s="27"/>
    </row>
    <row r="50" spans="1:8" ht="15" customHeight="1" x14ac:dyDescent="0.25">
      <c r="A50" s="27"/>
      <c r="B50" s="27"/>
      <c r="C50" s="27"/>
      <c r="D50" s="27"/>
      <c r="E50" s="27"/>
      <c r="F50" s="27"/>
      <c r="G50" s="27"/>
      <c r="H50" s="27"/>
    </row>
    <row r="51" spans="1:8" ht="15" customHeight="1" x14ac:dyDescent="0.25">
      <c r="A51" s="27"/>
      <c r="B51" s="27"/>
      <c r="C51" s="27"/>
      <c r="D51" s="27"/>
      <c r="E51" s="27"/>
      <c r="F51" s="27"/>
      <c r="G51" s="27"/>
      <c r="H51" s="27"/>
    </row>
    <row r="52" spans="1:8" ht="15" customHeight="1" x14ac:dyDescent="0.25">
      <c r="A52" s="27"/>
      <c r="B52" s="27"/>
      <c r="C52" s="27"/>
      <c r="D52" s="27"/>
      <c r="E52" s="27"/>
      <c r="F52" s="27"/>
      <c r="G52" s="27"/>
      <c r="H52" s="27"/>
    </row>
    <row r="53" spans="1:8" ht="15" customHeight="1" x14ac:dyDescent="0.25">
      <c r="A53" s="27"/>
      <c r="B53" s="27"/>
      <c r="C53" s="27"/>
      <c r="D53" s="27"/>
      <c r="E53" s="27"/>
      <c r="F53" s="27"/>
      <c r="G53" s="27"/>
      <c r="H53" s="27"/>
    </row>
  </sheetData>
  <mergeCells count="6">
    <mergeCell ref="A1:AB1"/>
    <mergeCell ref="A29:G29"/>
    <mergeCell ref="A37:B37"/>
    <mergeCell ref="D37:G37"/>
    <mergeCell ref="A38:B38"/>
    <mergeCell ref="D38:G38"/>
  </mergeCells>
  <conditionalFormatting sqref="A4:U27">
    <cfRule type="expression" dxfId="23" priority="1">
      <formula>$S4&lt;&gt;""</formula>
    </cfRule>
    <cfRule type="expression" dxfId="22" priority="2">
      <formula>$R4&lt;&gt;""</formula>
    </cfRule>
    <cfRule type="expression" dxfId="21" priority="3">
      <formula>$Q4&lt;&gt;""</formula>
    </cfRule>
  </conditionalFormatting>
  <dataValidations count="1">
    <dataValidation type="list" allowBlank="1" showInputMessage="1" showErrorMessage="1" sqref="P4:P27" xr:uid="{63D4DE75-738E-4E2F-9CFD-0E93995966A4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E101-2B28-42CB-B702-BF22C6A3E9D0}">
  <dimension ref="A1:AB51"/>
  <sheetViews>
    <sheetView tabSelected="1" zoomScaleNormal="100" workbookViewId="0">
      <pane ySplit="3" topLeftCell="A4" activePane="bottomLeft" state="frozen"/>
      <selection pane="bottomLeft" activeCell="K22" sqref="K22"/>
    </sheetView>
  </sheetViews>
  <sheetFormatPr defaultColWidth="8.5703125" defaultRowHeight="15" customHeight="1" x14ac:dyDescent="0.25"/>
  <cols>
    <col min="1" max="1" width="23" customWidth="1"/>
    <col min="2" max="2" width="10" customWidth="1"/>
    <col min="3" max="3" width="13.28515625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15.7109375" customWidth="1"/>
    <col min="21" max="21" width="45.7109375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255</v>
      </c>
      <c r="B4" s="60" t="s">
        <v>277</v>
      </c>
      <c r="C4" s="4" t="s">
        <v>95</v>
      </c>
      <c r="D4" s="19">
        <v>46206</v>
      </c>
      <c r="E4" s="20">
        <f t="shared" ref="E4:E25" si="0">IF(D4="","",D4-90)</f>
        <v>46116</v>
      </c>
      <c r="F4" s="20">
        <f t="shared" ref="F4:F25" si="1">IF(D4="","",D4-60)</f>
        <v>46146</v>
      </c>
      <c r="G4" s="20">
        <f t="shared" ref="G4:G25" si="2">IF(D4="","",D4-30)</f>
        <v>46176</v>
      </c>
      <c r="H4" s="21">
        <v>0</v>
      </c>
      <c r="I4" s="5">
        <v>1483</v>
      </c>
      <c r="J4" s="22" t="str">
        <f t="shared" ref="J4:J25" si="3">IF(I4="","",IF(ABS(N4-W4)&lt;=ABS(M4-W4),IF(ABS(N4-W4)&lt;=ABS(O4-W4),"Offer 2","Offer 3"),IF(ABS(M4-W4)&lt;=ABS(O4-W4),"Offer 1","Offer 3")))</f>
        <v>Offer 1</v>
      </c>
      <c r="K4" s="59">
        <v>0</v>
      </c>
      <c r="L4" s="23">
        <f t="shared" ref="L4:L22" si="4">IF(OR(I4="",K4=""),"",CEILING(I4*(1+K4),5))</f>
        <v>1485</v>
      </c>
      <c r="M4" s="23">
        <f t="shared" ref="M4:M25" si="5">IF(I4="","",IF(X4="Under",CEILING(MAX(I4*1.02,MIN(V4,W4)*0.95),5),CEILING(MAX(I4*1.03,MIN(V4,W4)*0.97),5)))</f>
        <v>1515</v>
      </c>
      <c r="N4" s="23">
        <f t="shared" ref="N4:N25" si="6">IF(I4="","",IF(X4="Under",CEILING(MAX(I4*1.03,(V4+W4)/2*0.96),5),CEILING(MAX(I4*1.05,(V4+W4)/2*0.98),5)))</f>
        <v>1530</v>
      </c>
      <c r="O4" s="23">
        <f t="shared" ref="O4:O25" si="7">IF(I4="","",IF(X4="Under",CEILING(MAX(I4*1.05,MIN(V4,W4*1.01)),5),CEILING(MAX(I4*1.08,MIN(V4,W4*1.02)),5)))</f>
        <v>1560</v>
      </c>
      <c r="P4" s="4"/>
      <c r="Q4" s="4"/>
      <c r="R4" s="4"/>
      <c r="S4" s="4"/>
      <c r="T4" s="4" t="s">
        <v>658</v>
      </c>
      <c r="U4" s="6" t="s">
        <v>723</v>
      </c>
      <c r="V4" s="23">
        <f>IF(C4="","",IFERROR(VLOOKUP(C4,SETUP!$A$9:$D$24,2,0),"⚠ Check SETUP"))</f>
        <v>1595</v>
      </c>
      <c r="W4" s="23">
        <f>IF(C4="","",IFERROR(VLOOKUP(C4,SETUP!$A$9:$D$24,3,0),"⚠ Check SETUP"))</f>
        <v>1504</v>
      </c>
      <c r="X4" s="22" t="str">
        <f>IF(C4="","",IFERROR(VLOOKUP(C4,SETUP!$A$9:$D$24,4,0),"⚠ Check SETUP"))</f>
        <v>Under</v>
      </c>
      <c r="Y4" s="24">
        <f t="shared" ref="Y4:Y25" si="8">IF(OR(I4="",M4=""),"",(M4-I4)/I4)</f>
        <v>2.157788267026298E-2</v>
      </c>
      <c r="Z4" s="24">
        <f t="shared" ref="Z4:Z25" si="9">IF(OR(I4="",N4=""),"",(N4-I4)/I4)</f>
        <v>3.1692515171948751E-2</v>
      </c>
      <c r="AA4" s="24">
        <f t="shared" ref="AA4:AA25" si="10">IF(OR(I4="",O4=""),"",(O4-I4)/I4)</f>
        <v>5.1921780175320294E-2</v>
      </c>
      <c r="AB4" s="24" t="str">
        <f t="shared" ref="AB4:AB25" si="11">IF(OR(Q4="",S4&lt;&gt;"",P4="",I4=""),"",IF(P4="Investor Override",IF(L4="","",(L4-I4)/I4),IF(P4="Offer 1",IF(M4="","",(M4-I4)/I4),IF(P4="Offer 2",IF(N4="","",(N4-I4)/I4),IF(P4="Offer 3",IF(O4="","",(O4-I4)/I4),"")))))</f>
        <v/>
      </c>
    </row>
    <row r="5" spans="1:28" ht="19.5" customHeight="1" x14ac:dyDescent="0.25">
      <c r="A5" s="6" t="s">
        <v>256</v>
      </c>
      <c r="B5" s="60" t="s">
        <v>278</v>
      </c>
      <c r="C5" s="4" t="s">
        <v>95</v>
      </c>
      <c r="D5" s="19">
        <v>46206</v>
      </c>
      <c r="E5" s="20">
        <f t="shared" si="0"/>
        <v>46116</v>
      </c>
      <c r="F5" s="20">
        <f t="shared" si="1"/>
        <v>46146</v>
      </c>
      <c r="G5" s="20">
        <f t="shared" si="2"/>
        <v>46176</v>
      </c>
      <c r="H5" s="21">
        <v>0</v>
      </c>
      <c r="I5" s="5">
        <v>1500</v>
      </c>
      <c r="J5" s="22" t="str">
        <f t="shared" si="3"/>
        <v>Offer 1</v>
      </c>
      <c r="K5" s="59">
        <v>0</v>
      </c>
      <c r="L5" s="23">
        <f t="shared" si="4"/>
        <v>1500</v>
      </c>
      <c r="M5" s="23">
        <f t="shared" si="5"/>
        <v>1530</v>
      </c>
      <c r="N5" s="23">
        <f t="shared" si="6"/>
        <v>1545</v>
      </c>
      <c r="O5" s="23">
        <f t="shared" si="7"/>
        <v>1575</v>
      </c>
      <c r="P5" s="4" t="s">
        <v>222</v>
      </c>
      <c r="Q5" s="61">
        <v>46120</v>
      </c>
      <c r="R5" s="4"/>
      <c r="S5" s="4"/>
      <c r="T5" s="4" t="s">
        <v>659</v>
      </c>
      <c r="U5" s="6" t="s">
        <v>724</v>
      </c>
      <c r="V5" s="23">
        <f>IF(C5="","",IFERROR(VLOOKUP(C5,SETUP!$A$9:$D$24,2,0),"⚠ Check SETUP"))</f>
        <v>1595</v>
      </c>
      <c r="W5" s="23">
        <f>IF(C5="","",IFERROR(VLOOKUP(C5,SETUP!$A$9:$D$24,3,0),"⚠ Check SETUP"))</f>
        <v>1504</v>
      </c>
      <c r="X5" s="22" t="str">
        <f>IF(C5="","",IFERROR(VLOOKUP(C5,SETUP!$A$9:$D$24,4,0),"⚠ Check SETUP"))</f>
        <v>Under</v>
      </c>
      <c r="Y5" s="24">
        <f t="shared" si="8"/>
        <v>0.02</v>
      </c>
      <c r="Z5" s="24">
        <f t="shared" si="9"/>
        <v>0.03</v>
      </c>
      <c r="AA5" s="24">
        <f t="shared" si="10"/>
        <v>0.05</v>
      </c>
      <c r="AB5" s="24">
        <f t="shared" si="11"/>
        <v>0</v>
      </c>
    </row>
    <row r="6" spans="1:28" ht="19.5" customHeight="1" x14ac:dyDescent="0.25">
      <c r="A6" s="6" t="s">
        <v>257</v>
      </c>
      <c r="B6" s="60" t="s">
        <v>279</v>
      </c>
      <c r="C6" s="4" t="s">
        <v>100</v>
      </c>
      <c r="D6" s="19">
        <v>46207</v>
      </c>
      <c r="E6" s="20">
        <f t="shared" si="0"/>
        <v>46117</v>
      </c>
      <c r="F6" s="20">
        <f t="shared" si="1"/>
        <v>46147</v>
      </c>
      <c r="G6" s="20">
        <f t="shared" si="2"/>
        <v>46177</v>
      </c>
      <c r="H6" s="21">
        <v>1796</v>
      </c>
      <c r="I6" s="5">
        <v>1847</v>
      </c>
      <c r="J6" s="22" t="str">
        <f t="shared" si="3"/>
        <v>Offer 1</v>
      </c>
      <c r="K6" s="59">
        <v>0</v>
      </c>
      <c r="L6" s="23">
        <v>1847</v>
      </c>
      <c r="M6" s="23">
        <f t="shared" si="5"/>
        <v>1885</v>
      </c>
      <c r="N6" s="23">
        <f t="shared" si="6"/>
        <v>1905</v>
      </c>
      <c r="O6" s="23">
        <f t="shared" si="7"/>
        <v>1940</v>
      </c>
      <c r="P6" s="4" t="s">
        <v>222</v>
      </c>
      <c r="Q6" s="61">
        <v>46116</v>
      </c>
      <c r="R6" s="4"/>
      <c r="S6" s="4"/>
      <c r="T6" s="4" t="s">
        <v>660</v>
      </c>
      <c r="U6" s="6" t="s">
        <v>656</v>
      </c>
      <c r="V6" s="23">
        <f>IF(C6="","",IFERROR(VLOOKUP(C6,SETUP!$A$9:$D$24,2,0),"⚠ Check SETUP"))</f>
        <v>1595</v>
      </c>
      <c r="W6" s="23">
        <f>IF(C6="","",IFERROR(VLOOKUP(C6,SETUP!$A$9:$D$24,3,0),"⚠ Check SETUP"))</f>
        <v>1806</v>
      </c>
      <c r="X6" s="22" t="str">
        <f>IF(C6="","",IFERROR(VLOOKUP(C6,SETUP!$A$9:$D$24,4,0),"⚠ Check SETUP"))</f>
        <v>Under</v>
      </c>
      <c r="Y6" s="24">
        <f t="shared" si="8"/>
        <v>2.057390362750406E-2</v>
      </c>
      <c r="Z6" s="24">
        <f t="shared" si="9"/>
        <v>3.1402273957769358E-2</v>
      </c>
      <c r="AA6" s="24">
        <f t="shared" si="10"/>
        <v>5.0351922035733625E-2</v>
      </c>
      <c r="AB6" s="24">
        <f t="shared" si="11"/>
        <v>0</v>
      </c>
    </row>
    <row r="7" spans="1:28" ht="19.5" customHeight="1" x14ac:dyDescent="0.25">
      <c r="A7" s="6" t="s">
        <v>258</v>
      </c>
      <c r="B7" s="60" t="s">
        <v>280</v>
      </c>
      <c r="C7" s="4" t="s">
        <v>100</v>
      </c>
      <c r="D7" s="19">
        <v>46208</v>
      </c>
      <c r="E7" s="20">
        <f t="shared" si="0"/>
        <v>46118</v>
      </c>
      <c r="F7" s="20">
        <f t="shared" si="1"/>
        <v>46148</v>
      </c>
      <c r="G7" s="20">
        <f t="shared" si="2"/>
        <v>46178</v>
      </c>
      <c r="H7" s="21">
        <v>0</v>
      </c>
      <c r="I7" s="5">
        <v>1807</v>
      </c>
      <c r="J7" s="22" t="str">
        <f t="shared" si="3"/>
        <v>Offer 1</v>
      </c>
      <c r="K7" s="59">
        <v>0</v>
      </c>
      <c r="L7" s="23">
        <v>1807</v>
      </c>
      <c r="M7" s="23">
        <f t="shared" si="5"/>
        <v>1845</v>
      </c>
      <c r="N7" s="23">
        <f t="shared" si="6"/>
        <v>1865</v>
      </c>
      <c r="O7" s="23">
        <f t="shared" si="7"/>
        <v>1900</v>
      </c>
      <c r="P7" s="4" t="s">
        <v>222</v>
      </c>
      <c r="Q7" s="61">
        <v>46120</v>
      </c>
      <c r="R7" s="4"/>
      <c r="S7" s="4"/>
      <c r="T7" s="4" t="s">
        <v>661</v>
      </c>
      <c r="U7" s="6" t="s">
        <v>654</v>
      </c>
      <c r="V7" s="23">
        <f>IF(C7="","",IFERROR(VLOOKUP(C7,SETUP!$A$9:$D$24,2,0),"⚠ Check SETUP"))</f>
        <v>1595</v>
      </c>
      <c r="W7" s="23">
        <f>IF(C7="","",IFERROR(VLOOKUP(C7,SETUP!$A$9:$D$24,3,0),"⚠ Check SETUP"))</f>
        <v>1806</v>
      </c>
      <c r="X7" s="22" t="str">
        <f>IF(C7="","",IFERROR(VLOOKUP(C7,SETUP!$A$9:$D$24,4,0),"⚠ Check SETUP"))</f>
        <v>Under</v>
      </c>
      <c r="Y7" s="24">
        <f t="shared" si="8"/>
        <v>2.1029330381848368E-2</v>
      </c>
      <c r="Z7" s="24">
        <f t="shared" si="9"/>
        <v>3.2097399003873824E-2</v>
      </c>
      <c r="AA7" s="24">
        <f t="shared" si="10"/>
        <v>5.1466519092418374E-2</v>
      </c>
      <c r="AB7" s="24">
        <f t="shared" si="11"/>
        <v>0</v>
      </c>
    </row>
    <row r="8" spans="1:28" ht="19.5" customHeight="1" x14ac:dyDescent="0.25">
      <c r="A8" s="6" t="s">
        <v>259</v>
      </c>
      <c r="B8" s="60" t="s">
        <v>281</v>
      </c>
      <c r="C8" s="4" t="s">
        <v>100</v>
      </c>
      <c r="D8" s="19">
        <v>46212</v>
      </c>
      <c r="E8" s="20">
        <f t="shared" si="0"/>
        <v>46122</v>
      </c>
      <c r="F8" s="20">
        <f t="shared" si="1"/>
        <v>46152</v>
      </c>
      <c r="G8" s="20">
        <f t="shared" si="2"/>
        <v>46182</v>
      </c>
      <c r="H8" s="21">
        <v>0</v>
      </c>
      <c r="I8" s="5">
        <v>1625</v>
      </c>
      <c r="J8" s="22" t="str">
        <f t="shared" si="3"/>
        <v>Offer 3</v>
      </c>
      <c r="K8" s="59">
        <v>0</v>
      </c>
      <c r="L8" s="23">
        <f t="shared" si="4"/>
        <v>1625</v>
      </c>
      <c r="M8" s="23">
        <f t="shared" si="5"/>
        <v>1660</v>
      </c>
      <c r="N8" s="23">
        <f t="shared" si="6"/>
        <v>1675</v>
      </c>
      <c r="O8" s="23">
        <f t="shared" si="7"/>
        <v>1710</v>
      </c>
      <c r="P8" s="4"/>
      <c r="Q8" s="4"/>
      <c r="R8" s="4"/>
      <c r="S8" s="4"/>
      <c r="T8" s="4" t="s">
        <v>662</v>
      </c>
      <c r="U8" s="6" t="s">
        <v>726</v>
      </c>
      <c r="V8" s="23">
        <f>IF(C8="","",IFERROR(VLOOKUP(C8,SETUP!$A$9:$D$24,2,0),"⚠ Check SETUP"))</f>
        <v>1595</v>
      </c>
      <c r="W8" s="23">
        <f>IF(C8="","",IFERROR(VLOOKUP(C8,SETUP!$A$9:$D$24,3,0),"⚠ Check SETUP"))</f>
        <v>1806</v>
      </c>
      <c r="X8" s="22" t="str">
        <f>IF(C8="","",IFERROR(VLOOKUP(C8,SETUP!$A$9:$D$24,4,0),"⚠ Check SETUP"))</f>
        <v>Under</v>
      </c>
      <c r="Y8" s="24">
        <f t="shared" si="8"/>
        <v>2.1538461538461538E-2</v>
      </c>
      <c r="Z8" s="24">
        <f t="shared" si="9"/>
        <v>3.0769230769230771E-2</v>
      </c>
      <c r="AA8" s="24">
        <f t="shared" si="10"/>
        <v>5.2307692307692305E-2</v>
      </c>
      <c r="AB8" s="24" t="str">
        <f t="shared" si="11"/>
        <v/>
      </c>
    </row>
    <row r="9" spans="1:28" ht="19.5" customHeight="1" x14ac:dyDescent="0.25">
      <c r="A9" s="6" t="s">
        <v>260</v>
      </c>
      <c r="B9" s="60" t="s">
        <v>282</v>
      </c>
      <c r="C9" s="4" t="s">
        <v>100</v>
      </c>
      <c r="D9" s="19">
        <v>46214</v>
      </c>
      <c r="E9" s="20">
        <f t="shared" si="0"/>
        <v>46124</v>
      </c>
      <c r="F9" s="20">
        <f t="shared" si="1"/>
        <v>46154</v>
      </c>
      <c r="G9" s="20">
        <f t="shared" si="2"/>
        <v>46184</v>
      </c>
      <c r="H9" s="21">
        <v>0</v>
      </c>
      <c r="I9" s="5">
        <v>1782</v>
      </c>
      <c r="J9" s="22" t="str">
        <f t="shared" si="3"/>
        <v>Offer 1</v>
      </c>
      <c r="K9" s="59">
        <v>0</v>
      </c>
      <c r="L9" s="23">
        <v>1782</v>
      </c>
      <c r="M9" s="23">
        <f t="shared" si="5"/>
        <v>1820</v>
      </c>
      <c r="N9" s="23">
        <f t="shared" si="6"/>
        <v>1840</v>
      </c>
      <c r="O9" s="23">
        <f t="shared" si="7"/>
        <v>1875</v>
      </c>
      <c r="P9" s="4" t="s">
        <v>222</v>
      </c>
      <c r="Q9" s="61">
        <v>46120</v>
      </c>
      <c r="R9" s="4"/>
      <c r="S9" s="4"/>
      <c r="T9" s="4" t="s">
        <v>663</v>
      </c>
      <c r="U9" s="6" t="s">
        <v>656</v>
      </c>
      <c r="V9" s="23">
        <f>IF(C9="","",IFERROR(VLOOKUP(C9,SETUP!$A$9:$D$24,2,0),"⚠ Check SETUP"))</f>
        <v>1595</v>
      </c>
      <c r="W9" s="23">
        <f>IF(C9="","",IFERROR(VLOOKUP(C9,SETUP!$A$9:$D$24,3,0),"⚠ Check SETUP"))</f>
        <v>1806</v>
      </c>
      <c r="X9" s="22" t="str">
        <f>IF(C9="","",IFERROR(VLOOKUP(C9,SETUP!$A$9:$D$24,4,0),"⚠ Check SETUP"))</f>
        <v>Under</v>
      </c>
      <c r="Y9" s="24">
        <f t="shared" si="8"/>
        <v>2.1324354657687991E-2</v>
      </c>
      <c r="Z9" s="24">
        <f t="shared" si="9"/>
        <v>3.2547699214365879E-2</v>
      </c>
      <c r="AA9" s="24">
        <f t="shared" si="10"/>
        <v>5.2188552188552187E-2</v>
      </c>
      <c r="AB9" s="24">
        <f t="shared" si="11"/>
        <v>0</v>
      </c>
    </row>
    <row r="10" spans="1:28" ht="19.5" customHeight="1" x14ac:dyDescent="0.25">
      <c r="A10" s="6" t="s">
        <v>261</v>
      </c>
      <c r="B10" s="60" t="s">
        <v>283</v>
      </c>
      <c r="C10" s="4" t="s">
        <v>100</v>
      </c>
      <c r="D10" s="19">
        <v>46214</v>
      </c>
      <c r="E10" s="20">
        <f t="shared" si="0"/>
        <v>46124</v>
      </c>
      <c r="F10" s="20">
        <f t="shared" si="1"/>
        <v>46154</v>
      </c>
      <c r="G10" s="20">
        <f t="shared" si="2"/>
        <v>46184</v>
      </c>
      <c r="H10" s="21">
        <v>0</v>
      </c>
      <c r="I10" s="5">
        <v>1645</v>
      </c>
      <c r="J10" s="22" t="str">
        <f t="shared" si="3"/>
        <v>Offer 3</v>
      </c>
      <c r="K10" s="59">
        <v>0</v>
      </c>
      <c r="L10" s="23">
        <f t="shared" si="4"/>
        <v>1645</v>
      </c>
      <c r="M10" s="23">
        <f t="shared" si="5"/>
        <v>1680</v>
      </c>
      <c r="N10" s="23">
        <f t="shared" si="6"/>
        <v>1695</v>
      </c>
      <c r="O10" s="23">
        <f t="shared" si="7"/>
        <v>1730</v>
      </c>
      <c r="P10" s="4" t="s">
        <v>222</v>
      </c>
      <c r="Q10" s="61">
        <v>46120</v>
      </c>
      <c r="R10" s="4"/>
      <c r="S10" s="4"/>
      <c r="T10" s="4" t="s">
        <v>664</v>
      </c>
      <c r="U10" s="6" t="s">
        <v>654</v>
      </c>
      <c r="V10" s="23">
        <f>IF(C10="","",IFERROR(VLOOKUP(C10,SETUP!$A$9:$D$24,2,0),"⚠ Check SETUP"))</f>
        <v>1595</v>
      </c>
      <c r="W10" s="23">
        <f>IF(C10="","",IFERROR(VLOOKUP(C10,SETUP!$A$9:$D$24,3,0),"⚠ Check SETUP"))</f>
        <v>1806</v>
      </c>
      <c r="X10" s="22" t="str">
        <f>IF(C10="","",IFERROR(VLOOKUP(C10,SETUP!$A$9:$D$24,4,0),"⚠ Check SETUP"))</f>
        <v>Under</v>
      </c>
      <c r="Y10" s="24">
        <f t="shared" si="8"/>
        <v>2.1276595744680851E-2</v>
      </c>
      <c r="Z10" s="24">
        <f t="shared" si="9"/>
        <v>3.0395136778115502E-2</v>
      </c>
      <c r="AA10" s="24">
        <f t="shared" si="10"/>
        <v>5.1671732522796353E-2</v>
      </c>
      <c r="AB10" s="24">
        <f t="shared" si="11"/>
        <v>0</v>
      </c>
    </row>
    <row r="11" spans="1:28" ht="19.5" customHeight="1" x14ac:dyDescent="0.25">
      <c r="A11" s="6" t="s">
        <v>262</v>
      </c>
      <c r="B11" s="60" t="s">
        <v>284</v>
      </c>
      <c r="C11" s="4" t="s">
        <v>108</v>
      </c>
      <c r="D11" s="19">
        <v>46215</v>
      </c>
      <c r="E11" s="20">
        <f t="shared" si="0"/>
        <v>46125</v>
      </c>
      <c r="F11" s="20">
        <f t="shared" si="1"/>
        <v>46155</v>
      </c>
      <c r="G11" s="20">
        <f t="shared" si="2"/>
        <v>46185</v>
      </c>
      <c r="H11" s="21">
        <v>500</v>
      </c>
      <c r="I11" s="5">
        <v>1275</v>
      </c>
      <c r="J11" s="22" t="str">
        <f t="shared" si="3"/>
        <v>Offer 1</v>
      </c>
      <c r="K11" s="59">
        <v>0</v>
      </c>
      <c r="L11" s="23">
        <f t="shared" si="4"/>
        <v>1275</v>
      </c>
      <c r="M11" s="23">
        <f t="shared" si="5"/>
        <v>1315</v>
      </c>
      <c r="N11" s="23">
        <f t="shared" si="6"/>
        <v>1340</v>
      </c>
      <c r="O11" s="23">
        <f t="shared" si="7"/>
        <v>1380</v>
      </c>
      <c r="P11" s="4"/>
      <c r="Q11" s="4"/>
      <c r="R11" s="4"/>
      <c r="S11" s="4"/>
      <c r="T11" s="4" t="s">
        <v>665</v>
      </c>
      <c r="U11" s="6" t="s">
        <v>723</v>
      </c>
      <c r="V11" s="23">
        <f>IF(C11="","",IFERROR(VLOOKUP(C11,SETUP!$A$9:$D$24,2,0),"⚠ Check SETUP"))</f>
        <v>1301</v>
      </c>
      <c r="W11" s="23">
        <f>IF(C11="","",IFERROR(VLOOKUP(C11,SETUP!$A$9:$D$24,3,0),"⚠ Check SETUP"))</f>
        <v>1298</v>
      </c>
      <c r="X11" s="22" t="str">
        <f>IF(C11="","",IFERROR(VLOOKUP(C11,SETUP!$A$9:$D$24,4,0),"⚠ Check SETUP"))</f>
        <v>Over</v>
      </c>
      <c r="Y11" s="24">
        <f t="shared" si="8"/>
        <v>3.1372549019607843E-2</v>
      </c>
      <c r="Z11" s="24">
        <f t="shared" si="9"/>
        <v>5.0980392156862744E-2</v>
      </c>
      <c r="AA11" s="24">
        <f t="shared" si="10"/>
        <v>8.2352941176470587E-2</v>
      </c>
      <c r="AB11" s="24" t="str">
        <f t="shared" si="11"/>
        <v/>
      </c>
    </row>
    <row r="12" spans="1:28" ht="19.5" customHeight="1" x14ac:dyDescent="0.25">
      <c r="A12" s="6" t="s">
        <v>263</v>
      </c>
      <c r="B12" s="60" t="s">
        <v>285</v>
      </c>
      <c r="C12" s="4" t="s">
        <v>13</v>
      </c>
      <c r="D12" s="19">
        <v>46215</v>
      </c>
      <c r="E12" s="20">
        <f t="shared" si="0"/>
        <v>46125</v>
      </c>
      <c r="F12" s="20">
        <f t="shared" si="1"/>
        <v>46155</v>
      </c>
      <c r="G12" s="20">
        <f t="shared" si="2"/>
        <v>46185</v>
      </c>
      <c r="H12" s="21">
        <v>0</v>
      </c>
      <c r="I12" s="5">
        <v>1582</v>
      </c>
      <c r="J12" s="22" t="str">
        <f t="shared" si="3"/>
        <v>Offer 3</v>
      </c>
      <c r="K12" s="59">
        <v>0</v>
      </c>
      <c r="L12" s="23">
        <f t="shared" si="4"/>
        <v>1585</v>
      </c>
      <c r="M12" s="23">
        <f t="shared" si="5"/>
        <v>1680</v>
      </c>
      <c r="N12" s="23">
        <f t="shared" si="6"/>
        <v>1720</v>
      </c>
      <c r="O12" s="23">
        <f t="shared" si="7"/>
        <v>1785</v>
      </c>
      <c r="P12" s="4"/>
      <c r="Q12" s="4"/>
      <c r="R12" s="4"/>
      <c r="S12" s="4"/>
      <c r="T12" s="4" t="s">
        <v>666</v>
      </c>
      <c r="U12" s="6" t="s">
        <v>723</v>
      </c>
      <c r="V12" s="23">
        <f>IF(C12="","",IFERROR(VLOOKUP(C12,SETUP!$A$9:$D$24,2,0),"⚠ Check SETUP"))</f>
        <v>1809</v>
      </c>
      <c r="W12" s="23">
        <f>IF(C12="","",IFERROR(VLOOKUP(C12,SETUP!$A$9:$D$24,3,0),"⚠ Check SETUP"))</f>
        <v>1764</v>
      </c>
      <c r="X12" s="22" t="str">
        <f>IF(C12="","",IFERROR(VLOOKUP(C12,SETUP!$A$9:$D$24,4,0),"⚠ Check SETUP"))</f>
        <v>Under</v>
      </c>
      <c r="Y12" s="24">
        <f t="shared" si="8"/>
        <v>6.1946902654867256E-2</v>
      </c>
      <c r="Z12" s="24">
        <f t="shared" si="9"/>
        <v>8.7231352718078387E-2</v>
      </c>
      <c r="AA12" s="24">
        <f t="shared" si="10"/>
        <v>0.12831858407079647</v>
      </c>
      <c r="AB12" s="24" t="str">
        <f t="shared" si="11"/>
        <v/>
      </c>
    </row>
    <row r="13" spans="1:28" ht="19.5" customHeight="1" x14ac:dyDescent="0.25">
      <c r="A13" s="6" t="s">
        <v>264</v>
      </c>
      <c r="B13" s="60" t="s">
        <v>286</v>
      </c>
      <c r="C13" s="4" t="s">
        <v>107</v>
      </c>
      <c r="D13" s="19">
        <v>46215</v>
      </c>
      <c r="E13" s="20">
        <f t="shared" si="0"/>
        <v>46125</v>
      </c>
      <c r="F13" s="20">
        <f t="shared" si="1"/>
        <v>46155</v>
      </c>
      <c r="G13" s="20">
        <f t="shared" si="2"/>
        <v>46185</v>
      </c>
      <c r="H13" s="21">
        <v>0</v>
      </c>
      <c r="I13" s="5">
        <v>1289</v>
      </c>
      <c r="J13" s="22" t="str">
        <f t="shared" si="3"/>
        <v>Offer 3</v>
      </c>
      <c r="K13" s="59">
        <v>0</v>
      </c>
      <c r="L13" s="23">
        <f t="shared" si="4"/>
        <v>1290</v>
      </c>
      <c r="M13" s="23">
        <f t="shared" si="5"/>
        <v>1315</v>
      </c>
      <c r="N13" s="23">
        <f t="shared" si="6"/>
        <v>1330</v>
      </c>
      <c r="O13" s="23">
        <f t="shared" si="7"/>
        <v>1365</v>
      </c>
      <c r="P13" s="4"/>
      <c r="Q13" s="4"/>
      <c r="R13" s="4"/>
      <c r="S13" s="4"/>
      <c r="T13" s="4" t="s">
        <v>667</v>
      </c>
      <c r="U13" s="6" t="s">
        <v>725</v>
      </c>
      <c r="V13" s="23">
        <f>IF(C13="","",IFERROR(VLOOKUP(C13,SETUP!$A$9:$D$24,2,0),"⚠ Check SETUP"))</f>
        <v>1365</v>
      </c>
      <c r="W13" s="23">
        <f>IF(C13="","",IFERROR(VLOOKUP(C13,SETUP!$A$9:$D$24,3,0),"⚠ Check SETUP"))</f>
        <v>1377</v>
      </c>
      <c r="X13" s="22" t="str">
        <f>IF(C13="","",IFERROR(VLOOKUP(C13,SETUP!$A$9:$D$24,4,0),"⚠ Check SETUP"))</f>
        <v>Under</v>
      </c>
      <c r="Y13" s="24">
        <f t="shared" si="8"/>
        <v>2.0170674941815361E-2</v>
      </c>
      <c r="Z13" s="24">
        <f t="shared" si="9"/>
        <v>3.1807602792862683E-2</v>
      </c>
      <c r="AA13" s="24">
        <f t="shared" si="10"/>
        <v>5.8960434445306437E-2</v>
      </c>
      <c r="AB13" s="24" t="str">
        <f t="shared" si="11"/>
        <v/>
      </c>
    </row>
    <row r="14" spans="1:28" ht="19.5" customHeight="1" x14ac:dyDescent="0.25">
      <c r="A14" s="6" t="s">
        <v>265</v>
      </c>
      <c r="B14" s="60" t="s">
        <v>287</v>
      </c>
      <c r="C14" s="4" t="s">
        <v>101</v>
      </c>
      <c r="D14" s="19">
        <v>46217</v>
      </c>
      <c r="E14" s="20">
        <f t="shared" si="0"/>
        <v>46127</v>
      </c>
      <c r="F14" s="20">
        <f t="shared" si="1"/>
        <v>46157</v>
      </c>
      <c r="G14" s="20">
        <f t="shared" si="2"/>
        <v>46187</v>
      </c>
      <c r="H14" s="21">
        <v>0</v>
      </c>
      <c r="I14" s="5">
        <v>1980.44</v>
      </c>
      <c r="J14" s="22" t="str">
        <f t="shared" si="3"/>
        <v>Offer 1</v>
      </c>
      <c r="K14" s="59">
        <v>0</v>
      </c>
      <c r="L14" s="23">
        <f t="shared" si="4"/>
        <v>1985</v>
      </c>
      <c r="M14" s="23">
        <f t="shared" si="5"/>
        <v>2025</v>
      </c>
      <c r="N14" s="23">
        <f t="shared" si="6"/>
        <v>2040</v>
      </c>
      <c r="O14" s="23">
        <f t="shared" si="7"/>
        <v>2080</v>
      </c>
      <c r="P14" s="4"/>
      <c r="Q14" s="4"/>
      <c r="R14" s="4"/>
      <c r="S14" s="4"/>
      <c r="T14" s="4" t="s">
        <v>668</v>
      </c>
      <c r="U14" s="6" t="s">
        <v>723</v>
      </c>
      <c r="V14" s="23">
        <f>IF(C14="","",IFERROR(VLOOKUP(C14,SETUP!$A$9:$D$24,2,0),"⚠ Check SETUP"))</f>
        <v>1880</v>
      </c>
      <c r="W14" s="23">
        <f>IF(C14="","",IFERROR(VLOOKUP(C14,SETUP!$A$9:$D$24,3,0),"⚠ Check SETUP"))</f>
        <v>1976</v>
      </c>
      <c r="X14" s="22" t="str">
        <f>IF(C14="","",IFERROR(VLOOKUP(C14,SETUP!$A$9:$D$24,4,0),"⚠ Check SETUP"))</f>
        <v>Under</v>
      </c>
      <c r="Y14" s="24">
        <f t="shared" si="8"/>
        <v>2.2500050493829627E-2</v>
      </c>
      <c r="Z14" s="24">
        <f t="shared" si="9"/>
        <v>3.0074124941932068E-2</v>
      </c>
      <c r="AA14" s="24">
        <f t="shared" si="10"/>
        <v>5.0271656803538581E-2</v>
      </c>
      <c r="AB14" s="24" t="str">
        <f t="shared" si="11"/>
        <v/>
      </c>
    </row>
    <row r="15" spans="1:28" ht="19.5" customHeight="1" x14ac:dyDescent="0.25">
      <c r="A15" s="6" t="s">
        <v>266</v>
      </c>
      <c r="B15" s="60" t="s">
        <v>288</v>
      </c>
      <c r="C15" s="4" t="s">
        <v>16</v>
      </c>
      <c r="D15" s="19">
        <v>46218</v>
      </c>
      <c r="E15" s="20">
        <f t="shared" si="0"/>
        <v>46128</v>
      </c>
      <c r="F15" s="20">
        <f t="shared" si="1"/>
        <v>46158</v>
      </c>
      <c r="G15" s="20">
        <f t="shared" si="2"/>
        <v>46188</v>
      </c>
      <c r="H15" s="21">
        <v>0</v>
      </c>
      <c r="I15" s="5">
        <v>2268</v>
      </c>
      <c r="J15" s="22" t="str">
        <f t="shared" si="3"/>
        <v>Offer 2</v>
      </c>
      <c r="K15" s="59">
        <v>0</v>
      </c>
      <c r="L15" s="23">
        <f t="shared" si="4"/>
        <v>2270</v>
      </c>
      <c r="M15" s="23">
        <f t="shared" si="5"/>
        <v>2315</v>
      </c>
      <c r="N15" s="23">
        <f t="shared" si="6"/>
        <v>2340</v>
      </c>
      <c r="O15" s="23">
        <f t="shared" si="7"/>
        <v>2385</v>
      </c>
      <c r="P15" s="4"/>
      <c r="Q15" s="4"/>
      <c r="R15" s="4"/>
      <c r="S15" s="4"/>
      <c r="T15" s="4" t="s">
        <v>669</v>
      </c>
      <c r="U15" s="6" t="s">
        <v>723</v>
      </c>
      <c r="V15" s="23">
        <f>IF(C15="","",IFERROR(VLOOKUP(C15,SETUP!$A$9:$D$24,2,0),"⚠ Check SETUP"))</f>
        <v>2406</v>
      </c>
      <c r="W15" s="23">
        <f>IF(C15="","",IFERROR(VLOOKUP(C15,SETUP!$A$9:$D$24,3,0),"⚠ Check SETUP"))</f>
        <v>2361</v>
      </c>
      <c r="X15" s="22" t="str">
        <f>IF(C15="","",IFERROR(VLOOKUP(C15,SETUP!$A$9:$D$24,4,0),"⚠ Check SETUP"))</f>
        <v>Under</v>
      </c>
      <c r="Y15" s="24">
        <f t="shared" si="8"/>
        <v>2.0723104056437389E-2</v>
      </c>
      <c r="Z15" s="24">
        <f t="shared" si="9"/>
        <v>3.1746031746031744E-2</v>
      </c>
      <c r="AA15" s="24">
        <f t="shared" si="10"/>
        <v>5.1587301587301584E-2</v>
      </c>
      <c r="AB15" s="24" t="str">
        <f t="shared" si="11"/>
        <v/>
      </c>
    </row>
    <row r="16" spans="1:28" ht="19.5" customHeight="1" x14ac:dyDescent="0.25">
      <c r="A16" s="6" t="s">
        <v>267</v>
      </c>
      <c r="B16" s="60" t="s">
        <v>289</v>
      </c>
      <c r="C16" s="4" t="s">
        <v>16</v>
      </c>
      <c r="D16" s="19">
        <v>46218</v>
      </c>
      <c r="E16" s="20">
        <f t="shared" si="0"/>
        <v>46128</v>
      </c>
      <c r="F16" s="20">
        <f t="shared" si="1"/>
        <v>46158</v>
      </c>
      <c r="G16" s="20">
        <f t="shared" si="2"/>
        <v>46188</v>
      </c>
      <c r="H16" s="21">
        <v>2412</v>
      </c>
      <c r="I16" s="5">
        <v>2507.06</v>
      </c>
      <c r="J16" s="22" t="str">
        <f t="shared" si="3"/>
        <v>Offer 1</v>
      </c>
      <c r="K16" s="59">
        <v>0</v>
      </c>
      <c r="L16" s="23">
        <f t="shared" si="4"/>
        <v>2510</v>
      </c>
      <c r="M16" s="23">
        <f t="shared" si="5"/>
        <v>2560</v>
      </c>
      <c r="N16" s="23">
        <f t="shared" si="6"/>
        <v>2585</v>
      </c>
      <c r="O16" s="23">
        <f t="shared" si="7"/>
        <v>2635</v>
      </c>
      <c r="P16" s="4"/>
      <c r="Q16" s="4"/>
      <c r="R16" s="4"/>
      <c r="S16" s="4"/>
      <c r="T16" s="4" t="s">
        <v>670</v>
      </c>
      <c r="U16" s="6" t="s">
        <v>723</v>
      </c>
      <c r="V16" s="23">
        <f>IF(C16="","",IFERROR(VLOOKUP(C16,SETUP!$A$9:$D$24,2,0),"⚠ Check SETUP"))</f>
        <v>2406</v>
      </c>
      <c r="W16" s="23">
        <f>IF(C16="","",IFERROR(VLOOKUP(C16,SETUP!$A$9:$D$24,3,0),"⚠ Check SETUP"))</f>
        <v>2361</v>
      </c>
      <c r="X16" s="22" t="str">
        <f>IF(C16="","",IFERROR(VLOOKUP(C16,SETUP!$A$9:$D$24,4,0),"⚠ Check SETUP"))</f>
        <v>Under</v>
      </c>
      <c r="Y16" s="24">
        <f t="shared" si="8"/>
        <v>2.1116367378523074E-2</v>
      </c>
      <c r="Z16" s="24">
        <f t="shared" si="9"/>
        <v>3.1088206903703963E-2</v>
      </c>
      <c r="AA16" s="24">
        <f t="shared" si="10"/>
        <v>5.1031885954065742E-2</v>
      </c>
      <c r="AB16" s="24" t="str">
        <f t="shared" si="11"/>
        <v/>
      </c>
    </row>
    <row r="17" spans="1:28" ht="19.5" customHeight="1" x14ac:dyDescent="0.25">
      <c r="A17" s="6" t="s">
        <v>268</v>
      </c>
      <c r="B17" s="60" t="s">
        <v>290</v>
      </c>
      <c r="C17" s="4" t="s">
        <v>95</v>
      </c>
      <c r="D17" s="19">
        <v>46222</v>
      </c>
      <c r="E17" s="20">
        <f t="shared" si="0"/>
        <v>46132</v>
      </c>
      <c r="F17" s="20">
        <f t="shared" si="1"/>
        <v>46162</v>
      </c>
      <c r="G17" s="20">
        <f t="shared" si="2"/>
        <v>46192</v>
      </c>
      <c r="H17" s="21">
        <v>0</v>
      </c>
      <c r="I17" s="5">
        <v>1526</v>
      </c>
      <c r="J17" s="22" t="str">
        <f t="shared" si="3"/>
        <v>Offer 1</v>
      </c>
      <c r="K17" s="59">
        <v>0</v>
      </c>
      <c r="L17" s="23">
        <v>1526</v>
      </c>
      <c r="M17" s="23">
        <f t="shared" si="5"/>
        <v>1560</v>
      </c>
      <c r="N17" s="23">
        <f t="shared" si="6"/>
        <v>1575</v>
      </c>
      <c r="O17" s="23">
        <f t="shared" si="7"/>
        <v>1605</v>
      </c>
      <c r="P17" s="4" t="s">
        <v>222</v>
      </c>
      <c r="Q17" s="61">
        <v>46122</v>
      </c>
      <c r="R17" s="4"/>
      <c r="S17" s="4"/>
      <c r="T17" s="4" t="s">
        <v>671</v>
      </c>
      <c r="U17" s="6" t="s">
        <v>654</v>
      </c>
      <c r="V17" s="23">
        <f>IF(C17="","",IFERROR(VLOOKUP(C17,SETUP!$A$9:$D$24,2,0),"⚠ Check SETUP"))</f>
        <v>1595</v>
      </c>
      <c r="W17" s="23">
        <f>IF(C17="","",IFERROR(VLOOKUP(C17,SETUP!$A$9:$D$24,3,0),"⚠ Check SETUP"))</f>
        <v>1504</v>
      </c>
      <c r="X17" s="22" t="str">
        <f>IF(C17="","",IFERROR(VLOOKUP(C17,SETUP!$A$9:$D$24,4,0),"⚠ Check SETUP"))</f>
        <v>Under</v>
      </c>
      <c r="Y17" s="24">
        <f t="shared" si="8"/>
        <v>2.2280471821756225E-2</v>
      </c>
      <c r="Z17" s="24">
        <f t="shared" si="9"/>
        <v>3.2110091743119268E-2</v>
      </c>
      <c r="AA17" s="24">
        <f t="shared" si="10"/>
        <v>5.1769331585845346E-2</v>
      </c>
      <c r="AB17" s="24">
        <f t="shared" si="11"/>
        <v>0</v>
      </c>
    </row>
    <row r="18" spans="1:28" ht="19.5" customHeight="1" x14ac:dyDescent="0.25">
      <c r="A18" s="6" t="s">
        <v>269</v>
      </c>
      <c r="B18" s="60" t="s">
        <v>291</v>
      </c>
      <c r="C18" s="4" t="s">
        <v>101</v>
      </c>
      <c r="D18" s="19">
        <v>46227</v>
      </c>
      <c r="E18" s="20">
        <f t="shared" si="0"/>
        <v>46137</v>
      </c>
      <c r="F18" s="20">
        <f t="shared" si="1"/>
        <v>46167</v>
      </c>
      <c r="G18" s="20">
        <f t="shared" si="2"/>
        <v>46197</v>
      </c>
      <c r="H18" s="21">
        <v>0</v>
      </c>
      <c r="I18" s="5">
        <v>1916</v>
      </c>
      <c r="J18" s="22" t="str">
        <f t="shared" si="3"/>
        <v>Offer 2</v>
      </c>
      <c r="K18" s="59">
        <v>0</v>
      </c>
      <c r="L18" s="23">
        <f t="shared" si="4"/>
        <v>1920</v>
      </c>
      <c r="M18" s="23">
        <f t="shared" si="5"/>
        <v>1955</v>
      </c>
      <c r="N18" s="23">
        <f t="shared" si="6"/>
        <v>1975</v>
      </c>
      <c r="O18" s="23">
        <f t="shared" si="7"/>
        <v>2015</v>
      </c>
      <c r="P18" s="4"/>
      <c r="Q18" s="4"/>
      <c r="R18" s="61">
        <v>46162</v>
      </c>
      <c r="S18" s="4"/>
      <c r="T18" s="4" t="s">
        <v>672</v>
      </c>
      <c r="U18" s="6" t="s">
        <v>731</v>
      </c>
      <c r="V18" s="23">
        <f>IF(C18="","",IFERROR(VLOOKUP(C18,SETUP!$A$9:$D$24,2,0),"⚠ Check SETUP"))</f>
        <v>1880</v>
      </c>
      <c r="W18" s="23">
        <f>IF(C18="","",IFERROR(VLOOKUP(C18,SETUP!$A$9:$D$24,3,0),"⚠ Check SETUP"))</f>
        <v>1976</v>
      </c>
      <c r="X18" s="22" t="str">
        <f>IF(C18="","",IFERROR(VLOOKUP(C18,SETUP!$A$9:$D$24,4,0),"⚠ Check SETUP"))</f>
        <v>Under</v>
      </c>
      <c r="Y18" s="24">
        <f t="shared" si="8"/>
        <v>2.035490605427975E-2</v>
      </c>
      <c r="Z18" s="24">
        <f t="shared" si="9"/>
        <v>3.0793319415448852E-2</v>
      </c>
      <c r="AA18" s="24">
        <f t="shared" si="10"/>
        <v>5.167014613778706E-2</v>
      </c>
      <c r="AB18" s="24" t="str">
        <f t="shared" si="11"/>
        <v/>
      </c>
    </row>
    <row r="19" spans="1:28" ht="19.5" customHeight="1" x14ac:dyDescent="0.25">
      <c r="A19" s="6" t="s">
        <v>270</v>
      </c>
      <c r="B19" s="60" t="s">
        <v>292</v>
      </c>
      <c r="C19" s="4" t="s">
        <v>101</v>
      </c>
      <c r="D19" s="19">
        <v>46229</v>
      </c>
      <c r="E19" s="20">
        <f t="shared" si="0"/>
        <v>46139</v>
      </c>
      <c r="F19" s="20">
        <f t="shared" si="1"/>
        <v>46169</v>
      </c>
      <c r="G19" s="20">
        <f t="shared" si="2"/>
        <v>46199</v>
      </c>
      <c r="H19" s="21">
        <v>0</v>
      </c>
      <c r="I19" s="5">
        <v>1936</v>
      </c>
      <c r="J19" s="22" t="str">
        <f t="shared" si="3"/>
        <v>Offer 1</v>
      </c>
      <c r="K19" s="59">
        <v>0</v>
      </c>
      <c r="L19" s="23">
        <v>1936</v>
      </c>
      <c r="M19" s="23">
        <f t="shared" si="5"/>
        <v>1975</v>
      </c>
      <c r="N19" s="23">
        <f t="shared" si="6"/>
        <v>1995</v>
      </c>
      <c r="O19" s="23">
        <f t="shared" si="7"/>
        <v>2035</v>
      </c>
      <c r="P19" s="4" t="s">
        <v>222</v>
      </c>
      <c r="Q19" s="61">
        <v>46122</v>
      </c>
      <c r="R19" s="4"/>
      <c r="S19" s="4"/>
      <c r="T19" s="4" t="s">
        <v>673</v>
      </c>
      <c r="U19" s="6" t="s">
        <v>656</v>
      </c>
      <c r="V19" s="23">
        <f>IF(C19="","",IFERROR(VLOOKUP(C19,SETUP!$A$9:$D$24,2,0),"⚠ Check SETUP"))</f>
        <v>1880</v>
      </c>
      <c r="W19" s="23">
        <f>IF(C19="","",IFERROR(VLOOKUP(C19,SETUP!$A$9:$D$24,3,0),"⚠ Check SETUP"))</f>
        <v>1976</v>
      </c>
      <c r="X19" s="22" t="str">
        <f>IF(C19="","",IFERROR(VLOOKUP(C19,SETUP!$A$9:$D$24,4,0),"⚠ Check SETUP"))</f>
        <v>Under</v>
      </c>
      <c r="Y19" s="24">
        <f t="shared" si="8"/>
        <v>2.0144628099173553E-2</v>
      </c>
      <c r="Z19" s="24">
        <f t="shared" si="9"/>
        <v>3.0475206611570247E-2</v>
      </c>
      <c r="AA19" s="24">
        <f t="shared" si="10"/>
        <v>5.113636363636364E-2</v>
      </c>
      <c r="AB19" s="24">
        <f t="shared" si="11"/>
        <v>0</v>
      </c>
    </row>
    <row r="20" spans="1:28" ht="19.5" customHeight="1" x14ac:dyDescent="0.25">
      <c r="A20" s="6" t="s">
        <v>271</v>
      </c>
      <c r="B20" s="60" t="s">
        <v>293</v>
      </c>
      <c r="C20" s="4" t="s">
        <v>95</v>
      </c>
      <c r="D20" s="19">
        <v>46231</v>
      </c>
      <c r="E20" s="20">
        <f t="shared" si="0"/>
        <v>46141</v>
      </c>
      <c r="F20" s="20">
        <f t="shared" si="1"/>
        <v>46171</v>
      </c>
      <c r="G20" s="20">
        <f t="shared" si="2"/>
        <v>46201</v>
      </c>
      <c r="H20" s="21">
        <v>0</v>
      </c>
      <c r="I20" s="5">
        <v>1545</v>
      </c>
      <c r="J20" s="22" t="str">
        <f t="shared" si="3"/>
        <v>Offer 1</v>
      </c>
      <c r="K20" s="59">
        <v>0</v>
      </c>
      <c r="L20" s="23">
        <f t="shared" si="4"/>
        <v>1545</v>
      </c>
      <c r="M20" s="23">
        <f t="shared" si="5"/>
        <v>1580</v>
      </c>
      <c r="N20" s="23">
        <f t="shared" si="6"/>
        <v>1595</v>
      </c>
      <c r="O20" s="23">
        <f t="shared" si="7"/>
        <v>1625</v>
      </c>
      <c r="P20" s="4"/>
      <c r="Q20" s="4"/>
      <c r="R20" s="4"/>
      <c r="S20" s="61">
        <v>46131</v>
      </c>
      <c r="T20" s="4" t="s">
        <v>674</v>
      </c>
      <c r="U20" s="6" t="s">
        <v>732</v>
      </c>
      <c r="V20" s="23">
        <f>IF(C20="","",IFERROR(VLOOKUP(C20,SETUP!$A$9:$D$24,2,0),"⚠ Check SETUP"))</f>
        <v>1595</v>
      </c>
      <c r="W20" s="23">
        <f>IF(C20="","",IFERROR(VLOOKUP(C20,SETUP!$A$9:$D$24,3,0),"⚠ Check SETUP"))</f>
        <v>1504</v>
      </c>
      <c r="X20" s="22" t="str">
        <f>IF(C20="","",IFERROR(VLOOKUP(C20,SETUP!$A$9:$D$24,4,0),"⚠ Check SETUP"))</f>
        <v>Under</v>
      </c>
      <c r="Y20" s="24">
        <f t="shared" si="8"/>
        <v>2.2653721682847898E-2</v>
      </c>
      <c r="Z20" s="24">
        <f t="shared" si="9"/>
        <v>3.2362459546925564E-2</v>
      </c>
      <c r="AA20" s="24">
        <f t="shared" si="10"/>
        <v>5.1779935275080909E-2</v>
      </c>
      <c r="AB20" s="24" t="str">
        <f t="shared" si="11"/>
        <v/>
      </c>
    </row>
    <row r="21" spans="1:28" ht="19.5" customHeight="1" x14ac:dyDescent="0.25">
      <c r="A21" s="6" t="s">
        <v>272</v>
      </c>
      <c r="B21" s="60" t="s">
        <v>294</v>
      </c>
      <c r="C21" s="4" t="s">
        <v>95</v>
      </c>
      <c r="D21" s="19">
        <v>46232</v>
      </c>
      <c r="E21" s="20">
        <f t="shared" si="0"/>
        <v>46142</v>
      </c>
      <c r="F21" s="20">
        <f t="shared" si="1"/>
        <v>46172</v>
      </c>
      <c r="G21" s="20">
        <f t="shared" si="2"/>
        <v>46202</v>
      </c>
      <c r="H21" s="21">
        <v>1510</v>
      </c>
      <c r="I21" s="5">
        <v>1510</v>
      </c>
      <c r="J21" s="22" t="str">
        <f t="shared" si="3"/>
        <v>Offer 1</v>
      </c>
      <c r="K21" s="59">
        <v>0</v>
      </c>
      <c r="L21" s="23">
        <v>1514</v>
      </c>
      <c r="M21" s="23">
        <f t="shared" si="5"/>
        <v>1545</v>
      </c>
      <c r="N21" s="23">
        <f t="shared" si="6"/>
        <v>1560</v>
      </c>
      <c r="O21" s="23">
        <f t="shared" si="7"/>
        <v>1590</v>
      </c>
      <c r="P21" s="4" t="s">
        <v>222</v>
      </c>
      <c r="Q21" s="61">
        <v>46119</v>
      </c>
      <c r="R21" s="4"/>
      <c r="S21" s="4"/>
      <c r="T21" s="4" t="s">
        <v>675</v>
      </c>
      <c r="U21" s="6" t="s">
        <v>656</v>
      </c>
      <c r="V21" s="23">
        <f>IF(C21="","",IFERROR(VLOOKUP(C21,SETUP!$A$9:$D$24,2,0),"⚠ Check SETUP"))</f>
        <v>1595</v>
      </c>
      <c r="W21" s="23">
        <f>IF(C21="","",IFERROR(VLOOKUP(C21,SETUP!$A$9:$D$24,3,0),"⚠ Check SETUP"))</f>
        <v>1504</v>
      </c>
      <c r="X21" s="22" t="str">
        <f>IF(C21="","",IFERROR(VLOOKUP(C21,SETUP!$A$9:$D$24,4,0),"⚠ Check SETUP"))</f>
        <v>Under</v>
      </c>
      <c r="Y21" s="24">
        <f t="shared" si="8"/>
        <v>2.3178807947019868E-2</v>
      </c>
      <c r="Z21" s="24">
        <f t="shared" si="9"/>
        <v>3.3112582781456956E-2</v>
      </c>
      <c r="AA21" s="24">
        <f t="shared" si="10"/>
        <v>5.2980132450331126E-2</v>
      </c>
      <c r="AB21" s="24">
        <f t="shared" si="11"/>
        <v>2.6490066225165563E-3</v>
      </c>
    </row>
    <row r="22" spans="1:28" ht="19.5" customHeight="1" x14ac:dyDescent="0.25">
      <c r="A22" s="6" t="s">
        <v>273</v>
      </c>
      <c r="B22" s="60" t="s">
        <v>295</v>
      </c>
      <c r="C22" s="4" t="s">
        <v>98</v>
      </c>
      <c r="D22" s="19">
        <v>46232</v>
      </c>
      <c r="E22" s="20">
        <f t="shared" si="0"/>
        <v>46142</v>
      </c>
      <c r="F22" s="20">
        <f t="shared" si="1"/>
        <v>46172</v>
      </c>
      <c r="G22" s="20">
        <f t="shared" si="2"/>
        <v>46202</v>
      </c>
      <c r="H22" s="21">
        <v>0</v>
      </c>
      <c r="I22" s="5">
        <v>1277</v>
      </c>
      <c r="J22" s="22" t="str">
        <f t="shared" si="3"/>
        <v>Offer 3</v>
      </c>
      <c r="K22" s="59">
        <v>0</v>
      </c>
      <c r="L22" s="23">
        <f t="shared" si="4"/>
        <v>1280</v>
      </c>
      <c r="M22" s="23">
        <f t="shared" si="5"/>
        <v>1380</v>
      </c>
      <c r="N22" s="23">
        <f t="shared" si="6"/>
        <v>1395</v>
      </c>
      <c r="O22" s="23">
        <f t="shared" si="7"/>
        <v>1425</v>
      </c>
      <c r="P22" s="4"/>
      <c r="Q22" s="4"/>
      <c r="R22" s="4"/>
      <c r="S22" s="4"/>
      <c r="T22" s="4" t="s">
        <v>676</v>
      </c>
      <c r="U22" s="6" t="s">
        <v>723</v>
      </c>
      <c r="V22" s="23">
        <f>IF(C22="","",IFERROR(VLOOKUP(C22,SETUP!$A$9:$D$24,2,0),"⚠ Check SETUP"))</f>
        <v>1421</v>
      </c>
      <c r="W22" s="23">
        <f>IF(C22="","",IFERROR(VLOOKUP(C22,SETUP!$A$9:$D$24,3,0),"⚠ Check SETUP"))</f>
        <v>1424</v>
      </c>
      <c r="X22" s="22" t="str">
        <f>IF(C22="","",IFERROR(VLOOKUP(C22,SETUP!$A$9:$D$24,4,0),"⚠ Check SETUP"))</f>
        <v>Over</v>
      </c>
      <c r="Y22" s="24">
        <f t="shared" si="8"/>
        <v>8.0657791699295225E-2</v>
      </c>
      <c r="Z22" s="24">
        <f t="shared" si="9"/>
        <v>9.2404072043852786E-2</v>
      </c>
      <c r="AA22" s="24">
        <f t="shared" si="10"/>
        <v>0.11589663273296789</v>
      </c>
      <c r="AB22" s="24" t="str">
        <f t="shared" si="11"/>
        <v/>
      </c>
    </row>
    <row r="23" spans="1:28" ht="19.5" customHeight="1" x14ac:dyDescent="0.25">
      <c r="A23" s="85" t="s">
        <v>274</v>
      </c>
      <c r="B23" s="89" t="s">
        <v>296</v>
      </c>
      <c r="C23" s="84" t="s">
        <v>95</v>
      </c>
      <c r="D23" s="90">
        <v>46232</v>
      </c>
      <c r="E23" s="20">
        <f t="shared" si="0"/>
        <v>46142</v>
      </c>
      <c r="F23" s="20">
        <f t="shared" si="1"/>
        <v>46172</v>
      </c>
      <c r="G23" s="20">
        <f t="shared" si="2"/>
        <v>46202</v>
      </c>
      <c r="H23" s="87">
        <v>0</v>
      </c>
      <c r="I23" s="88">
        <v>1529</v>
      </c>
      <c r="J23" s="22" t="str">
        <f t="shared" si="3"/>
        <v>Offer 1</v>
      </c>
      <c r="K23" s="86">
        <v>0</v>
      </c>
      <c r="L23" s="23">
        <v>1529</v>
      </c>
      <c r="M23" s="23">
        <f t="shared" si="5"/>
        <v>1560</v>
      </c>
      <c r="N23" s="23">
        <f t="shared" si="6"/>
        <v>1575</v>
      </c>
      <c r="O23" s="23">
        <f t="shared" si="7"/>
        <v>1610</v>
      </c>
      <c r="P23" s="84" t="s">
        <v>222</v>
      </c>
      <c r="Q23" s="91">
        <v>46122</v>
      </c>
      <c r="R23" s="84"/>
      <c r="S23" s="84"/>
      <c r="T23" s="84" t="s">
        <v>677</v>
      </c>
      <c r="U23" s="85" t="s">
        <v>654</v>
      </c>
      <c r="V23" s="23">
        <f>IF(C23="","",IFERROR(VLOOKUP(C23,SETUP!$A$9:$D$24,2,0),"⚠ Check SETUP"))</f>
        <v>1595</v>
      </c>
      <c r="W23" s="23">
        <f>IF(C23="","",IFERROR(VLOOKUP(C23,SETUP!$A$9:$D$24,3,0),"⚠ Check SETUP"))</f>
        <v>1504</v>
      </c>
      <c r="X23" s="22" t="str">
        <f>IF(C23="","",IFERROR(VLOOKUP(C23,SETUP!$A$9:$D$24,4,0),"⚠ Check SETUP"))</f>
        <v>Under</v>
      </c>
      <c r="Y23" s="24">
        <f t="shared" si="8"/>
        <v>2.0274689339437543E-2</v>
      </c>
      <c r="Z23" s="24">
        <f t="shared" si="9"/>
        <v>3.0085022890778287E-2</v>
      </c>
      <c r="AA23" s="24">
        <f t="shared" si="10"/>
        <v>5.2975801177240024E-2</v>
      </c>
      <c r="AB23" s="24">
        <f t="shared" si="11"/>
        <v>0</v>
      </c>
    </row>
    <row r="24" spans="1:28" ht="19.5" customHeight="1" x14ac:dyDescent="0.25">
      <c r="A24" s="85" t="s">
        <v>275</v>
      </c>
      <c r="B24" s="89" t="s">
        <v>297</v>
      </c>
      <c r="C24" s="84" t="s">
        <v>98</v>
      </c>
      <c r="D24" s="90">
        <v>46234</v>
      </c>
      <c r="E24" s="20">
        <f t="shared" si="0"/>
        <v>46144</v>
      </c>
      <c r="F24" s="20">
        <f t="shared" si="1"/>
        <v>46174</v>
      </c>
      <c r="G24" s="20">
        <f t="shared" si="2"/>
        <v>46204</v>
      </c>
      <c r="H24" s="87">
        <v>1464</v>
      </c>
      <c r="I24" s="88">
        <v>1539</v>
      </c>
      <c r="J24" s="22" t="str">
        <f t="shared" si="3"/>
        <v>Offer 1</v>
      </c>
      <c r="K24" s="86">
        <v>0</v>
      </c>
      <c r="L24" s="23">
        <v>1539</v>
      </c>
      <c r="M24" s="23">
        <f t="shared" si="5"/>
        <v>1590</v>
      </c>
      <c r="N24" s="23">
        <f t="shared" si="6"/>
        <v>1620</v>
      </c>
      <c r="O24" s="23">
        <f t="shared" si="7"/>
        <v>1665</v>
      </c>
      <c r="P24" s="84" t="s">
        <v>222</v>
      </c>
      <c r="Q24" s="91">
        <v>46121</v>
      </c>
      <c r="R24" s="84"/>
      <c r="S24" s="84"/>
      <c r="T24" s="84" t="s">
        <v>678</v>
      </c>
      <c r="U24" s="85" t="s">
        <v>724</v>
      </c>
      <c r="V24" s="23">
        <f>IF(C24="","",IFERROR(VLOOKUP(C24,SETUP!$A$9:$D$24,2,0),"⚠ Check SETUP"))</f>
        <v>1421</v>
      </c>
      <c r="W24" s="23">
        <f>IF(C24="","",IFERROR(VLOOKUP(C24,SETUP!$A$9:$D$24,3,0),"⚠ Check SETUP"))</f>
        <v>1424</v>
      </c>
      <c r="X24" s="22" t="str">
        <f>IF(C24="","",IFERROR(VLOOKUP(C24,SETUP!$A$9:$D$24,4,0),"⚠ Check SETUP"))</f>
        <v>Over</v>
      </c>
      <c r="Y24" s="24">
        <f t="shared" si="8"/>
        <v>3.3138401559454189E-2</v>
      </c>
      <c r="Z24" s="24">
        <f t="shared" si="9"/>
        <v>5.2631578947368418E-2</v>
      </c>
      <c r="AA24" s="24">
        <f t="shared" si="10"/>
        <v>8.1871345029239762E-2</v>
      </c>
      <c r="AB24" s="24">
        <f t="shared" si="11"/>
        <v>0</v>
      </c>
    </row>
    <row r="25" spans="1:28" ht="19.5" customHeight="1" x14ac:dyDescent="0.25">
      <c r="A25" s="6" t="s">
        <v>276</v>
      </c>
      <c r="B25" s="60" t="s">
        <v>298</v>
      </c>
      <c r="C25" s="4" t="s">
        <v>100</v>
      </c>
      <c r="D25" s="19">
        <v>46234</v>
      </c>
      <c r="E25" s="20">
        <f t="shared" si="0"/>
        <v>46144</v>
      </c>
      <c r="F25" s="20">
        <f t="shared" si="1"/>
        <v>46174</v>
      </c>
      <c r="G25" s="20">
        <f t="shared" si="2"/>
        <v>46204</v>
      </c>
      <c r="H25" s="21">
        <v>500</v>
      </c>
      <c r="I25" s="5">
        <v>1918</v>
      </c>
      <c r="J25" s="22" t="str">
        <f t="shared" si="3"/>
        <v>Offer 1</v>
      </c>
      <c r="K25" s="59">
        <v>0</v>
      </c>
      <c r="L25" s="23">
        <v>1918</v>
      </c>
      <c r="M25" s="23">
        <f t="shared" si="5"/>
        <v>1960</v>
      </c>
      <c r="N25" s="23">
        <f t="shared" si="6"/>
        <v>1980</v>
      </c>
      <c r="O25" s="23">
        <f t="shared" si="7"/>
        <v>2015</v>
      </c>
      <c r="P25" s="4" t="s">
        <v>222</v>
      </c>
      <c r="Q25" s="61">
        <v>46121</v>
      </c>
      <c r="R25" s="4"/>
      <c r="S25" s="4"/>
      <c r="T25" s="4" t="s">
        <v>679</v>
      </c>
      <c r="U25" s="6" t="s">
        <v>654</v>
      </c>
      <c r="V25" s="23">
        <f>IF(C25="","",IFERROR(VLOOKUP(C25,SETUP!$A$9:$D$24,2,0),"⚠ Check SETUP"))</f>
        <v>1595</v>
      </c>
      <c r="W25" s="23">
        <f>IF(C25="","",IFERROR(VLOOKUP(C25,SETUP!$A$9:$D$24,3,0),"⚠ Check SETUP"))</f>
        <v>1806</v>
      </c>
      <c r="X25" s="22" t="str">
        <f>IF(C25="","",IFERROR(VLOOKUP(C25,SETUP!$A$9:$D$24,4,0),"⚠ Check SETUP"))</f>
        <v>Under</v>
      </c>
      <c r="Y25" s="24">
        <f t="shared" si="8"/>
        <v>2.1897810218978103E-2</v>
      </c>
      <c r="Z25" s="24">
        <f t="shared" si="9"/>
        <v>3.2325338894681963E-2</v>
      </c>
      <c r="AA25" s="24">
        <f t="shared" si="10"/>
        <v>5.0573514077163713E-2</v>
      </c>
      <c r="AB25" s="24">
        <f t="shared" si="11"/>
        <v>0</v>
      </c>
    </row>
    <row r="27" spans="1:28" ht="25.5" customHeight="1" x14ac:dyDescent="0.25">
      <c r="A27" s="94" t="s">
        <v>66</v>
      </c>
      <c r="B27" s="94"/>
      <c r="C27" s="94"/>
      <c r="D27" s="94"/>
      <c r="E27" s="94"/>
      <c r="F27" s="94"/>
      <c r="G27" s="94"/>
      <c r="H27" s="27"/>
    </row>
    <row r="28" spans="1:28" ht="21.75" customHeight="1" x14ac:dyDescent="0.25">
      <c r="A28" s="28" t="s">
        <v>67</v>
      </c>
      <c r="B28" s="28" t="s">
        <v>68</v>
      </c>
      <c r="C28" s="28" t="s">
        <v>69</v>
      </c>
      <c r="D28" s="28" t="s">
        <v>70</v>
      </c>
      <c r="E28" s="28" t="s">
        <v>71</v>
      </c>
      <c r="F28" s="27"/>
      <c r="G28" s="27"/>
      <c r="H28" s="27"/>
    </row>
    <row r="29" spans="1:28" ht="21.75" customHeight="1" x14ac:dyDescent="0.25">
      <c r="A29" s="29" t="s">
        <v>72</v>
      </c>
      <c r="B29" s="30">
        <f>COUNTA(A4:A25)</f>
        <v>22</v>
      </c>
      <c r="C29" s="31"/>
      <c r="D29" s="31"/>
      <c r="E29" s="31"/>
      <c r="F29" s="27"/>
      <c r="G29" s="27"/>
      <c r="H29" s="27"/>
    </row>
    <row r="30" spans="1:28" ht="21.75" customHeight="1" x14ac:dyDescent="0.25">
      <c r="A30" s="32" t="s">
        <v>73</v>
      </c>
      <c r="B30" s="33">
        <f>COUNTA(Q4:Q25)</f>
        <v>11</v>
      </c>
      <c r="C30" s="34">
        <f>IFERROR(B30/B29,"-")</f>
        <v>0.5</v>
      </c>
      <c r="D30" s="34">
        <f>IFERROR(B30/(B30+B31),"-")</f>
        <v>0.91666666666666663</v>
      </c>
      <c r="E30" s="35" t="str">
        <f>IF(B29=0,"Awaiting data",IF(B30/B29&gt;=0.6,"On Track ✓","Needs Attention ⚠"))</f>
        <v>Needs Attention ⚠</v>
      </c>
      <c r="F30" s="27"/>
      <c r="G30" s="27"/>
      <c r="H30" s="27"/>
    </row>
    <row r="31" spans="1:28" ht="21.75" customHeight="1" x14ac:dyDescent="0.25">
      <c r="A31" s="36" t="s">
        <v>74</v>
      </c>
      <c r="B31" s="37">
        <f>COUNTA(S4:S25)</f>
        <v>1</v>
      </c>
      <c r="C31" s="38">
        <f>IFERROR(B31/B29,"-")</f>
        <v>4.5454545454545456E-2</v>
      </c>
      <c r="D31" s="38">
        <f>IFERROR(B31/(B30+B31),"-")</f>
        <v>8.3333333333333329E-2</v>
      </c>
      <c r="E31" s="39" t="str">
        <f>IF(B29=0,"Awaiting data",IF(B31/B29&lt;=0.2,"Acceptable","High NTV ⚠"))</f>
        <v>Acceptable</v>
      </c>
      <c r="F31" s="27"/>
      <c r="G31" s="27"/>
      <c r="H31" s="27"/>
    </row>
    <row r="32" spans="1:28" ht="21.75" customHeight="1" x14ac:dyDescent="0.25">
      <c r="A32" s="40" t="s">
        <v>75</v>
      </c>
      <c r="B32" s="41">
        <f>COUNTA(R4:R25)</f>
        <v>1</v>
      </c>
      <c r="C32" s="42">
        <f>IFERROR(B32/B29,"-")</f>
        <v>4.5454545454545456E-2</v>
      </c>
      <c r="D32" s="43" t="s">
        <v>76</v>
      </c>
      <c r="E32" s="44" t="s">
        <v>77</v>
      </c>
      <c r="F32" s="27"/>
      <c r="G32" s="27"/>
      <c r="H32" s="27"/>
    </row>
    <row r="33" spans="1:8" ht="21.75" customHeight="1" x14ac:dyDescent="0.25">
      <c r="A33" s="45" t="s">
        <v>78</v>
      </c>
      <c r="B33" s="46">
        <f>MAX(0,B29-B30-B31-B32)</f>
        <v>9</v>
      </c>
      <c r="C33" s="47">
        <f>IFERROR(B33/B29,"-")</f>
        <v>0.40909090909090912</v>
      </c>
      <c r="D33" s="48" t="s">
        <v>76</v>
      </c>
      <c r="E33" s="49" t="str">
        <f>IF(B33=0,"All accounted for ✓","Follow up needed")</f>
        <v>Follow up needed</v>
      </c>
      <c r="F33" s="27"/>
      <c r="G33" s="27"/>
      <c r="H33" s="27"/>
    </row>
    <row r="34" spans="1:8" ht="7.5" customHeight="1" thickBot="1" x14ac:dyDescent="0.3">
      <c r="A34" s="27"/>
      <c r="B34" s="27"/>
      <c r="C34" s="27"/>
      <c r="D34" s="27"/>
      <c r="E34" s="27"/>
      <c r="F34" s="27"/>
      <c r="G34" s="27"/>
      <c r="H34" s="27"/>
    </row>
    <row r="35" spans="1:8" ht="37.5" customHeight="1" thickBot="1" x14ac:dyDescent="0.3">
      <c r="A35" s="95" t="s">
        <v>79</v>
      </c>
      <c r="B35" s="95"/>
      <c r="C35" s="50">
        <f>IFERROR(B30/B29,"-")</f>
        <v>0.5</v>
      </c>
      <c r="D35" s="96" t="str">
        <f>IF(B29=0,"Enter resident data to calculate",IF(B30/B29&gt;=0.6,"✓ Meeting target retention","⚠ Below target — review offers"))</f>
        <v>⚠ Below target — review offers</v>
      </c>
      <c r="E35" s="96"/>
      <c r="F35" s="96"/>
      <c r="G35" s="96"/>
      <c r="H35" s="27"/>
    </row>
    <row r="36" spans="1:8" ht="25.5" customHeight="1" x14ac:dyDescent="0.25">
      <c r="A36" s="97" t="s">
        <v>80</v>
      </c>
      <c r="B36" s="97"/>
      <c r="C36" s="51">
        <f>IFERROR(B30/(B30+B31),"-")</f>
        <v>0.91666666666666663</v>
      </c>
      <c r="D36" s="98" t="s">
        <v>81</v>
      </c>
      <c r="E36" s="98"/>
      <c r="F36" s="98"/>
      <c r="G36" s="98"/>
      <c r="H36" s="27"/>
    </row>
    <row r="37" spans="1:8" ht="18" customHeight="1" x14ac:dyDescent="0.25">
      <c r="A37" s="27"/>
      <c r="B37" s="27"/>
      <c r="C37" s="27"/>
      <c r="D37" s="27"/>
      <c r="E37" s="27"/>
      <c r="F37" s="27"/>
      <c r="G37" s="27"/>
      <c r="H37" s="27"/>
    </row>
    <row r="38" spans="1:8" ht="7.5" customHeight="1" x14ac:dyDescent="0.25">
      <c r="A38" s="27"/>
      <c r="B38" s="27"/>
      <c r="C38" s="27"/>
      <c r="D38" s="27"/>
      <c r="E38" s="27"/>
      <c r="F38" s="27"/>
      <c r="G38" s="27"/>
      <c r="H38" s="27"/>
    </row>
    <row r="39" spans="1:8" ht="21.75" customHeight="1" x14ac:dyDescent="0.25">
      <c r="A39" s="52" t="s">
        <v>82</v>
      </c>
      <c r="B39" s="27"/>
      <c r="C39" s="27"/>
      <c r="D39" s="27"/>
      <c r="E39" s="27"/>
      <c r="F39" s="27"/>
      <c r="G39" s="27"/>
      <c r="H39" s="27"/>
    </row>
    <row r="40" spans="1:8" ht="18" customHeight="1" x14ac:dyDescent="0.25">
      <c r="A40" s="53" t="s">
        <v>83</v>
      </c>
      <c r="B40" s="27"/>
      <c r="C40" s="27"/>
      <c r="D40" s="27"/>
      <c r="E40" s="27"/>
      <c r="F40" s="27"/>
      <c r="G40" s="27"/>
      <c r="H40" s="27"/>
    </row>
    <row r="41" spans="1:8" ht="18" customHeight="1" x14ac:dyDescent="0.25">
      <c r="A41" s="54" t="s">
        <v>84</v>
      </c>
      <c r="B41" s="27"/>
      <c r="C41" s="27"/>
      <c r="D41" s="27"/>
      <c r="E41" s="27"/>
      <c r="F41" s="27"/>
      <c r="G41" s="27"/>
      <c r="H41" s="27"/>
    </row>
    <row r="42" spans="1:8" ht="18" customHeight="1" x14ac:dyDescent="0.25">
      <c r="A42" s="55" t="s">
        <v>85</v>
      </c>
      <c r="B42" s="27"/>
      <c r="C42" s="27"/>
      <c r="D42" s="27"/>
      <c r="E42" s="27"/>
      <c r="F42" s="27"/>
      <c r="G42" s="27"/>
      <c r="H42" s="27"/>
    </row>
    <row r="43" spans="1:8" ht="18" customHeight="1" x14ac:dyDescent="0.25">
      <c r="A43" s="56" t="s">
        <v>86</v>
      </c>
      <c r="B43" s="27"/>
      <c r="C43" s="27"/>
      <c r="D43" s="27"/>
      <c r="E43" s="27"/>
      <c r="F43" s="27"/>
      <c r="G43" s="27"/>
      <c r="H43" s="27"/>
    </row>
    <row r="44" spans="1:8" ht="18" customHeight="1" x14ac:dyDescent="0.25">
      <c r="A44" s="57" t="s">
        <v>87</v>
      </c>
      <c r="B44" s="27"/>
      <c r="C44" s="27"/>
      <c r="D44" s="27"/>
      <c r="E44" s="27"/>
      <c r="F44" s="27"/>
      <c r="G44" s="27"/>
      <c r="H44" s="27"/>
    </row>
    <row r="45" spans="1:8" ht="15" customHeight="1" x14ac:dyDescent="0.25">
      <c r="A45" s="27"/>
      <c r="B45" s="27"/>
      <c r="C45" s="27"/>
      <c r="D45" s="27"/>
      <c r="E45" s="27"/>
      <c r="F45" s="27"/>
      <c r="G45" s="27"/>
      <c r="H45" s="27"/>
    </row>
    <row r="46" spans="1:8" ht="15" customHeight="1" x14ac:dyDescent="0.25">
      <c r="A46" s="27"/>
      <c r="B46" s="27"/>
      <c r="C46" s="27"/>
      <c r="D46" s="27"/>
      <c r="E46" s="27"/>
      <c r="F46" s="27"/>
      <c r="G46" s="27"/>
      <c r="H46" s="27"/>
    </row>
    <row r="47" spans="1:8" ht="15" customHeight="1" x14ac:dyDescent="0.25">
      <c r="A47" s="27"/>
      <c r="B47" s="27"/>
      <c r="C47" s="27"/>
      <c r="D47" s="27"/>
      <c r="E47" s="27"/>
      <c r="F47" s="27"/>
      <c r="G47" s="27"/>
      <c r="H47" s="27"/>
    </row>
    <row r="48" spans="1:8" ht="15" customHeight="1" x14ac:dyDescent="0.25">
      <c r="A48" s="27"/>
      <c r="B48" s="27"/>
      <c r="C48" s="27"/>
      <c r="D48" s="27"/>
      <c r="E48" s="27"/>
      <c r="F48" s="27"/>
      <c r="G48" s="27"/>
      <c r="H48" s="27"/>
    </row>
    <row r="49" spans="1:8" ht="15" customHeight="1" x14ac:dyDescent="0.25">
      <c r="A49" s="27"/>
      <c r="B49" s="27"/>
      <c r="C49" s="27"/>
      <c r="D49" s="27"/>
      <c r="E49" s="27"/>
      <c r="F49" s="27"/>
      <c r="G49" s="27"/>
      <c r="H49" s="27"/>
    </row>
    <row r="50" spans="1:8" ht="15" customHeight="1" x14ac:dyDescent="0.25">
      <c r="A50" s="27"/>
      <c r="B50" s="27"/>
      <c r="C50" s="27"/>
      <c r="D50" s="27"/>
      <c r="E50" s="27"/>
      <c r="F50" s="27"/>
      <c r="G50" s="27"/>
      <c r="H50" s="27"/>
    </row>
    <row r="51" spans="1:8" ht="15" customHeight="1" x14ac:dyDescent="0.25">
      <c r="A51" s="27"/>
      <c r="B51" s="27"/>
      <c r="C51" s="27"/>
      <c r="D51" s="27"/>
      <c r="E51" s="27"/>
      <c r="F51" s="27"/>
      <c r="G51" s="27"/>
      <c r="H51" s="27"/>
    </row>
  </sheetData>
  <mergeCells count="6">
    <mergeCell ref="A1:AB1"/>
    <mergeCell ref="A27:G27"/>
    <mergeCell ref="A35:B35"/>
    <mergeCell ref="D35:G35"/>
    <mergeCell ref="A36:B36"/>
    <mergeCell ref="D36:G36"/>
  </mergeCells>
  <conditionalFormatting sqref="A4:T4 A5:U25">
    <cfRule type="expression" dxfId="20" priority="1">
      <formula>$S4&lt;&gt;""</formula>
    </cfRule>
    <cfRule type="expression" dxfId="19" priority="2">
      <formula>$R4&lt;&gt;""</formula>
    </cfRule>
    <cfRule type="expression" dxfId="18" priority="3">
      <formula>$Q4&lt;&gt;""</formula>
    </cfRule>
  </conditionalFormatting>
  <dataValidations count="1">
    <dataValidation type="list" allowBlank="1" showInputMessage="1" showErrorMessage="1" sqref="P4:P25" xr:uid="{6AB1E2BF-DF90-4B7B-A52B-6E90BE1E2E33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BB41-DE02-4CFA-A4FF-F85010B5F715}">
  <dimension ref="A1:AB50"/>
  <sheetViews>
    <sheetView zoomScaleNormal="100" workbookViewId="0">
      <pane ySplit="3" topLeftCell="A4" activePane="bottomLeft" state="frozen"/>
      <selection pane="bottomLeft" activeCell="A8" sqref="A8"/>
    </sheetView>
  </sheetViews>
  <sheetFormatPr defaultColWidth="8.5703125" defaultRowHeight="15" customHeight="1" x14ac:dyDescent="0.25"/>
  <cols>
    <col min="1" max="1" width="23" customWidth="1"/>
    <col min="2" max="3" width="10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21.85546875" customWidth="1"/>
    <col min="21" max="21" width="22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299</v>
      </c>
      <c r="B4" s="60" t="s">
        <v>319</v>
      </c>
      <c r="C4" s="4" t="s">
        <v>99</v>
      </c>
      <c r="D4" s="19">
        <v>46242</v>
      </c>
      <c r="E4" s="20">
        <f t="shared" ref="E4:E24" si="0">IF(D4="","",D4-90)</f>
        <v>46152</v>
      </c>
      <c r="F4" s="20">
        <f t="shared" ref="F4:F24" si="1">IF(D4="","",D4-60)</f>
        <v>46182</v>
      </c>
      <c r="G4" s="20">
        <f t="shared" ref="G4:G24" si="2">IF(D4="","",D4-30)</f>
        <v>46212</v>
      </c>
      <c r="H4" s="21">
        <v>0</v>
      </c>
      <c r="I4" s="5">
        <v>1576</v>
      </c>
      <c r="J4" s="22" t="str">
        <f t="shared" ref="J4:J24" si="3">IF(I4="","",IF(ABS(N4-W4)&lt;=ABS(M4-W4),IF(ABS(N4-W4)&lt;=ABS(O4-W4),"Offer 2","Offer 3"),IF(ABS(M4-W4)&lt;=ABS(O4-W4),"Offer 1","Offer 3")))</f>
        <v>Offer 1</v>
      </c>
      <c r="K4" s="59"/>
      <c r="L4" s="23" t="str">
        <f t="shared" ref="L4:L24" si="4">IF(OR(I4="",K4=""),"",CEILING(I4*(1+K4),5))</f>
        <v/>
      </c>
      <c r="M4" s="23">
        <f t="shared" ref="M4:M24" si="5">IF(I4="","",IF(X4="Under",CEILING(MAX(I4*1.02,MIN(V4,W4)*0.95),5),CEILING(MAX(I4*1.03,MIN(V4,W4)*0.97),5)))</f>
        <v>1610</v>
      </c>
      <c r="N4" s="23">
        <f t="shared" ref="N4:N24" si="6">IF(I4="","",IF(X4="Under",CEILING(MAX(I4*1.03,(V4+W4)/2*0.96),5),CEILING(MAX(I4*1.05,(V4+W4)/2*0.98),5)))</f>
        <v>1625</v>
      </c>
      <c r="O4" s="23">
        <f t="shared" ref="O4:O24" si="7">IF(I4="","",IF(X4="Under",CEILING(MAX(I4*1.05,MIN(V4,W4*1.01)),5),CEILING(MAX(I4*1.08,MIN(V4,W4*1.02)),5)))</f>
        <v>1655</v>
      </c>
      <c r="P4" s="4"/>
      <c r="Q4" s="4"/>
      <c r="R4" s="4"/>
      <c r="S4" s="4"/>
      <c r="T4" s="4" t="s">
        <v>340</v>
      </c>
      <c r="U4" s="4"/>
      <c r="V4" s="23">
        <f>IF(C4="","",IFERROR(VLOOKUP(C4,SETUP!$A$9:$D$24,2,0),"⚠ Check SETUP"))</f>
        <v>1719</v>
      </c>
      <c r="W4" s="23">
        <f>IF(C4="","",IFERROR(VLOOKUP(C4,SETUP!$A$9:$D$24,3,0),"⚠ Check SETUP"))</f>
        <v>1561</v>
      </c>
      <c r="X4" s="22" t="str">
        <f>IF(C4="","",IFERROR(VLOOKUP(C4,SETUP!$A$9:$D$24,4,0),"⚠ Check SETUP"))</f>
        <v>Under</v>
      </c>
      <c r="Y4" s="24">
        <f t="shared" ref="Y4:Y24" si="8">IF(OR(I4="",M4=""),"",(M4-I4)/I4)</f>
        <v>2.1573604060913704E-2</v>
      </c>
      <c r="Z4" s="24">
        <f t="shared" ref="Z4:Z24" si="9">IF(OR(I4="",N4=""),"",(N4-I4)/I4)</f>
        <v>3.1091370558375634E-2</v>
      </c>
      <c r="AA4" s="24">
        <f t="shared" ref="AA4:AA24" si="10">IF(OR(I4="",O4=""),"",(O4-I4)/I4)</f>
        <v>5.012690355329949E-2</v>
      </c>
      <c r="AB4" s="24" t="str">
        <f t="shared" ref="AB4:AB24" si="11">IF(OR(Q4="",S4&lt;&gt;"",P4="",I4=""),"",IF(P4="Investor Override",IF(L4="","",(L4-I4)/I4),IF(P4="Offer 1",IF(M4="","",(M4-I4)/I4),IF(P4="Offer 2",IF(N4="","",(N4-I4)/I4),IF(P4="Offer 3",IF(O4="","",(O4-I4)/I4),"")))))</f>
        <v/>
      </c>
    </row>
    <row r="5" spans="1:28" ht="19.5" customHeight="1" x14ac:dyDescent="0.25">
      <c r="A5" s="6" t="s">
        <v>300</v>
      </c>
      <c r="B5" s="60" t="s">
        <v>320</v>
      </c>
      <c r="C5" s="4" t="s">
        <v>100</v>
      </c>
      <c r="D5" s="19">
        <v>46244</v>
      </c>
      <c r="E5" s="20">
        <f t="shared" si="0"/>
        <v>46154</v>
      </c>
      <c r="F5" s="20">
        <f t="shared" si="1"/>
        <v>46184</v>
      </c>
      <c r="G5" s="20">
        <f t="shared" si="2"/>
        <v>46214</v>
      </c>
      <c r="H5" s="21">
        <v>0</v>
      </c>
      <c r="I5" s="5">
        <v>1668</v>
      </c>
      <c r="J5" s="22" t="str">
        <f t="shared" si="3"/>
        <v>Offer 3</v>
      </c>
      <c r="K5" s="59"/>
      <c r="L5" s="23" t="str">
        <f t="shared" si="4"/>
        <v/>
      </c>
      <c r="M5" s="23">
        <f t="shared" si="5"/>
        <v>1705</v>
      </c>
      <c r="N5" s="23">
        <f t="shared" si="6"/>
        <v>1720</v>
      </c>
      <c r="O5" s="23">
        <f t="shared" si="7"/>
        <v>1755</v>
      </c>
      <c r="P5" s="4"/>
      <c r="Q5" s="4"/>
      <c r="R5" s="4"/>
      <c r="S5" s="4"/>
      <c r="T5" s="4" t="s">
        <v>341</v>
      </c>
      <c r="U5" s="4"/>
      <c r="V5" s="23">
        <f>IF(C5="","",IFERROR(VLOOKUP(C5,SETUP!$A$9:$D$24,2,0),"⚠ Check SETUP"))</f>
        <v>1595</v>
      </c>
      <c r="W5" s="23">
        <f>IF(C5="","",IFERROR(VLOOKUP(C5,SETUP!$A$9:$D$24,3,0),"⚠ Check SETUP"))</f>
        <v>1806</v>
      </c>
      <c r="X5" s="22" t="str">
        <f>IF(C5="","",IFERROR(VLOOKUP(C5,SETUP!$A$9:$D$24,4,0),"⚠ Check SETUP"))</f>
        <v>Under</v>
      </c>
      <c r="Y5" s="24">
        <f t="shared" si="8"/>
        <v>2.2182254196642687E-2</v>
      </c>
      <c r="Z5" s="24">
        <f t="shared" si="9"/>
        <v>3.117505995203837E-2</v>
      </c>
      <c r="AA5" s="24">
        <f t="shared" si="10"/>
        <v>5.2158273381294966E-2</v>
      </c>
      <c r="AB5" s="24" t="str">
        <f t="shared" si="11"/>
        <v/>
      </c>
    </row>
    <row r="6" spans="1:28" ht="19.5" customHeight="1" x14ac:dyDescent="0.25">
      <c r="A6" s="6" t="s">
        <v>301</v>
      </c>
      <c r="B6" s="60" t="s">
        <v>321</v>
      </c>
      <c r="C6" s="4" t="s">
        <v>95</v>
      </c>
      <c r="D6" s="19">
        <v>46245</v>
      </c>
      <c r="E6" s="20">
        <f t="shared" si="0"/>
        <v>46155</v>
      </c>
      <c r="F6" s="20">
        <f t="shared" si="1"/>
        <v>46185</v>
      </c>
      <c r="G6" s="20">
        <f t="shared" si="2"/>
        <v>46215</v>
      </c>
      <c r="H6" s="21">
        <v>0</v>
      </c>
      <c r="I6" s="5">
        <v>1539</v>
      </c>
      <c r="J6" s="22" t="str">
        <f t="shared" si="3"/>
        <v>Offer 1</v>
      </c>
      <c r="K6" s="59"/>
      <c r="L6" s="23" t="str">
        <f t="shared" si="4"/>
        <v/>
      </c>
      <c r="M6" s="23">
        <f t="shared" si="5"/>
        <v>1570</v>
      </c>
      <c r="N6" s="23">
        <f t="shared" si="6"/>
        <v>1590</v>
      </c>
      <c r="O6" s="23">
        <f t="shared" si="7"/>
        <v>1620</v>
      </c>
      <c r="P6" s="4"/>
      <c r="Q6" s="4"/>
      <c r="R6" s="4"/>
      <c r="S6" s="4"/>
      <c r="T6" s="4" t="s">
        <v>342</v>
      </c>
      <c r="U6" s="4"/>
      <c r="V6" s="23">
        <f>IF(C6="","",IFERROR(VLOOKUP(C6,SETUP!$A$9:$D$24,2,0),"⚠ Check SETUP"))</f>
        <v>1595</v>
      </c>
      <c r="W6" s="23">
        <f>IF(C6="","",IFERROR(VLOOKUP(C6,SETUP!$A$9:$D$24,3,0),"⚠ Check SETUP"))</f>
        <v>1504</v>
      </c>
      <c r="X6" s="22" t="str">
        <f>IF(C6="","",IFERROR(VLOOKUP(C6,SETUP!$A$9:$D$24,4,0),"⚠ Check SETUP"))</f>
        <v>Under</v>
      </c>
      <c r="Y6" s="24">
        <f t="shared" si="8"/>
        <v>2.014294996751137E-2</v>
      </c>
      <c r="Z6" s="24">
        <f t="shared" si="9"/>
        <v>3.3138401559454189E-2</v>
      </c>
      <c r="AA6" s="24">
        <f t="shared" si="10"/>
        <v>5.2631578947368418E-2</v>
      </c>
      <c r="AB6" s="24" t="str">
        <f t="shared" si="11"/>
        <v/>
      </c>
    </row>
    <row r="7" spans="1:28" ht="19.5" customHeight="1" x14ac:dyDescent="0.25">
      <c r="A7" s="6" t="s">
        <v>728</v>
      </c>
      <c r="B7" s="60" t="s">
        <v>322</v>
      </c>
      <c r="C7" s="4" t="s">
        <v>96</v>
      </c>
      <c r="D7" s="19">
        <v>46248</v>
      </c>
      <c r="E7" s="20">
        <f t="shared" si="0"/>
        <v>46158</v>
      </c>
      <c r="F7" s="20">
        <f t="shared" si="1"/>
        <v>46188</v>
      </c>
      <c r="G7" s="20">
        <f t="shared" si="2"/>
        <v>46218</v>
      </c>
      <c r="H7" s="21">
        <v>0</v>
      </c>
      <c r="I7" s="5">
        <v>1390</v>
      </c>
      <c r="J7" s="22" t="str">
        <f t="shared" si="3"/>
        <v>Offer 3</v>
      </c>
      <c r="K7" s="59"/>
      <c r="L7" s="23" t="str">
        <f t="shared" si="4"/>
        <v/>
      </c>
      <c r="M7" s="23">
        <f t="shared" si="5"/>
        <v>1435</v>
      </c>
      <c r="N7" s="23">
        <f t="shared" si="6"/>
        <v>1605</v>
      </c>
      <c r="O7" s="23">
        <f t="shared" si="7"/>
        <v>1510</v>
      </c>
      <c r="P7" s="4"/>
      <c r="Q7" s="4"/>
      <c r="R7" s="4"/>
      <c r="S7" s="4"/>
      <c r="T7" s="4" t="s">
        <v>343</v>
      </c>
      <c r="U7" s="4"/>
      <c r="V7" s="23">
        <f>IF(C7="","",IFERROR(VLOOKUP(C7,SETUP!$A$9:$D$24,2,0),"⚠ Check SETUP"))</f>
        <v>1795</v>
      </c>
      <c r="W7" s="23">
        <f>IF(C7="","",IFERROR(VLOOKUP(C7,SETUP!$A$9:$D$24,3,0),"⚠ Check SETUP"))</f>
        <v>1476</v>
      </c>
      <c r="X7" s="22" t="str">
        <f>IF(C7="","",IFERROR(VLOOKUP(C7,SETUP!$A$9:$D$24,4,0),"⚠ Check SETUP"))</f>
        <v>Over</v>
      </c>
      <c r="Y7" s="24">
        <f t="shared" si="8"/>
        <v>3.237410071942446E-2</v>
      </c>
      <c r="Z7" s="24">
        <f t="shared" si="9"/>
        <v>0.15467625899280577</v>
      </c>
      <c r="AA7" s="24">
        <f t="shared" si="10"/>
        <v>8.6330935251798566E-2</v>
      </c>
      <c r="AB7" s="24" t="str">
        <f t="shared" si="11"/>
        <v/>
      </c>
    </row>
    <row r="8" spans="1:28" ht="19.5" customHeight="1" x14ac:dyDescent="0.25">
      <c r="A8" s="6" t="s">
        <v>302</v>
      </c>
      <c r="B8" s="60" t="s">
        <v>323</v>
      </c>
      <c r="C8" s="4" t="s">
        <v>13</v>
      </c>
      <c r="D8" s="19">
        <v>46249</v>
      </c>
      <c r="E8" s="20">
        <f t="shared" si="0"/>
        <v>46159</v>
      </c>
      <c r="F8" s="20">
        <f t="shared" si="1"/>
        <v>46189</v>
      </c>
      <c r="G8" s="20">
        <f t="shared" si="2"/>
        <v>46219</v>
      </c>
      <c r="H8" s="21">
        <v>0</v>
      </c>
      <c r="I8" s="5">
        <v>1810</v>
      </c>
      <c r="J8" s="22" t="str">
        <f t="shared" si="3"/>
        <v>Offer 1</v>
      </c>
      <c r="K8" s="59"/>
      <c r="L8" s="23" t="str">
        <f t="shared" si="4"/>
        <v/>
      </c>
      <c r="M8" s="23">
        <f t="shared" si="5"/>
        <v>1850</v>
      </c>
      <c r="N8" s="23">
        <f t="shared" si="6"/>
        <v>1865</v>
      </c>
      <c r="O8" s="23">
        <f t="shared" si="7"/>
        <v>1905</v>
      </c>
      <c r="P8" s="4"/>
      <c r="Q8" s="4"/>
      <c r="R8" s="4"/>
      <c r="S8" s="4"/>
      <c r="T8" s="4" t="s">
        <v>344</v>
      </c>
      <c r="U8" s="4"/>
      <c r="V8" s="23">
        <f>IF(C8="","",IFERROR(VLOOKUP(C8,SETUP!$A$9:$D$24,2,0),"⚠ Check SETUP"))</f>
        <v>1809</v>
      </c>
      <c r="W8" s="23">
        <f>IF(C8="","",IFERROR(VLOOKUP(C8,SETUP!$A$9:$D$24,3,0),"⚠ Check SETUP"))</f>
        <v>1764</v>
      </c>
      <c r="X8" s="22" t="str">
        <f>IF(C8="","",IFERROR(VLOOKUP(C8,SETUP!$A$9:$D$24,4,0),"⚠ Check SETUP"))</f>
        <v>Under</v>
      </c>
      <c r="Y8" s="24">
        <f t="shared" si="8"/>
        <v>2.2099447513812154E-2</v>
      </c>
      <c r="Z8" s="24">
        <f t="shared" si="9"/>
        <v>3.0386740331491711E-2</v>
      </c>
      <c r="AA8" s="24">
        <f t="shared" si="10"/>
        <v>5.2486187845303865E-2</v>
      </c>
      <c r="AB8" s="24" t="str">
        <f t="shared" si="11"/>
        <v/>
      </c>
    </row>
    <row r="9" spans="1:28" ht="19.5" customHeight="1" x14ac:dyDescent="0.25">
      <c r="A9" s="6" t="s">
        <v>303</v>
      </c>
      <c r="B9" s="60" t="s">
        <v>324</v>
      </c>
      <c r="C9" s="4" t="s">
        <v>95</v>
      </c>
      <c r="D9" s="19">
        <v>46253</v>
      </c>
      <c r="E9" s="20">
        <f t="shared" si="0"/>
        <v>46163</v>
      </c>
      <c r="F9" s="20">
        <f t="shared" si="1"/>
        <v>46193</v>
      </c>
      <c r="G9" s="20">
        <f t="shared" si="2"/>
        <v>46223</v>
      </c>
      <c r="H9" s="21">
        <v>0</v>
      </c>
      <c r="I9" s="5">
        <v>1439</v>
      </c>
      <c r="J9" s="22" t="str">
        <f t="shared" si="3"/>
        <v>Offer 2</v>
      </c>
      <c r="K9" s="59"/>
      <c r="L9" s="23" t="str">
        <f t="shared" si="4"/>
        <v/>
      </c>
      <c r="M9" s="23">
        <f t="shared" si="5"/>
        <v>1470</v>
      </c>
      <c r="N9" s="23">
        <f t="shared" si="6"/>
        <v>1490</v>
      </c>
      <c r="O9" s="23">
        <f t="shared" si="7"/>
        <v>1520</v>
      </c>
      <c r="P9" s="4"/>
      <c r="Q9" s="4"/>
      <c r="R9" s="4"/>
      <c r="S9" s="4"/>
      <c r="T9" s="4" t="s">
        <v>345</v>
      </c>
      <c r="U9" s="4"/>
      <c r="V9" s="23">
        <f>IF(C9="","",IFERROR(VLOOKUP(C9,SETUP!$A$9:$D$24,2,0),"⚠ Check SETUP"))</f>
        <v>1595</v>
      </c>
      <c r="W9" s="23">
        <f>IF(C9="","",IFERROR(VLOOKUP(C9,SETUP!$A$9:$D$24,3,0),"⚠ Check SETUP"))</f>
        <v>1504</v>
      </c>
      <c r="X9" s="22" t="str">
        <f>IF(C9="","",IFERROR(VLOOKUP(C9,SETUP!$A$9:$D$24,4,0),"⚠ Check SETUP"))</f>
        <v>Under</v>
      </c>
      <c r="Y9" s="24">
        <f t="shared" si="8"/>
        <v>2.1542738012508687E-2</v>
      </c>
      <c r="Z9" s="24">
        <f t="shared" si="9"/>
        <v>3.5441278665740095E-2</v>
      </c>
      <c r="AA9" s="24">
        <f t="shared" si="10"/>
        <v>5.6289089645587216E-2</v>
      </c>
      <c r="AB9" s="24" t="str">
        <f t="shared" si="11"/>
        <v/>
      </c>
    </row>
    <row r="10" spans="1:28" ht="19.5" customHeight="1" x14ac:dyDescent="0.25">
      <c r="A10" s="6" t="s">
        <v>304</v>
      </c>
      <c r="B10" s="60" t="s">
        <v>325</v>
      </c>
      <c r="C10" s="4" t="s">
        <v>98</v>
      </c>
      <c r="D10" s="19">
        <v>46256</v>
      </c>
      <c r="E10" s="20">
        <f t="shared" si="0"/>
        <v>46166</v>
      </c>
      <c r="F10" s="20">
        <f t="shared" si="1"/>
        <v>46196</v>
      </c>
      <c r="G10" s="20">
        <f t="shared" si="2"/>
        <v>46226</v>
      </c>
      <c r="H10" s="21">
        <v>0</v>
      </c>
      <c r="I10" s="5">
        <v>1369</v>
      </c>
      <c r="J10" s="22" t="str">
        <f t="shared" si="3"/>
        <v>Offer 1</v>
      </c>
      <c r="K10" s="59"/>
      <c r="L10" s="23" t="str">
        <f t="shared" si="4"/>
        <v/>
      </c>
      <c r="M10" s="23">
        <f t="shared" si="5"/>
        <v>1415</v>
      </c>
      <c r="N10" s="23">
        <f t="shared" si="6"/>
        <v>1440</v>
      </c>
      <c r="O10" s="23">
        <f t="shared" si="7"/>
        <v>1480</v>
      </c>
      <c r="P10" s="4"/>
      <c r="Q10" s="4"/>
      <c r="R10" s="4"/>
      <c r="S10" s="4"/>
      <c r="T10" s="4" t="s">
        <v>346</v>
      </c>
      <c r="U10" s="4"/>
      <c r="V10" s="23">
        <f>IF(C10="","",IFERROR(VLOOKUP(C10,SETUP!$A$9:$D$24,2,0),"⚠ Check SETUP"))</f>
        <v>1421</v>
      </c>
      <c r="W10" s="23">
        <f>IF(C10="","",IFERROR(VLOOKUP(C10,SETUP!$A$9:$D$24,3,0),"⚠ Check SETUP"))</f>
        <v>1424</v>
      </c>
      <c r="X10" s="22" t="str">
        <f>IF(C10="","",IFERROR(VLOOKUP(C10,SETUP!$A$9:$D$24,4,0),"⚠ Check SETUP"))</f>
        <v>Over</v>
      </c>
      <c r="Y10" s="24">
        <f t="shared" si="8"/>
        <v>3.3601168736303873E-2</v>
      </c>
      <c r="Z10" s="24">
        <f t="shared" si="9"/>
        <v>5.1862673484295109E-2</v>
      </c>
      <c r="AA10" s="24">
        <f t="shared" si="10"/>
        <v>8.1081081081081086E-2</v>
      </c>
      <c r="AB10" s="24" t="str">
        <f t="shared" si="11"/>
        <v/>
      </c>
    </row>
    <row r="11" spans="1:28" ht="19.5" customHeight="1" x14ac:dyDescent="0.25">
      <c r="A11" s="6" t="s">
        <v>305</v>
      </c>
      <c r="B11" s="60" t="s">
        <v>326</v>
      </c>
      <c r="C11" s="4" t="s">
        <v>13</v>
      </c>
      <c r="D11" s="19">
        <v>46258</v>
      </c>
      <c r="E11" s="20">
        <f t="shared" si="0"/>
        <v>46168</v>
      </c>
      <c r="F11" s="20">
        <f t="shared" si="1"/>
        <v>46198</v>
      </c>
      <c r="G11" s="20">
        <f t="shared" si="2"/>
        <v>46228</v>
      </c>
      <c r="H11" s="21">
        <v>0</v>
      </c>
      <c r="I11" s="5">
        <v>1563</v>
      </c>
      <c r="J11" s="22" t="str">
        <f t="shared" si="3"/>
        <v>Offer 3</v>
      </c>
      <c r="K11" s="59"/>
      <c r="L11" s="23" t="str">
        <f t="shared" si="4"/>
        <v/>
      </c>
      <c r="M11" s="23">
        <f t="shared" si="5"/>
        <v>1680</v>
      </c>
      <c r="N11" s="23">
        <f t="shared" si="6"/>
        <v>1720</v>
      </c>
      <c r="O11" s="23">
        <f t="shared" si="7"/>
        <v>1785</v>
      </c>
      <c r="P11" s="4"/>
      <c r="Q11" s="4"/>
      <c r="R11" s="4"/>
      <c r="S11" s="4"/>
      <c r="T11" s="4" t="s">
        <v>347</v>
      </c>
      <c r="U11" s="4"/>
      <c r="V11" s="23">
        <f>IF(C11="","",IFERROR(VLOOKUP(C11,SETUP!$A$9:$D$24,2,0),"⚠ Check SETUP"))</f>
        <v>1809</v>
      </c>
      <c r="W11" s="23">
        <f>IF(C11="","",IFERROR(VLOOKUP(C11,SETUP!$A$9:$D$24,3,0),"⚠ Check SETUP"))</f>
        <v>1764</v>
      </c>
      <c r="X11" s="22" t="str">
        <f>IF(C11="","",IFERROR(VLOOKUP(C11,SETUP!$A$9:$D$24,4,0),"⚠ Check SETUP"))</f>
        <v>Under</v>
      </c>
      <c r="Y11" s="24">
        <f t="shared" si="8"/>
        <v>7.4856046065259113E-2</v>
      </c>
      <c r="Z11" s="24">
        <f t="shared" si="9"/>
        <v>0.10044785668586052</v>
      </c>
      <c r="AA11" s="24">
        <f t="shared" si="10"/>
        <v>0.14203454894433781</v>
      </c>
      <c r="AB11" s="24" t="str">
        <f t="shared" si="11"/>
        <v/>
      </c>
    </row>
    <row r="12" spans="1:28" ht="19.5" customHeight="1" x14ac:dyDescent="0.25">
      <c r="A12" s="6" t="s">
        <v>306</v>
      </c>
      <c r="B12" s="60" t="s">
        <v>327</v>
      </c>
      <c r="C12" s="4" t="s">
        <v>101</v>
      </c>
      <c r="D12" s="19">
        <v>46258</v>
      </c>
      <c r="E12" s="20">
        <f t="shared" si="0"/>
        <v>46168</v>
      </c>
      <c r="F12" s="20">
        <f t="shared" si="1"/>
        <v>46198</v>
      </c>
      <c r="G12" s="20">
        <f t="shared" si="2"/>
        <v>46228</v>
      </c>
      <c r="H12" s="21">
        <v>0</v>
      </c>
      <c r="I12" s="5">
        <v>1931</v>
      </c>
      <c r="J12" s="22" t="str">
        <f t="shared" si="3"/>
        <v>Offer 1</v>
      </c>
      <c r="K12" s="59"/>
      <c r="L12" s="23" t="str">
        <f t="shared" si="4"/>
        <v/>
      </c>
      <c r="M12" s="23">
        <f t="shared" si="5"/>
        <v>1970</v>
      </c>
      <c r="N12" s="23">
        <f t="shared" si="6"/>
        <v>1990</v>
      </c>
      <c r="O12" s="23">
        <f t="shared" si="7"/>
        <v>2030</v>
      </c>
      <c r="P12" s="4"/>
      <c r="Q12" s="4"/>
      <c r="R12" s="4"/>
      <c r="S12" s="4"/>
      <c r="T12" s="4" t="s">
        <v>348</v>
      </c>
      <c r="U12" s="4"/>
      <c r="V12" s="23">
        <f>IF(C12="","",IFERROR(VLOOKUP(C12,SETUP!$A$9:$D$24,2,0),"⚠ Check SETUP"))</f>
        <v>1880</v>
      </c>
      <c r="W12" s="23">
        <f>IF(C12="","",IFERROR(VLOOKUP(C12,SETUP!$A$9:$D$24,3,0),"⚠ Check SETUP"))</f>
        <v>1976</v>
      </c>
      <c r="X12" s="22" t="str">
        <f>IF(C12="","",IFERROR(VLOOKUP(C12,SETUP!$A$9:$D$24,4,0),"⚠ Check SETUP"))</f>
        <v>Under</v>
      </c>
      <c r="Y12" s="24">
        <f t="shared" si="8"/>
        <v>2.0196789228379079E-2</v>
      </c>
      <c r="Z12" s="24">
        <f t="shared" si="9"/>
        <v>3.0554117037804248E-2</v>
      </c>
      <c r="AA12" s="24">
        <f t="shared" si="10"/>
        <v>5.1268772656654582E-2</v>
      </c>
      <c r="AB12" s="24" t="str">
        <f t="shared" si="11"/>
        <v/>
      </c>
    </row>
    <row r="13" spans="1:28" ht="19.5" customHeight="1" x14ac:dyDescent="0.25">
      <c r="A13" s="6" t="s">
        <v>307</v>
      </c>
      <c r="B13" s="60" t="s">
        <v>328</v>
      </c>
      <c r="C13" s="4" t="s">
        <v>95</v>
      </c>
      <c r="D13" s="19">
        <v>46259</v>
      </c>
      <c r="E13" s="20">
        <f t="shared" si="0"/>
        <v>46169</v>
      </c>
      <c r="F13" s="20">
        <f t="shared" si="1"/>
        <v>46199</v>
      </c>
      <c r="G13" s="20">
        <f t="shared" si="2"/>
        <v>46229</v>
      </c>
      <c r="H13" s="21">
        <v>0</v>
      </c>
      <c r="I13" s="5">
        <v>1584</v>
      </c>
      <c r="J13" s="22" t="str">
        <f t="shared" si="3"/>
        <v>Offer 1</v>
      </c>
      <c r="K13" s="59"/>
      <c r="L13" s="23" t="str">
        <f t="shared" si="4"/>
        <v/>
      </c>
      <c r="M13" s="23">
        <f t="shared" si="5"/>
        <v>1620</v>
      </c>
      <c r="N13" s="23">
        <f t="shared" si="6"/>
        <v>1635</v>
      </c>
      <c r="O13" s="23">
        <f t="shared" si="7"/>
        <v>1665</v>
      </c>
      <c r="P13" s="4"/>
      <c r="Q13" s="4"/>
      <c r="R13" s="4"/>
      <c r="S13" s="4"/>
      <c r="T13" s="4" t="s">
        <v>349</v>
      </c>
      <c r="U13" s="4"/>
      <c r="V13" s="23">
        <f>IF(C13="","",IFERROR(VLOOKUP(C13,SETUP!$A$9:$D$24,2,0),"⚠ Check SETUP"))</f>
        <v>1595</v>
      </c>
      <c r="W13" s="23">
        <f>IF(C13="","",IFERROR(VLOOKUP(C13,SETUP!$A$9:$D$24,3,0),"⚠ Check SETUP"))</f>
        <v>1504</v>
      </c>
      <c r="X13" s="22" t="str">
        <f>IF(C13="","",IFERROR(VLOOKUP(C13,SETUP!$A$9:$D$24,4,0),"⚠ Check SETUP"))</f>
        <v>Under</v>
      </c>
      <c r="Y13" s="24">
        <f t="shared" si="8"/>
        <v>2.2727272727272728E-2</v>
      </c>
      <c r="Z13" s="24">
        <f t="shared" si="9"/>
        <v>3.2196969696969696E-2</v>
      </c>
      <c r="AA13" s="24">
        <f t="shared" si="10"/>
        <v>5.113636363636364E-2</v>
      </c>
      <c r="AB13" s="24" t="str">
        <f t="shared" si="11"/>
        <v/>
      </c>
    </row>
    <row r="14" spans="1:28" ht="19.5" customHeight="1" x14ac:dyDescent="0.25">
      <c r="A14" s="6" t="s">
        <v>308</v>
      </c>
      <c r="B14" s="60" t="s">
        <v>329</v>
      </c>
      <c r="C14" s="4" t="s">
        <v>13</v>
      </c>
      <c r="D14" s="19">
        <v>46260</v>
      </c>
      <c r="E14" s="20">
        <f t="shared" si="0"/>
        <v>46170</v>
      </c>
      <c r="F14" s="20">
        <f t="shared" si="1"/>
        <v>46200</v>
      </c>
      <c r="G14" s="20">
        <f t="shared" si="2"/>
        <v>46230</v>
      </c>
      <c r="H14" s="21">
        <v>500</v>
      </c>
      <c r="I14" s="5">
        <v>1665</v>
      </c>
      <c r="J14" s="22" t="str">
        <f t="shared" si="3"/>
        <v>Offer 3</v>
      </c>
      <c r="K14" s="59"/>
      <c r="L14" s="23" t="str">
        <f t="shared" si="4"/>
        <v/>
      </c>
      <c r="M14" s="23">
        <f t="shared" si="5"/>
        <v>1700</v>
      </c>
      <c r="N14" s="23">
        <f t="shared" si="6"/>
        <v>1720</v>
      </c>
      <c r="O14" s="23">
        <f t="shared" si="7"/>
        <v>1785</v>
      </c>
      <c r="P14" s="4"/>
      <c r="Q14" s="4"/>
      <c r="R14" s="4"/>
      <c r="S14" s="4"/>
      <c r="T14" s="4" t="s">
        <v>350</v>
      </c>
      <c r="U14" s="4"/>
      <c r="V14" s="23">
        <f>IF(C14="","",IFERROR(VLOOKUP(C14,SETUP!$A$9:$D$24,2,0),"⚠ Check SETUP"))</f>
        <v>1809</v>
      </c>
      <c r="W14" s="23">
        <f>IF(C14="","",IFERROR(VLOOKUP(C14,SETUP!$A$9:$D$24,3,0),"⚠ Check SETUP"))</f>
        <v>1764</v>
      </c>
      <c r="X14" s="22" t="str">
        <f>IF(C14="","",IFERROR(VLOOKUP(C14,SETUP!$A$9:$D$24,4,0),"⚠ Check SETUP"))</f>
        <v>Under</v>
      </c>
      <c r="Y14" s="24">
        <f t="shared" si="8"/>
        <v>2.1021021021021023E-2</v>
      </c>
      <c r="Z14" s="24">
        <f t="shared" si="9"/>
        <v>3.3033033033033031E-2</v>
      </c>
      <c r="AA14" s="24">
        <f t="shared" si="10"/>
        <v>7.2072072072072071E-2</v>
      </c>
      <c r="AB14" s="24" t="str">
        <f t="shared" si="11"/>
        <v/>
      </c>
    </row>
    <row r="15" spans="1:28" ht="19.5" customHeight="1" x14ac:dyDescent="0.25">
      <c r="A15" s="6" t="s">
        <v>309</v>
      </c>
      <c r="B15" s="60" t="s">
        <v>330</v>
      </c>
      <c r="C15" s="4" t="s">
        <v>95</v>
      </c>
      <c r="D15" s="19">
        <v>46260</v>
      </c>
      <c r="E15" s="20">
        <f t="shared" si="0"/>
        <v>46170</v>
      </c>
      <c r="F15" s="20">
        <f t="shared" si="1"/>
        <v>46200</v>
      </c>
      <c r="G15" s="20">
        <f t="shared" si="2"/>
        <v>46230</v>
      </c>
      <c r="H15" s="21">
        <v>0</v>
      </c>
      <c r="I15" s="5">
        <v>1498</v>
      </c>
      <c r="J15" s="22" t="str">
        <f t="shared" si="3"/>
        <v>Offer 1</v>
      </c>
      <c r="K15" s="59"/>
      <c r="L15" s="23" t="str">
        <f t="shared" si="4"/>
        <v/>
      </c>
      <c r="M15" s="23">
        <f t="shared" si="5"/>
        <v>1530</v>
      </c>
      <c r="N15" s="23">
        <f t="shared" si="6"/>
        <v>1545</v>
      </c>
      <c r="O15" s="23">
        <f t="shared" si="7"/>
        <v>1575</v>
      </c>
      <c r="P15" s="4"/>
      <c r="Q15" s="4"/>
      <c r="R15" s="4"/>
      <c r="S15" s="4"/>
      <c r="T15" s="4" t="s">
        <v>351</v>
      </c>
      <c r="U15" s="4"/>
      <c r="V15" s="23">
        <f>IF(C15="","",IFERROR(VLOOKUP(C15,SETUP!$A$9:$D$24,2,0),"⚠ Check SETUP"))</f>
        <v>1595</v>
      </c>
      <c r="W15" s="23">
        <f>IF(C15="","",IFERROR(VLOOKUP(C15,SETUP!$A$9:$D$24,3,0),"⚠ Check SETUP"))</f>
        <v>1504</v>
      </c>
      <c r="X15" s="22" t="str">
        <f>IF(C15="","",IFERROR(VLOOKUP(C15,SETUP!$A$9:$D$24,4,0),"⚠ Check SETUP"))</f>
        <v>Under</v>
      </c>
      <c r="Y15" s="24">
        <f t="shared" si="8"/>
        <v>2.1361815754339118E-2</v>
      </c>
      <c r="Z15" s="24">
        <f t="shared" si="9"/>
        <v>3.1375166889185582E-2</v>
      </c>
      <c r="AA15" s="24">
        <f t="shared" si="10"/>
        <v>5.1401869158878503E-2</v>
      </c>
      <c r="AB15" s="24" t="str">
        <f t="shared" si="11"/>
        <v/>
      </c>
    </row>
    <row r="16" spans="1:28" ht="19.5" customHeight="1" x14ac:dyDescent="0.25">
      <c r="A16" s="6" t="s">
        <v>310</v>
      </c>
      <c r="B16" s="60" t="s">
        <v>331</v>
      </c>
      <c r="C16" s="4" t="s">
        <v>102</v>
      </c>
      <c r="D16" s="19">
        <v>46261</v>
      </c>
      <c r="E16" s="20">
        <f t="shared" si="0"/>
        <v>46171</v>
      </c>
      <c r="F16" s="20">
        <f t="shared" si="1"/>
        <v>46201</v>
      </c>
      <c r="G16" s="20">
        <f t="shared" si="2"/>
        <v>46231</v>
      </c>
      <c r="H16" s="21">
        <v>500</v>
      </c>
      <c r="I16" s="5">
        <v>1961</v>
      </c>
      <c r="J16" s="22" t="str">
        <f t="shared" si="3"/>
        <v>Offer 1</v>
      </c>
      <c r="K16" s="59"/>
      <c r="L16" s="23" t="str">
        <f t="shared" si="4"/>
        <v/>
      </c>
      <c r="M16" s="23">
        <f t="shared" si="5"/>
        <v>2020</v>
      </c>
      <c r="N16" s="23">
        <f t="shared" si="6"/>
        <v>2060</v>
      </c>
      <c r="O16" s="23">
        <f t="shared" si="7"/>
        <v>2120</v>
      </c>
      <c r="P16" s="4"/>
      <c r="Q16" s="4"/>
      <c r="R16" s="4"/>
      <c r="S16" s="4"/>
      <c r="T16" s="4" t="s">
        <v>352</v>
      </c>
      <c r="U16" s="4"/>
      <c r="V16" s="23">
        <f>IF(C16="","",IFERROR(VLOOKUP(C16,SETUP!$A$9:$D$24,2,0),"⚠ Check SETUP"))</f>
        <v>1942</v>
      </c>
      <c r="W16" s="23">
        <f>IF(C16="","",IFERROR(VLOOKUP(C16,SETUP!$A$9:$D$24,3,0),"⚠ Check SETUP"))</f>
        <v>1845</v>
      </c>
      <c r="X16" s="22" t="str">
        <f>IF(C16="","",IFERROR(VLOOKUP(C16,SETUP!$A$9:$D$24,4,0),"⚠ Check SETUP"))</f>
        <v>Over</v>
      </c>
      <c r="Y16" s="24">
        <f t="shared" si="8"/>
        <v>3.0086690464048955E-2</v>
      </c>
      <c r="Z16" s="24">
        <f t="shared" si="9"/>
        <v>5.0484446710861802E-2</v>
      </c>
      <c r="AA16" s="24">
        <f t="shared" si="10"/>
        <v>8.1081081081081086E-2</v>
      </c>
      <c r="AB16" s="24" t="str">
        <f t="shared" si="11"/>
        <v/>
      </c>
    </row>
    <row r="17" spans="1:28" ht="19.5" customHeight="1" x14ac:dyDescent="0.25">
      <c r="A17" s="6" t="s">
        <v>311</v>
      </c>
      <c r="B17" s="60" t="s">
        <v>332</v>
      </c>
      <c r="C17" s="4" t="s">
        <v>13</v>
      </c>
      <c r="D17" s="19">
        <v>46263</v>
      </c>
      <c r="E17" s="20">
        <f t="shared" si="0"/>
        <v>46173</v>
      </c>
      <c r="F17" s="20">
        <f t="shared" si="1"/>
        <v>46203</v>
      </c>
      <c r="G17" s="20">
        <f t="shared" si="2"/>
        <v>46233</v>
      </c>
      <c r="H17" s="21">
        <v>0</v>
      </c>
      <c r="I17" s="5">
        <v>1740</v>
      </c>
      <c r="J17" s="22" t="str">
        <f t="shared" si="3"/>
        <v>Offer 1</v>
      </c>
      <c r="K17" s="59"/>
      <c r="L17" s="23" t="str">
        <f t="shared" si="4"/>
        <v/>
      </c>
      <c r="M17" s="23">
        <f t="shared" si="5"/>
        <v>1775</v>
      </c>
      <c r="N17" s="23">
        <f t="shared" si="6"/>
        <v>1795</v>
      </c>
      <c r="O17" s="23">
        <f t="shared" si="7"/>
        <v>1830</v>
      </c>
      <c r="P17" s="4"/>
      <c r="Q17" s="4"/>
      <c r="R17" s="4"/>
      <c r="S17" s="4"/>
      <c r="T17" s="4" t="s">
        <v>353</v>
      </c>
      <c r="U17" s="4"/>
      <c r="V17" s="23">
        <f>IF(C17="","",IFERROR(VLOOKUP(C17,SETUP!$A$9:$D$24,2,0),"⚠ Check SETUP"))</f>
        <v>1809</v>
      </c>
      <c r="W17" s="23">
        <f>IF(C17="","",IFERROR(VLOOKUP(C17,SETUP!$A$9:$D$24,3,0),"⚠ Check SETUP"))</f>
        <v>1764</v>
      </c>
      <c r="X17" s="22" t="str">
        <f>IF(C17="","",IFERROR(VLOOKUP(C17,SETUP!$A$9:$D$24,4,0),"⚠ Check SETUP"))</f>
        <v>Under</v>
      </c>
      <c r="Y17" s="24">
        <f t="shared" si="8"/>
        <v>2.0114942528735632E-2</v>
      </c>
      <c r="Z17" s="24">
        <f t="shared" si="9"/>
        <v>3.1609195402298854E-2</v>
      </c>
      <c r="AA17" s="24">
        <f t="shared" si="10"/>
        <v>5.1724137931034482E-2</v>
      </c>
      <c r="AB17" s="24" t="str">
        <f t="shared" si="11"/>
        <v/>
      </c>
    </row>
    <row r="18" spans="1:28" ht="19.5" customHeight="1" x14ac:dyDescent="0.25">
      <c r="A18" s="6" t="s">
        <v>312</v>
      </c>
      <c r="B18" s="60" t="s">
        <v>333</v>
      </c>
      <c r="C18" s="4" t="s">
        <v>102</v>
      </c>
      <c r="D18" s="19">
        <v>46263</v>
      </c>
      <c r="E18" s="20">
        <f t="shared" si="0"/>
        <v>46173</v>
      </c>
      <c r="F18" s="20">
        <f t="shared" si="1"/>
        <v>46203</v>
      </c>
      <c r="G18" s="20">
        <f t="shared" si="2"/>
        <v>46233</v>
      </c>
      <c r="H18" s="21">
        <v>1869</v>
      </c>
      <c r="I18" s="5">
        <v>1869</v>
      </c>
      <c r="J18" s="22" t="str">
        <f t="shared" si="3"/>
        <v>Offer 1</v>
      </c>
      <c r="K18" s="59"/>
      <c r="L18" s="23" t="str">
        <f t="shared" si="4"/>
        <v/>
      </c>
      <c r="M18" s="23">
        <f t="shared" si="5"/>
        <v>1930</v>
      </c>
      <c r="N18" s="23">
        <f t="shared" si="6"/>
        <v>1965</v>
      </c>
      <c r="O18" s="23">
        <f t="shared" si="7"/>
        <v>2020</v>
      </c>
      <c r="P18" s="4"/>
      <c r="Q18" s="4"/>
      <c r="R18" s="4"/>
      <c r="S18" s="4"/>
      <c r="T18" s="4" t="s">
        <v>354</v>
      </c>
      <c r="U18" s="4"/>
      <c r="V18" s="23">
        <f>IF(C18="","",IFERROR(VLOOKUP(C18,SETUP!$A$9:$D$24,2,0),"⚠ Check SETUP"))</f>
        <v>1942</v>
      </c>
      <c r="W18" s="23">
        <f>IF(C18="","",IFERROR(VLOOKUP(C18,SETUP!$A$9:$D$24,3,0),"⚠ Check SETUP"))</f>
        <v>1845</v>
      </c>
      <c r="X18" s="22" t="str">
        <f>IF(C18="","",IFERROR(VLOOKUP(C18,SETUP!$A$9:$D$24,4,0),"⚠ Check SETUP"))</f>
        <v>Over</v>
      </c>
      <c r="Y18" s="24">
        <f t="shared" si="8"/>
        <v>3.2637774210807921E-2</v>
      </c>
      <c r="Z18" s="24">
        <f t="shared" si="9"/>
        <v>5.1364365971107544E-2</v>
      </c>
      <c r="AA18" s="24">
        <f t="shared" si="10"/>
        <v>8.0791867308721246E-2</v>
      </c>
      <c r="AB18" s="24" t="str">
        <f t="shared" si="11"/>
        <v/>
      </c>
    </row>
    <row r="19" spans="1:28" ht="19.5" customHeight="1" x14ac:dyDescent="0.25">
      <c r="A19" s="6" t="s">
        <v>313</v>
      </c>
      <c r="B19" s="60" t="s">
        <v>334</v>
      </c>
      <c r="C19" s="4" t="s">
        <v>13</v>
      </c>
      <c r="D19" s="19">
        <v>46263</v>
      </c>
      <c r="E19" s="20">
        <f t="shared" si="0"/>
        <v>46173</v>
      </c>
      <c r="F19" s="20">
        <f t="shared" si="1"/>
        <v>46203</v>
      </c>
      <c r="G19" s="20">
        <f t="shared" si="2"/>
        <v>46233</v>
      </c>
      <c r="H19" s="21">
        <v>0</v>
      </c>
      <c r="I19" s="5">
        <v>1568</v>
      </c>
      <c r="J19" s="22" t="str">
        <f t="shared" si="3"/>
        <v>Offer 3</v>
      </c>
      <c r="K19" s="59"/>
      <c r="L19" s="23" t="str">
        <f t="shared" si="4"/>
        <v/>
      </c>
      <c r="M19" s="23">
        <f t="shared" si="5"/>
        <v>1680</v>
      </c>
      <c r="N19" s="23">
        <f t="shared" si="6"/>
        <v>1720</v>
      </c>
      <c r="O19" s="23">
        <f t="shared" si="7"/>
        <v>1785</v>
      </c>
      <c r="P19" s="4"/>
      <c r="Q19" s="4"/>
      <c r="R19" s="4"/>
      <c r="S19" s="4"/>
      <c r="T19" s="4" t="s">
        <v>355</v>
      </c>
      <c r="U19" s="4"/>
      <c r="V19" s="23">
        <f>IF(C19="","",IFERROR(VLOOKUP(C19,SETUP!$A$9:$D$24,2,0),"⚠ Check SETUP"))</f>
        <v>1809</v>
      </c>
      <c r="W19" s="23">
        <f>IF(C19="","",IFERROR(VLOOKUP(C19,SETUP!$A$9:$D$24,3,0),"⚠ Check SETUP"))</f>
        <v>1764</v>
      </c>
      <c r="X19" s="22" t="str">
        <f>IF(C19="","",IFERROR(VLOOKUP(C19,SETUP!$A$9:$D$24,4,0),"⚠ Check SETUP"))</f>
        <v>Under</v>
      </c>
      <c r="Y19" s="24">
        <f t="shared" si="8"/>
        <v>7.1428571428571425E-2</v>
      </c>
      <c r="Z19" s="24">
        <f t="shared" si="9"/>
        <v>9.6938775510204078E-2</v>
      </c>
      <c r="AA19" s="24">
        <f t="shared" si="10"/>
        <v>0.13839285714285715</v>
      </c>
      <c r="AB19" s="24" t="str">
        <f t="shared" si="11"/>
        <v/>
      </c>
    </row>
    <row r="20" spans="1:28" ht="19.5" customHeight="1" x14ac:dyDescent="0.25">
      <c r="A20" s="6" t="s">
        <v>314</v>
      </c>
      <c r="B20" s="60" t="s">
        <v>335</v>
      </c>
      <c r="C20" s="4" t="s">
        <v>100</v>
      </c>
      <c r="D20" s="19">
        <v>46263</v>
      </c>
      <c r="E20" s="20">
        <f t="shared" si="0"/>
        <v>46173</v>
      </c>
      <c r="F20" s="20">
        <f t="shared" si="1"/>
        <v>46203</v>
      </c>
      <c r="G20" s="20">
        <f t="shared" si="2"/>
        <v>46233</v>
      </c>
      <c r="H20" s="21">
        <v>0</v>
      </c>
      <c r="I20" s="5">
        <v>1785</v>
      </c>
      <c r="J20" s="22" t="str">
        <f t="shared" si="3"/>
        <v>Offer 1</v>
      </c>
      <c r="K20" s="59"/>
      <c r="L20" s="23" t="str">
        <f t="shared" si="4"/>
        <v/>
      </c>
      <c r="M20" s="23">
        <f t="shared" si="5"/>
        <v>1825</v>
      </c>
      <c r="N20" s="23">
        <f t="shared" si="6"/>
        <v>1840</v>
      </c>
      <c r="O20" s="23">
        <f t="shared" si="7"/>
        <v>1875</v>
      </c>
      <c r="P20" s="4"/>
      <c r="Q20" s="4"/>
      <c r="R20" s="4"/>
      <c r="S20" s="4"/>
      <c r="T20" s="4" t="s">
        <v>356</v>
      </c>
      <c r="U20" s="4"/>
      <c r="V20" s="23">
        <f>IF(C20="","",IFERROR(VLOOKUP(C20,SETUP!$A$9:$D$24,2,0),"⚠ Check SETUP"))</f>
        <v>1595</v>
      </c>
      <c r="W20" s="23">
        <f>IF(C20="","",IFERROR(VLOOKUP(C20,SETUP!$A$9:$D$24,3,0),"⚠ Check SETUP"))</f>
        <v>1806</v>
      </c>
      <c r="X20" s="22" t="str">
        <f>IF(C20="","",IFERROR(VLOOKUP(C20,SETUP!$A$9:$D$24,4,0),"⚠ Check SETUP"))</f>
        <v>Under</v>
      </c>
      <c r="Y20" s="24">
        <f t="shared" si="8"/>
        <v>2.2408963585434174E-2</v>
      </c>
      <c r="Z20" s="24">
        <f t="shared" si="9"/>
        <v>3.081232492997199E-2</v>
      </c>
      <c r="AA20" s="24">
        <f t="shared" si="10"/>
        <v>5.0420168067226892E-2</v>
      </c>
      <c r="AB20" s="24" t="str">
        <f t="shared" si="11"/>
        <v/>
      </c>
    </row>
    <row r="21" spans="1:28" ht="19.5" customHeight="1" x14ac:dyDescent="0.25">
      <c r="A21" s="6" t="s">
        <v>315</v>
      </c>
      <c r="B21" s="60" t="s">
        <v>336</v>
      </c>
      <c r="C21" s="4" t="s">
        <v>98</v>
      </c>
      <c r="D21" s="19">
        <v>46264</v>
      </c>
      <c r="E21" s="20">
        <f t="shared" si="0"/>
        <v>46174</v>
      </c>
      <c r="F21" s="20">
        <f t="shared" si="1"/>
        <v>46204</v>
      </c>
      <c r="G21" s="20">
        <f t="shared" si="2"/>
        <v>46234</v>
      </c>
      <c r="H21" s="21">
        <v>0</v>
      </c>
      <c r="I21" s="5">
        <v>1354</v>
      </c>
      <c r="J21" s="22" t="str">
        <f t="shared" si="3"/>
        <v>Offer 2</v>
      </c>
      <c r="K21" s="59"/>
      <c r="L21" s="23" t="str">
        <f t="shared" si="4"/>
        <v/>
      </c>
      <c r="M21" s="23">
        <f t="shared" si="5"/>
        <v>1395</v>
      </c>
      <c r="N21" s="23">
        <f t="shared" si="6"/>
        <v>1425</v>
      </c>
      <c r="O21" s="23">
        <f t="shared" si="7"/>
        <v>1465</v>
      </c>
      <c r="P21" s="4"/>
      <c r="Q21" s="4"/>
      <c r="R21" s="4"/>
      <c r="S21" s="4"/>
      <c r="T21" s="4" t="s">
        <v>357</v>
      </c>
      <c r="U21" s="4"/>
      <c r="V21" s="23">
        <f>IF(C21="","",IFERROR(VLOOKUP(C21,SETUP!$A$9:$D$24,2,0),"⚠ Check SETUP"))</f>
        <v>1421</v>
      </c>
      <c r="W21" s="23">
        <f>IF(C21="","",IFERROR(VLOOKUP(C21,SETUP!$A$9:$D$24,3,0),"⚠ Check SETUP"))</f>
        <v>1424</v>
      </c>
      <c r="X21" s="22" t="str">
        <f>IF(C21="","",IFERROR(VLOOKUP(C21,SETUP!$A$9:$D$24,4,0),"⚠ Check SETUP"))</f>
        <v>Over</v>
      </c>
      <c r="Y21" s="24">
        <f t="shared" si="8"/>
        <v>3.0280649926144758E-2</v>
      </c>
      <c r="Z21" s="24">
        <f t="shared" si="9"/>
        <v>5.2437223042836038E-2</v>
      </c>
      <c r="AA21" s="24">
        <f t="shared" si="10"/>
        <v>8.1979320531757757E-2</v>
      </c>
      <c r="AB21" s="24" t="str">
        <f t="shared" si="11"/>
        <v/>
      </c>
    </row>
    <row r="22" spans="1:28" ht="19.5" customHeight="1" x14ac:dyDescent="0.25">
      <c r="A22" s="6" t="s">
        <v>316</v>
      </c>
      <c r="B22" s="60" t="s">
        <v>337</v>
      </c>
      <c r="C22" s="4" t="s">
        <v>98</v>
      </c>
      <c r="D22" s="19">
        <v>46264</v>
      </c>
      <c r="E22" s="20">
        <f t="shared" si="0"/>
        <v>46174</v>
      </c>
      <c r="F22" s="20">
        <f t="shared" si="1"/>
        <v>46204</v>
      </c>
      <c r="G22" s="20">
        <f t="shared" si="2"/>
        <v>46234</v>
      </c>
      <c r="H22" s="21">
        <v>1379</v>
      </c>
      <c r="I22" s="5">
        <v>1379</v>
      </c>
      <c r="J22" s="22" t="str">
        <f t="shared" si="3"/>
        <v>Offer 1</v>
      </c>
      <c r="K22" s="59"/>
      <c r="L22" s="23" t="str">
        <f t="shared" si="4"/>
        <v/>
      </c>
      <c r="M22" s="23">
        <f t="shared" si="5"/>
        <v>1425</v>
      </c>
      <c r="N22" s="23">
        <f t="shared" si="6"/>
        <v>1450</v>
      </c>
      <c r="O22" s="23">
        <f t="shared" si="7"/>
        <v>1490</v>
      </c>
      <c r="P22" s="4"/>
      <c r="Q22" s="4"/>
      <c r="R22" s="4"/>
      <c r="S22" s="4"/>
      <c r="T22" s="4" t="s">
        <v>358</v>
      </c>
      <c r="U22" s="4"/>
      <c r="V22" s="23">
        <f>IF(C22="","",IFERROR(VLOOKUP(C22,SETUP!$A$9:$D$24,2,0),"⚠ Check SETUP"))</f>
        <v>1421</v>
      </c>
      <c r="W22" s="23">
        <f>IF(C22="","",IFERROR(VLOOKUP(C22,SETUP!$A$9:$D$24,3,0),"⚠ Check SETUP"))</f>
        <v>1424</v>
      </c>
      <c r="X22" s="22" t="str">
        <f>IF(C22="","",IFERROR(VLOOKUP(C22,SETUP!$A$9:$D$24,4,0),"⚠ Check SETUP"))</f>
        <v>Over</v>
      </c>
      <c r="Y22" s="24">
        <f t="shared" si="8"/>
        <v>3.3357505438723713E-2</v>
      </c>
      <c r="Z22" s="24">
        <f t="shared" si="9"/>
        <v>5.1486584481508342E-2</v>
      </c>
      <c r="AA22" s="24">
        <f t="shared" si="10"/>
        <v>8.0493110949963739E-2</v>
      </c>
      <c r="AB22" s="24" t="str">
        <f t="shared" si="11"/>
        <v/>
      </c>
    </row>
    <row r="23" spans="1:28" ht="19.5" customHeight="1" x14ac:dyDescent="0.25">
      <c r="A23" s="6" t="s">
        <v>317</v>
      </c>
      <c r="B23" s="60" t="s">
        <v>338</v>
      </c>
      <c r="C23" s="4" t="s">
        <v>95</v>
      </c>
      <c r="D23" s="19">
        <v>46264</v>
      </c>
      <c r="E23" s="20">
        <f t="shared" si="0"/>
        <v>46174</v>
      </c>
      <c r="F23" s="20">
        <f t="shared" si="1"/>
        <v>46204</v>
      </c>
      <c r="G23" s="20">
        <f t="shared" si="2"/>
        <v>46234</v>
      </c>
      <c r="H23" s="21">
        <v>500</v>
      </c>
      <c r="I23" s="5">
        <v>1657</v>
      </c>
      <c r="J23" s="22" t="str">
        <f t="shared" si="3"/>
        <v>Offer 1</v>
      </c>
      <c r="K23" s="59"/>
      <c r="L23" s="23" t="str">
        <f t="shared" si="4"/>
        <v/>
      </c>
      <c r="M23" s="23">
        <f t="shared" si="5"/>
        <v>1695</v>
      </c>
      <c r="N23" s="23">
        <f t="shared" si="6"/>
        <v>1710</v>
      </c>
      <c r="O23" s="23">
        <f t="shared" si="7"/>
        <v>1740</v>
      </c>
      <c r="P23" s="4"/>
      <c r="Q23" s="4"/>
      <c r="R23" s="4"/>
      <c r="S23" s="4"/>
      <c r="T23" s="4" t="s">
        <v>359</v>
      </c>
      <c r="U23" s="4"/>
      <c r="V23" s="23">
        <f>IF(C23="","",IFERROR(VLOOKUP(C23,SETUP!$A$9:$D$24,2,0),"⚠ Check SETUP"))</f>
        <v>1595</v>
      </c>
      <c r="W23" s="23">
        <f>IF(C23="","",IFERROR(VLOOKUP(C23,SETUP!$A$9:$D$24,3,0),"⚠ Check SETUP"))</f>
        <v>1504</v>
      </c>
      <c r="X23" s="22" t="str">
        <f>IF(C23="","",IFERROR(VLOOKUP(C23,SETUP!$A$9:$D$24,4,0),"⚠ Check SETUP"))</f>
        <v>Under</v>
      </c>
      <c r="Y23" s="24">
        <f t="shared" si="8"/>
        <v>2.2933011466505733E-2</v>
      </c>
      <c r="Z23" s="24">
        <f t="shared" si="9"/>
        <v>3.1985515992757993E-2</v>
      </c>
      <c r="AA23" s="24">
        <f t="shared" si="10"/>
        <v>5.009052504526252E-2</v>
      </c>
      <c r="AB23" s="24" t="str">
        <f t="shared" si="11"/>
        <v/>
      </c>
    </row>
    <row r="24" spans="1:28" ht="19.5" customHeight="1" x14ac:dyDescent="0.25">
      <c r="A24" s="6" t="s">
        <v>318</v>
      </c>
      <c r="B24" s="60" t="s">
        <v>339</v>
      </c>
      <c r="C24" s="4" t="s">
        <v>96</v>
      </c>
      <c r="D24" s="19">
        <v>46265</v>
      </c>
      <c r="E24" s="20">
        <f t="shared" si="0"/>
        <v>46175</v>
      </c>
      <c r="F24" s="20">
        <f t="shared" si="1"/>
        <v>46205</v>
      </c>
      <c r="G24" s="20">
        <f t="shared" si="2"/>
        <v>46235</v>
      </c>
      <c r="H24" s="21">
        <v>0</v>
      </c>
      <c r="I24" s="5">
        <v>1420</v>
      </c>
      <c r="J24" s="22" t="str">
        <f t="shared" si="3"/>
        <v>Offer 1</v>
      </c>
      <c r="K24" s="59"/>
      <c r="L24" s="23" t="str">
        <f t="shared" si="4"/>
        <v/>
      </c>
      <c r="M24" s="23">
        <f t="shared" si="5"/>
        <v>1465</v>
      </c>
      <c r="N24" s="23">
        <f t="shared" si="6"/>
        <v>1605</v>
      </c>
      <c r="O24" s="23">
        <f t="shared" si="7"/>
        <v>1535</v>
      </c>
      <c r="P24" s="4"/>
      <c r="Q24" s="4"/>
      <c r="R24" s="4"/>
      <c r="S24" s="4"/>
      <c r="T24" s="4" t="s">
        <v>360</v>
      </c>
      <c r="U24" s="4"/>
      <c r="V24" s="23">
        <f>IF(C24="","",IFERROR(VLOOKUP(C24,SETUP!$A$9:$D$24,2,0),"⚠ Check SETUP"))</f>
        <v>1795</v>
      </c>
      <c r="W24" s="23">
        <f>IF(C24="","",IFERROR(VLOOKUP(C24,SETUP!$A$9:$D$24,3,0),"⚠ Check SETUP"))</f>
        <v>1476</v>
      </c>
      <c r="X24" s="22" t="str">
        <f>IF(C24="","",IFERROR(VLOOKUP(C24,SETUP!$A$9:$D$24,4,0),"⚠ Check SETUP"))</f>
        <v>Over</v>
      </c>
      <c r="Y24" s="24">
        <f t="shared" si="8"/>
        <v>3.1690140845070422E-2</v>
      </c>
      <c r="Z24" s="24">
        <f t="shared" si="9"/>
        <v>0.13028169014084506</v>
      </c>
      <c r="AA24" s="24">
        <f t="shared" si="10"/>
        <v>8.098591549295775E-2</v>
      </c>
      <c r="AB24" s="24" t="str">
        <f t="shared" si="11"/>
        <v/>
      </c>
    </row>
    <row r="26" spans="1:28" ht="25.5" customHeight="1" x14ac:dyDescent="0.25">
      <c r="A26" s="94" t="s">
        <v>66</v>
      </c>
      <c r="B26" s="94"/>
      <c r="C26" s="94"/>
      <c r="D26" s="94"/>
      <c r="E26" s="94"/>
      <c r="F26" s="94"/>
      <c r="G26" s="94"/>
      <c r="H26" s="27"/>
    </row>
    <row r="27" spans="1:28" ht="21.75" customHeight="1" x14ac:dyDescent="0.25">
      <c r="A27" s="28" t="s">
        <v>67</v>
      </c>
      <c r="B27" s="28" t="s">
        <v>68</v>
      </c>
      <c r="C27" s="28" t="s">
        <v>69</v>
      </c>
      <c r="D27" s="28" t="s">
        <v>70</v>
      </c>
      <c r="E27" s="28" t="s">
        <v>71</v>
      </c>
      <c r="F27" s="27"/>
      <c r="G27" s="27"/>
      <c r="H27" s="27"/>
    </row>
    <row r="28" spans="1:28" ht="21.75" customHeight="1" x14ac:dyDescent="0.25">
      <c r="A28" s="29" t="s">
        <v>72</v>
      </c>
      <c r="B28" s="30">
        <f>COUNTA(A4:A24)</f>
        <v>21</v>
      </c>
      <c r="C28" s="31"/>
      <c r="D28" s="31"/>
      <c r="E28" s="31"/>
      <c r="F28" s="27"/>
      <c r="G28" s="27"/>
      <c r="H28" s="27"/>
    </row>
    <row r="29" spans="1:28" ht="21.75" customHeight="1" x14ac:dyDescent="0.25">
      <c r="A29" s="32" t="s">
        <v>73</v>
      </c>
      <c r="B29" s="33">
        <f>COUNTA(Q4:Q24)</f>
        <v>0</v>
      </c>
      <c r="C29" s="34">
        <f>IFERROR(B29/B28,"-")</f>
        <v>0</v>
      </c>
      <c r="D29" s="34" t="str">
        <f>IFERROR(B29/(B29+B30),"-")</f>
        <v>-</v>
      </c>
      <c r="E29" s="35" t="str">
        <f>IF(B28=0,"Awaiting data",IF(B29/B28&gt;=0.6,"On Track ✓","Needs Attention ⚠"))</f>
        <v>Needs Attention ⚠</v>
      </c>
      <c r="F29" s="27"/>
      <c r="G29" s="27"/>
      <c r="H29" s="27"/>
    </row>
    <row r="30" spans="1:28" ht="21.75" customHeight="1" x14ac:dyDescent="0.25">
      <c r="A30" s="36" t="s">
        <v>74</v>
      </c>
      <c r="B30" s="37">
        <f>COUNTA(S4:S24)</f>
        <v>0</v>
      </c>
      <c r="C30" s="38">
        <f>IFERROR(B30/B28,"-")</f>
        <v>0</v>
      </c>
      <c r="D30" s="38" t="str">
        <f>IFERROR(B30/(B29+B30),"-")</f>
        <v>-</v>
      </c>
      <c r="E30" s="39" t="str">
        <f>IF(B28=0,"Awaiting data",IF(B30/B28&lt;=0.2,"Acceptable","High NTV ⚠"))</f>
        <v>Acceptable</v>
      </c>
      <c r="F30" s="27"/>
      <c r="G30" s="27"/>
      <c r="H30" s="27"/>
    </row>
    <row r="31" spans="1:28" ht="21.75" customHeight="1" x14ac:dyDescent="0.25">
      <c r="A31" s="40" t="s">
        <v>75</v>
      </c>
      <c r="B31" s="41">
        <f>COUNTA(R4:R24)</f>
        <v>0</v>
      </c>
      <c r="C31" s="42">
        <f>IFERROR(B31/B28,"-")</f>
        <v>0</v>
      </c>
      <c r="D31" s="43" t="s">
        <v>76</v>
      </c>
      <c r="E31" s="44" t="s">
        <v>77</v>
      </c>
      <c r="F31" s="27"/>
      <c r="G31" s="27"/>
      <c r="H31" s="27"/>
    </row>
    <row r="32" spans="1:28" ht="21.75" customHeight="1" x14ac:dyDescent="0.25">
      <c r="A32" s="45" t="s">
        <v>78</v>
      </c>
      <c r="B32" s="46">
        <f>MAX(0,B28-B29-B30-B31)</f>
        <v>21</v>
      </c>
      <c r="C32" s="47">
        <f>IFERROR(B32/B28,"-")</f>
        <v>1</v>
      </c>
      <c r="D32" s="48" t="s">
        <v>76</v>
      </c>
      <c r="E32" s="49" t="str">
        <f>IF(B32=0,"All accounted for ✓","Follow up needed")</f>
        <v>Follow up needed</v>
      </c>
      <c r="F32" s="27"/>
      <c r="G32" s="27"/>
      <c r="H32" s="27"/>
    </row>
    <row r="33" spans="1:8" ht="7.5" customHeight="1" thickBot="1" x14ac:dyDescent="0.3">
      <c r="A33" s="27"/>
      <c r="B33" s="27"/>
      <c r="C33" s="27"/>
      <c r="D33" s="27"/>
      <c r="E33" s="27"/>
      <c r="F33" s="27"/>
      <c r="G33" s="27"/>
      <c r="H33" s="27"/>
    </row>
    <row r="34" spans="1:8" ht="37.5" customHeight="1" thickBot="1" x14ac:dyDescent="0.3">
      <c r="A34" s="95" t="s">
        <v>79</v>
      </c>
      <c r="B34" s="95"/>
      <c r="C34" s="50">
        <f>IFERROR(B29/B28,"-")</f>
        <v>0</v>
      </c>
      <c r="D34" s="96" t="str">
        <f>IF(B28=0,"Enter resident data to calculate",IF(B29/B28&gt;=0.6,"✓ Meeting target retention","⚠ Below target — review offers"))</f>
        <v>⚠ Below target — review offers</v>
      </c>
      <c r="E34" s="96"/>
      <c r="F34" s="96"/>
      <c r="G34" s="96"/>
      <c r="H34" s="27"/>
    </row>
    <row r="35" spans="1:8" ht="25.5" customHeight="1" x14ac:dyDescent="0.25">
      <c r="A35" s="97" t="s">
        <v>80</v>
      </c>
      <c r="B35" s="97"/>
      <c r="C35" s="51" t="str">
        <f>IFERROR(B29/(B29+B30),"-")</f>
        <v>-</v>
      </c>
      <c r="D35" s="98" t="s">
        <v>81</v>
      </c>
      <c r="E35" s="98"/>
      <c r="F35" s="98"/>
      <c r="G35" s="98"/>
      <c r="H35" s="27"/>
    </row>
    <row r="36" spans="1:8" ht="18" customHeight="1" x14ac:dyDescent="0.25">
      <c r="A36" s="27"/>
      <c r="B36" s="27"/>
      <c r="C36" s="27"/>
      <c r="D36" s="27"/>
      <c r="E36" s="27"/>
      <c r="F36" s="27"/>
      <c r="G36" s="27"/>
      <c r="H36" s="27"/>
    </row>
    <row r="37" spans="1:8" ht="7.5" customHeight="1" x14ac:dyDescent="0.25">
      <c r="A37" s="27"/>
      <c r="B37" s="27"/>
      <c r="C37" s="27"/>
      <c r="D37" s="27"/>
      <c r="E37" s="27"/>
      <c r="F37" s="27"/>
      <c r="G37" s="27"/>
      <c r="H37" s="27"/>
    </row>
    <row r="38" spans="1:8" ht="21.75" customHeight="1" x14ac:dyDescent="0.25">
      <c r="A38" s="52" t="s">
        <v>82</v>
      </c>
      <c r="B38" s="27"/>
      <c r="C38" s="27"/>
      <c r="D38" s="27"/>
      <c r="E38" s="27"/>
      <c r="F38" s="27"/>
      <c r="G38" s="27"/>
      <c r="H38" s="27"/>
    </row>
    <row r="39" spans="1:8" ht="18" customHeight="1" x14ac:dyDescent="0.25">
      <c r="A39" s="53" t="s">
        <v>83</v>
      </c>
      <c r="B39" s="27"/>
      <c r="C39" s="27"/>
      <c r="D39" s="27"/>
      <c r="E39" s="27"/>
      <c r="F39" s="27"/>
      <c r="G39" s="27"/>
      <c r="H39" s="27"/>
    </row>
    <row r="40" spans="1:8" ht="18" customHeight="1" x14ac:dyDescent="0.25">
      <c r="A40" s="54" t="s">
        <v>84</v>
      </c>
      <c r="B40" s="27"/>
      <c r="C40" s="27"/>
      <c r="D40" s="27"/>
      <c r="E40" s="27"/>
      <c r="F40" s="27"/>
      <c r="G40" s="27"/>
      <c r="H40" s="27"/>
    </row>
    <row r="41" spans="1:8" ht="18" customHeight="1" x14ac:dyDescent="0.25">
      <c r="A41" s="55" t="s">
        <v>85</v>
      </c>
      <c r="B41" s="27"/>
      <c r="C41" s="27"/>
      <c r="D41" s="27"/>
      <c r="E41" s="27"/>
      <c r="F41" s="27"/>
      <c r="G41" s="27"/>
      <c r="H41" s="27"/>
    </row>
    <row r="42" spans="1:8" ht="18" customHeight="1" x14ac:dyDescent="0.25">
      <c r="A42" s="56" t="s">
        <v>86</v>
      </c>
      <c r="B42" s="27"/>
      <c r="C42" s="27"/>
      <c r="D42" s="27"/>
      <c r="E42" s="27"/>
      <c r="F42" s="27"/>
      <c r="G42" s="27"/>
      <c r="H42" s="27"/>
    </row>
    <row r="43" spans="1:8" ht="18" customHeight="1" x14ac:dyDescent="0.25">
      <c r="A43" s="57" t="s">
        <v>87</v>
      </c>
      <c r="B43" s="27"/>
      <c r="C43" s="27"/>
      <c r="D43" s="27"/>
      <c r="E43" s="27"/>
      <c r="F43" s="27"/>
      <c r="G43" s="27"/>
      <c r="H43" s="27"/>
    </row>
    <row r="44" spans="1:8" ht="15" customHeight="1" x14ac:dyDescent="0.25">
      <c r="A44" s="27"/>
      <c r="B44" s="27"/>
      <c r="C44" s="27"/>
      <c r="D44" s="27"/>
      <c r="E44" s="27"/>
      <c r="F44" s="27"/>
      <c r="G44" s="27"/>
      <c r="H44" s="27"/>
    </row>
    <row r="45" spans="1:8" ht="15" customHeight="1" x14ac:dyDescent="0.25">
      <c r="A45" s="27"/>
      <c r="B45" s="27"/>
      <c r="C45" s="27"/>
      <c r="D45" s="27"/>
      <c r="E45" s="27"/>
      <c r="F45" s="27"/>
      <c r="G45" s="27"/>
      <c r="H45" s="27"/>
    </row>
    <row r="46" spans="1:8" ht="15" customHeight="1" x14ac:dyDescent="0.25">
      <c r="A46" s="27"/>
      <c r="B46" s="27"/>
      <c r="C46" s="27"/>
      <c r="D46" s="27"/>
      <c r="E46" s="27"/>
      <c r="F46" s="27"/>
      <c r="G46" s="27"/>
      <c r="H46" s="27"/>
    </row>
    <row r="47" spans="1:8" ht="15" customHeight="1" x14ac:dyDescent="0.25">
      <c r="A47" s="27"/>
      <c r="B47" s="27"/>
      <c r="C47" s="27"/>
      <c r="D47" s="27"/>
      <c r="E47" s="27"/>
      <c r="F47" s="27"/>
      <c r="G47" s="27"/>
      <c r="H47" s="27"/>
    </row>
    <row r="48" spans="1:8" ht="15" customHeight="1" x14ac:dyDescent="0.25">
      <c r="A48" s="27"/>
      <c r="B48" s="27"/>
      <c r="C48" s="27"/>
      <c r="D48" s="27"/>
      <c r="E48" s="27"/>
      <c r="F48" s="27"/>
      <c r="G48" s="27"/>
      <c r="H48" s="27"/>
    </row>
    <row r="49" spans="1:8" ht="15" customHeight="1" x14ac:dyDescent="0.25">
      <c r="A49" s="27"/>
      <c r="B49" s="27"/>
      <c r="C49" s="27"/>
      <c r="D49" s="27"/>
      <c r="E49" s="27"/>
      <c r="F49" s="27"/>
      <c r="G49" s="27"/>
      <c r="H49" s="27"/>
    </row>
    <row r="50" spans="1:8" ht="15" customHeight="1" x14ac:dyDescent="0.25">
      <c r="A50" s="27"/>
      <c r="B50" s="27"/>
      <c r="C50" s="27"/>
      <c r="D50" s="27"/>
      <c r="E50" s="27"/>
      <c r="F50" s="27"/>
      <c r="G50" s="27"/>
      <c r="H50" s="27"/>
    </row>
  </sheetData>
  <mergeCells count="6">
    <mergeCell ref="A1:AB1"/>
    <mergeCell ref="A26:G26"/>
    <mergeCell ref="A34:B34"/>
    <mergeCell ref="D34:G34"/>
    <mergeCell ref="A35:B35"/>
    <mergeCell ref="D35:G35"/>
  </mergeCells>
  <conditionalFormatting sqref="A4:U24">
    <cfRule type="expression" dxfId="17" priority="1">
      <formula>$S4&lt;&gt;""</formula>
    </cfRule>
    <cfRule type="expression" dxfId="16" priority="2">
      <formula>$R4&lt;&gt;""</formula>
    </cfRule>
    <cfRule type="expression" dxfId="15" priority="3">
      <formula>$Q4&lt;&gt;""</formula>
    </cfRule>
  </conditionalFormatting>
  <dataValidations count="1">
    <dataValidation type="list" allowBlank="1" showInputMessage="1" showErrorMessage="1" sqref="P4:P24" xr:uid="{FDD12CBE-8DBE-4102-9517-EF91BA1AC856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5A46-674F-4ECB-BAD9-4B99689FADB5}">
  <dimension ref="A1:AB53"/>
  <sheetViews>
    <sheetView zoomScaleNormal="100" workbookViewId="0">
      <pane ySplit="3" topLeftCell="A4" activePane="bottomLeft" state="frozen"/>
      <selection pane="bottomLeft" activeCell="A28" sqref="A28:XFD34"/>
    </sheetView>
  </sheetViews>
  <sheetFormatPr defaultColWidth="8.5703125" defaultRowHeight="15" customHeight="1" x14ac:dyDescent="0.25"/>
  <cols>
    <col min="1" max="1" width="23" customWidth="1"/>
    <col min="2" max="3" width="10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23.7109375" customWidth="1"/>
    <col min="21" max="21" width="22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361</v>
      </c>
      <c r="B4" s="60" t="s">
        <v>385</v>
      </c>
      <c r="C4" s="4" t="s">
        <v>13</v>
      </c>
      <c r="D4" s="19">
        <v>46266</v>
      </c>
      <c r="E4" s="20">
        <f t="shared" ref="E4:E27" si="0">IF(D4="","",D4-90)</f>
        <v>46176</v>
      </c>
      <c r="F4" s="20">
        <f t="shared" ref="F4:F27" si="1">IF(D4="","",D4-60)</f>
        <v>46206</v>
      </c>
      <c r="G4" s="20">
        <f t="shared" ref="G4:G27" si="2">IF(D4="","",D4-30)</f>
        <v>46236</v>
      </c>
      <c r="H4" s="21">
        <v>0</v>
      </c>
      <c r="I4" s="5">
        <v>1620</v>
      </c>
      <c r="J4" s="22" t="str">
        <f t="shared" ref="J4:J27" si="3">IF(I4="","",IF(ABS(N4-W4)&lt;=ABS(M4-W4),IF(ABS(N4-W4)&lt;=ABS(O4-W4),"Offer 2","Offer 3"),IF(ABS(M4-W4)&lt;=ABS(O4-W4),"Offer 1","Offer 3")))</f>
        <v>Offer 3</v>
      </c>
      <c r="K4" s="59"/>
      <c r="L4" s="23" t="str">
        <f t="shared" ref="L4:L27" si="4">IF(OR(I4="",K4=""),"",CEILING(I4*(1+K4),5))</f>
        <v/>
      </c>
      <c r="M4" s="23">
        <f t="shared" ref="M4:M27" si="5">IF(I4="","",IF(X4="Under",CEILING(MAX(I4*1.02,MIN(V4,W4)*0.95),5),CEILING(MAX(I4*1.03,MIN(V4,W4)*0.97),5)))</f>
        <v>1680</v>
      </c>
      <c r="N4" s="23">
        <f t="shared" ref="N4:N27" si="6">IF(I4="","",IF(X4="Under",CEILING(MAX(I4*1.03,(V4+W4)/2*0.96),5),CEILING(MAX(I4*1.05,(V4+W4)/2*0.98),5)))</f>
        <v>1720</v>
      </c>
      <c r="O4" s="23">
        <f t="shared" ref="O4:O27" si="7">IF(I4="","",IF(X4="Under",CEILING(MAX(I4*1.05,MIN(V4,W4*1.01)),5),CEILING(MAX(I4*1.08,MIN(V4,W4*1.02)),5)))</f>
        <v>1785</v>
      </c>
      <c r="P4" s="4"/>
      <c r="Q4" s="4"/>
      <c r="R4" s="4"/>
      <c r="S4" s="4"/>
      <c r="T4" s="4" t="s">
        <v>594</v>
      </c>
      <c r="U4" s="4"/>
      <c r="V4" s="23">
        <f>IF(C4="","",IFERROR(VLOOKUP(C4,SETUP!$A$9:$D$24,2,0),"⚠ Check SETUP"))</f>
        <v>1809</v>
      </c>
      <c r="W4" s="23">
        <f>IF(C4="","",IFERROR(VLOOKUP(C4,SETUP!$A$9:$D$24,3,0),"⚠ Check SETUP"))</f>
        <v>1764</v>
      </c>
      <c r="X4" s="22" t="str">
        <f>IF(C4="","",IFERROR(VLOOKUP(C4,SETUP!$A$9:$D$24,4,0),"⚠ Check SETUP"))</f>
        <v>Under</v>
      </c>
      <c r="Y4" s="24">
        <f t="shared" ref="Y4:Y27" si="8">IF(OR(I4="",M4=""),"",(M4-I4)/I4)</f>
        <v>3.7037037037037035E-2</v>
      </c>
      <c r="Z4" s="24">
        <f t="shared" ref="Z4:Z27" si="9">IF(OR(I4="",N4=""),"",(N4-I4)/I4)</f>
        <v>6.1728395061728392E-2</v>
      </c>
      <c r="AA4" s="24">
        <f t="shared" ref="AA4:AA27" si="10">IF(OR(I4="",O4=""),"",(O4-I4)/I4)</f>
        <v>0.10185185185185185</v>
      </c>
      <c r="AB4" s="24" t="str">
        <f t="shared" ref="AB4:AB27" si="11">IF(OR(Q4="",S4&lt;&gt;"",P4="",I4=""),"",IF(P4="Investor Override",IF(L4="","",(L4-I4)/I4),IF(P4="Offer 1",IF(M4="","",(M4-I4)/I4),IF(P4="Offer 2",IF(N4="","",(N4-I4)/I4),IF(P4="Offer 3",IF(O4="","",(O4-I4)/I4),"")))))</f>
        <v/>
      </c>
    </row>
    <row r="5" spans="1:28" ht="19.5" customHeight="1" x14ac:dyDescent="0.25">
      <c r="A5" s="6" t="s">
        <v>362</v>
      </c>
      <c r="B5" s="60" t="s">
        <v>386</v>
      </c>
      <c r="C5" s="4" t="s">
        <v>103</v>
      </c>
      <c r="D5" s="19">
        <v>46267</v>
      </c>
      <c r="E5" s="20">
        <f t="shared" si="0"/>
        <v>46177</v>
      </c>
      <c r="F5" s="20">
        <f t="shared" si="1"/>
        <v>46207</v>
      </c>
      <c r="G5" s="20">
        <f t="shared" si="2"/>
        <v>46237</v>
      </c>
      <c r="H5" s="21">
        <v>0</v>
      </c>
      <c r="I5" s="5"/>
      <c r="J5" s="22" t="str">
        <f t="shared" si="3"/>
        <v/>
      </c>
      <c r="K5" s="59"/>
      <c r="L5" s="23" t="str">
        <f t="shared" si="4"/>
        <v/>
      </c>
      <c r="M5" s="23" t="str">
        <f t="shared" si="5"/>
        <v/>
      </c>
      <c r="N5" s="23" t="str">
        <f t="shared" si="6"/>
        <v/>
      </c>
      <c r="O5" s="23" t="str">
        <f t="shared" si="7"/>
        <v/>
      </c>
      <c r="P5" s="4"/>
      <c r="Q5" s="4"/>
      <c r="R5" s="4"/>
      <c r="S5" s="61"/>
      <c r="T5" s="4" t="s">
        <v>409</v>
      </c>
      <c r="U5" s="4"/>
      <c r="V5" s="23">
        <f>IF(C5="","",IFERROR(VLOOKUP(C5,SETUP!$A$9:$D$24,2,0),"⚠ Check SETUP"))</f>
        <v>1860</v>
      </c>
      <c r="W5" s="23">
        <f>IF(C5="","",IFERROR(VLOOKUP(C5,SETUP!$A$9:$D$24,3,0),"⚠ Check SETUP"))</f>
        <v>1776</v>
      </c>
      <c r="X5" s="22" t="str">
        <f>IF(C5="","",IFERROR(VLOOKUP(C5,SETUP!$A$9:$D$24,4,0),"⚠ Check SETUP"))</f>
        <v>Over</v>
      </c>
      <c r="Y5" s="24" t="str">
        <f t="shared" si="8"/>
        <v/>
      </c>
      <c r="Z5" s="24" t="str">
        <f t="shared" si="9"/>
        <v/>
      </c>
      <c r="AA5" s="24" t="str">
        <f t="shared" si="10"/>
        <v/>
      </c>
      <c r="AB5" s="24" t="str">
        <f t="shared" si="11"/>
        <v/>
      </c>
    </row>
    <row r="6" spans="1:28" ht="19.5" customHeight="1" x14ac:dyDescent="0.25">
      <c r="A6" s="6" t="s">
        <v>363</v>
      </c>
      <c r="B6" s="60" t="s">
        <v>387</v>
      </c>
      <c r="C6" s="4" t="s">
        <v>99</v>
      </c>
      <c r="D6" s="19">
        <v>46268</v>
      </c>
      <c r="E6" s="20">
        <f t="shared" si="0"/>
        <v>46178</v>
      </c>
      <c r="F6" s="20">
        <f t="shared" si="1"/>
        <v>46208</v>
      </c>
      <c r="G6" s="20">
        <f t="shared" si="2"/>
        <v>46238</v>
      </c>
      <c r="H6" s="21">
        <v>0</v>
      </c>
      <c r="I6" s="5">
        <v>1706</v>
      </c>
      <c r="J6" s="22" t="str">
        <f t="shared" si="3"/>
        <v>Offer 1</v>
      </c>
      <c r="K6" s="59"/>
      <c r="L6" s="23" t="str">
        <f t="shared" si="4"/>
        <v/>
      </c>
      <c r="M6" s="23">
        <f t="shared" si="5"/>
        <v>1745</v>
      </c>
      <c r="N6" s="23">
        <f t="shared" si="6"/>
        <v>1760</v>
      </c>
      <c r="O6" s="23">
        <f t="shared" si="7"/>
        <v>1795</v>
      </c>
      <c r="P6" s="4"/>
      <c r="Q6" s="4"/>
      <c r="R6" s="4"/>
      <c r="S6" s="4"/>
      <c r="T6" s="4" t="s">
        <v>410</v>
      </c>
      <c r="U6" s="4"/>
      <c r="V6" s="23">
        <f>IF(C6="","",IFERROR(VLOOKUP(C6,SETUP!$A$9:$D$24,2,0),"⚠ Check SETUP"))</f>
        <v>1719</v>
      </c>
      <c r="W6" s="23">
        <f>IF(C6="","",IFERROR(VLOOKUP(C6,SETUP!$A$9:$D$24,3,0),"⚠ Check SETUP"))</f>
        <v>1561</v>
      </c>
      <c r="X6" s="22" t="str">
        <f>IF(C6="","",IFERROR(VLOOKUP(C6,SETUP!$A$9:$D$24,4,0),"⚠ Check SETUP"))</f>
        <v>Under</v>
      </c>
      <c r="Y6" s="24">
        <f t="shared" si="8"/>
        <v>2.2860492379835874E-2</v>
      </c>
      <c r="Z6" s="24">
        <f t="shared" si="9"/>
        <v>3.1652989449003514E-2</v>
      </c>
      <c r="AA6" s="24">
        <f t="shared" si="10"/>
        <v>5.216881594372802E-2</v>
      </c>
      <c r="AB6" s="24" t="str">
        <f t="shared" si="11"/>
        <v/>
      </c>
    </row>
    <row r="7" spans="1:28" ht="19.5" customHeight="1" x14ac:dyDescent="0.25">
      <c r="A7" s="6" t="s">
        <v>364</v>
      </c>
      <c r="B7" s="60" t="s">
        <v>388</v>
      </c>
      <c r="C7" s="4" t="s">
        <v>95</v>
      </c>
      <c r="D7" s="19">
        <v>46270</v>
      </c>
      <c r="E7" s="20">
        <f t="shared" si="0"/>
        <v>46180</v>
      </c>
      <c r="F7" s="20">
        <f t="shared" si="1"/>
        <v>46210</v>
      </c>
      <c r="G7" s="20">
        <f t="shared" si="2"/>
        <v>46240</v>
      </c>
      <c r="H7" s="21">
        <v>0</v>
      </c>
      <c r="I7" s="5">
        <v>1617</v>
      </c>
      <c r="J7" s="22" t="str">
        <f t="shared" si="3"/>
        <v>Offer 1</v>
      </c>
      <c r="K7" s="59"/>
      <c r="L7" s="23" t="str">
        <f t="shared" si="4"/>
        <v/>
      </c>
      <c r="M7" s="23">
        <f t="shared" si="5"/>
        <v>1650</v>
      </c>
      <c r="N7" s="23">
        <f t="shared" si="6"/>
        <v>1670</v>
      </c>
      <c r="O7" s="23">
        <f t="shared" si="7"/>
        <v>1700</v>
      </c>
      <c r="P7" s="4"/>
      <c r="Q7" s="4"/>
      <c r="R7" s="4"/>
      <c r="S7" s="4"/>
      <c r="T7" s="4" t="s">
        <v>411</v>
      </c>
      <c r="U7" s="4"/>
      <c r="V7" s="23">
        <f>IF(C7="","",IFERROR(VLOOKUP(C7,SETUP!$A$9:$D$24,2,0),"⚠ Check SETUP"))</f>
        <v>1595</v>
      </c>
      <c r="W7" s="23">
        <f>IF(C7="","",IFERROR(VLOOKUP(C7,SETUP!$A$9:$D$24,3,0),"⚠ Check SETUP"))</f>
        <v>1504</v>
      </c>
      <c r="X7" s="22" t="str">
        <f>IF(C7="","",IFERROR(VLOOKUP(C7,SETUP!$A$9:$D$24,4,0),"⚠ Check SETUP"))</f>
        <v>Under</v>
      </c>
      <c r="Y7" s="24">
        <f t="shared" si="8"/>
        <v>2.0408163265306121E-2</v>
      </c>
      <c r="Z7" s="24">
        <f t="shared" si="9"/>
        <v>3.2776747062461351E-2</v>
      </c>
      <c r="AA7" s="24">
        <f t="shared" si="10"/>
        <v>5.1329622758194186E-2</v>
      </c>
      <c r="AB7" s="24" t="str">
        <f t="shared" si="11"/>
        <v/>
      </c>
    </row>
    <row r="8" spans="1:28" ht="19.5" customHeight="1" x14ac:dyDescent="0.25">
      <c r="A8" s="6" t="s">
        <v>365</v>
      </c>
      <c r="B8" s="60" t="s">
        <v>389</v>
      </c>
      <c r="C8" s="4" t="s">
        <v>101</v>
      </c>
      <c r="D8" s="19">
        <v>46271</v>
      </c>
      <c r="E8" s="20">
        <f t="shared" si="0"/>
        <v>46181</v>
      </c>
      <c r="F8" s="20">
        <f t="shared" si="1"/>
        <v>46211</v>
      </c>
      <c r="G8" s="20">
        <f t="shared" si="2"/>
        <v>46241</v>
      </c>
      <c r="H8" s="21">
        <v>0</v>
      </c>
      <c r="I8" s="5">
        <v>2107</v>
      </c>
      <c r="J8" s="22" t="str">
        <f t="shared" si="3"/>
        <v>Offer 1</v>
      </c>
      <c r="K8" s="59"/>
      <c r="L8" s="23" t="str">
        <f t="shared" si="4"/>
        <v/>
      </c>
      <c r="M8" s="23">
        <f t="shared" si="5"/>
        <v>2150</v>
      </c>
      <c r="N8" s="23">
        <f t="shared" si="6"/>
        <v>2175</v>
      </c>
      <c r="O8" s="23">
        <f t="shared" si="7"/>
        <v>2215</v>
      </c>
      <c r="P8" s="4"/>
      <c r="Q8" s="4"/>
      <c r="R8" s="4"/>
      <c r="S8" s="4"/>
      <c r="T8" s="4" t="s">
        <v>412</v>
      </c>
      <c r="U8" s="4"/>
      <c r="V8" s="23">
        <f>IF(C8="","",IFERROR(VLOOKUP(C8,SETUP!$A$9:$D$24,2,0),"⚠ Check SETUP"))</f>
        <v>1880</v>
      </c>
      <c r="W8" s="23">
        <f>IF(C8="","",IFERROR(VLOOKUP(C8,SETUP!$A$9:$D$24,3,0),"⚠ Check SETUP"))</f>
        <v>1976</v>
      </c>
      <c r="X8" s="22" t="str">
        <f>IF(C8="","",IFERROR(VLOOKUP(C8,SETUP!$A$9:$D$24,4,0),"⚠ Check SETUP"))</f>
        <v>Under</v>
      </c>
      <c r="Y8" s="24">
        <f t="shared" si="8"/>
        <v>2.0408163265306121E-2</v>
      </c>
      <c r="Z8" s="24">
        <f t="shared" si="9"/>
        <v>3.2273374466065499E-2</v>
      </c>
      <c r="AA8" s="24">
        <f t="shared" si="10"/>
        <v>5.1257712387280496E-2</v>
      </c>
      <c r="AB8" s="24" t="str">
        <f t="shared" si="11"/>
        <v/>
      </c>
    </row>
    <row r="9" spans="1:28" ht="19.5" customHeight="1" x14ac:dyDescent="0.25">
      <c r="A9" s="6" t="s">
        <v>366</v>
      </c>
      <c r="B9" s="60" t="s">
        <v>390</v>
      </c>
      <c r="C9" s="4" t="s">
        <v>95</v>
      </c>
      <c r="D9" s="19">
        <v>46272</v>
      </c>
      <c r="E9" s="20">
        <f t="shared" si="0"/>
        <v>46182</v>
      </c>
      <c r="F9" s="20">
        <f t="shared" si="1"/>
        <v>46212</v>
      </c>
      <c r="G9" s="20">
        <f t="shared" si="2"/>
        <v>46242</v>
      </c>
      <c r="H9" s="21">
        <v>1627</v>
      </c>
      <c r="I9" s="5">
        <v>1627</v>
      </c>
      <c r="J9" s="22" t="str">
        <f t="shared" si="3"/>
        <v>Offer 1</v>
      </c>
      <c r="K9" s="59"/>
      <c r="L9" s="23" t="str">
        <f t="shared" si="4"/>
        <v/>
      </c>
      <c r="M9" s="23">
        <f t="shared" si="5"/>
        <v>1660</v>
      </c>
      <c r="N9" s="23">
        <f t="shared" si="6"/>
        <v>1680</v>
      </c>
      <c r="O9" s="23">
        <f t="shared" si="7"/>
        <v>1710</v>
      </c>
      <c r="P9" s="4"/>
      <c r="Q9" s="4"/>
      <c r="R9" s="4"/>
      <c r="S9" s="4"/>
      <c r="T9" s="4" t="s">
        <v>413</v>
      </c>
      <c r="U9" s="4"/>
      <c r="V9" s="23">
        <f>IF(C9="","",IFERROR(VLOOKUP(C9,SETUP!$A$9:$D$24,2,0),"⚠ Check SETUP"))</f>
        <v>1595</v>
      </c>
      <c r="W9" s="23">
        <f>IF(C9="","",IFERROR(VLOOKUP(C9,SETUP!$A$9:$D$24,3,0),"⚠ Check SETUP"))</f>
        <v>1504</v>
      </c>
      <c r="X9" s="22" t="str">
        <f>IF(C9="","",IFERROR(VLOOKUP(C9,SETUP!$A$9:$D$24,4,0),"⚠ Check SETUP"))</f>
        <v>Under</v>
      </c>
      <c r="Y9" s="24">
        <f t="shared" si="8"/>
        <v>2.0282728948985862E-2</v>
      </c>
      <c r="Z9" s="24">
        <f t="shared" si="9"/>
        <v>3.2575291948371235E-2</v>
      </c>
      <c r="AA9" s="24">
        <f t="shared" si="10"/>
        <v>5.1014136447449294E-2</v>
      </c>
      <c r="AB9" s="24" t="str">
        <f t="shared" si="11"/>
        <v/>
      </c>
    </row>
    <row r="10" spans="1:28" ht="19.5" customHeight="1" x14ac:dyDescent="0.25">
      <c r="A10" s="6" t="s">
        <v>367</v>
      </c>
      <c r="B10" s="60" t="s">
        <v>391</v>
      </c>
      <c r="C10" s="4" t="s">
        <v>98</v>
      </c>
      <c r="D10" s="19">
        <v>46273</v>
      </c>
      <c r="E10" s="20">
        <f t="shared" si="0"/>
        <v>46183</v>
      </c>
      <c r="F10" s="20">
        <f t="shared" si="1"/>
        <v>46213</v>
      </c>
      <c r="G10" s="20">
        <f t="shared" si="2"/>
        <v>46243</v>
      </c>
      <c r="H10" s="21">
        <v>0</v>
      </c>
      <c r="I10" s="5">
        <v>1395</v>
      </c>
      <c r="J10" s="22" t="str">
        <f t="shared" si="3"/>
        <v>Offer 1</v>
      </c>
      <c r="K10" s="59"/>
      <c r="L10" s="23" t="str">
        <f t="shared" si="4"/>
        <v/>
      </c>
      <c r="M10" s="23">
        <f t="shared" si="5"/>
        <v>1440</v>
      </c>
      <c r="N10" s="23">
        <f t="shared" si="6"/>
        <v>1465</v>
      </c>
      <c r="O10" s="23">
        <f t="shared" si="7"/>
        <v>1510</v>
      </c>
      <c r="P10" s="4"/>
      <c r="Q10" s="4"/>
      <c r="R10" s="4"/>
      <c r="S10" s="4"/>
      <c r="T10" s="4" t="s">
        <v>414</v>
      </c>
      <c r="U10" s="4"/>
      <c r="V10" s="23">
        <f>IF(C10="","",IFERROR(VLOOKUP(C10,SETUP!$A$9:$D$24,2,0),"⚠ Check SETUP"))</f>
        <v>1421</v>
      </c>
      <c r="W10" s="23">
        <f>IF(C10="","",IFERROR(VLOOKUP(C10,SETUP!$A$9:$D$24,3,0),"⚠ Check SETUP"))</f>
        <v>1424</v>
      </c>
      <c r="X10" s="22" t="str">
        <f>IF(C10="","",IFERROR(VLOOKUP(C10,SETUP!$A$9:$D$24,4,0),"⚠ Check SETUP"))</f>
        <v>Over</v>
      </c>
      <c r="Y10" s="24">
        <f t="shared" si="8"/>
        <v>3.2258064516129031E-2</v>
      </c>
      <c r="Z10" s="24">
        <f t="shared" si="9"/>
        <v>5.0179211469534052E-2</v>
      </c>
      <c r="AA10" s="24">
        <f t="shared" si="10"/>
        <v>8.2437275985663083E-2</v>
      </c>
      <c r="AB10" s="24" t="str">
        <f t="shared" si="11"/>
        <v/>
      </c>
    </row>
    <row r="11" spans="1:28" ht="19.5" customHeight="1" x14ac:dyDescent="0.25">
      <c r="A11" s="6" t="s">
        <v>368</v>
      </c>
      <c r="B11" s="60" t="s">
        <v>392</v>
      </c>
      <c r="C11" s="4" t="s">
        <v>95</v>
      </c>
      <c r="D11" s="19">
        <v>46276</v>
      </c>
      <c r="E11" s="20">
        <f t="shared" si="0"/>
        <v>46186</v>
      </c>
      <c r="F11" s="20">
        <f t="shared" si="1"/>
        <v>46216</v>
      </c>
      <c r="G11" s="20">
        <f t="shared" si="2"/>
        <v>46246</v>
      </c>
      <c r="H11" s="21">
        <v>1413</v>
      </c>
      <c r="I11" s="5">
        <v>1413</v>
      </c>
      <c r="J11" s="22" t="str">
        <f t="shared" si="3"/>
        <v>Offer 2</v>
      </c>
      <c r="K11" s="59"/>
      <c r="L11" s="23" t="str">
        <f t="shared" si="4"/>
        <v/>
      </c>
      <c r="M11" s="23">
        <f t="shared" si="5"/>
        <v>1445</v>
      </c>
      <c r="N11" s="23">
        <f t="shared" si="6"/>
        <v>1490</v>
      </c>
      <c r="O11" s="23">
        <f t="shared" si="7"/>
        <v>1520</v>
      </c>
      <c r="P11" s="4"/>
      <c r="Q11" s="4"/>
      <c r="R11" s="4"/>
      <c r="S11" s="4"/>
      <c r="T11" s="4" t="s">
        <v>415</v>
      </c>
      <c r="U11" s="4"/>
      <c r="V11" s="23">
        <f>IF(C11="","",IFERROR(VLOOKUP(C11,SETUP!$A$9:$D$24,2,0),"⚠ Check SETUP"))</f>
        <v>1595</v>
      </c>
      <c r="W11" s="23">
        <f>IF(C11="","",IFERROR(VLOOKUP(C11,SETUP!$A$9:$D$24,3,0),"⚠ Check SETUP"))</f>
        <v>1504</v>
      </c>
      <c r="X11" s="22" t="str">
        <f>IF(C11="","",IFERROR(VLOOKUP(C11,SETUP!$A$9:$D$24,4,0),"⚠ Check SETUP"))</f>
        <v>Under</v>
      </c>
      <c r="Y11" s="24">
        <f t="shared" si="8"/>
        <v>2.264685067232838E-2</v>
      </c>
      <c r="Z11" s="24">
        <f t="shared" si="9"/>
        <v>5.449398443029016E-2</v>
      </c>
      <c r="AA11" s="24">
        <f t="shared" si="10"/>
        <v>7.5725406935598025E-2</v>
      </c>
      <c r="AB11" s="24" t="str">
        <f t="shared" si="11"/>
        <v/>
      </c>
    </row>
    <row r="12" spans="1:28" ht="19.5" customHeight="1" x14ac:dyDescent="0.25">
      <c r="A12" s="6" t="s">
        <v>369</v>
      </c>
      <c r="B12" s="60" t="s">
        <v>393</v>
      </c>
      <c r="C12" s="4" t="s">
        <v>100</v>
      </c>
      <c r="D12" s="19">
        <v>46279</v>
      </c>
      <c r="E12" s="20">
        <f t="shared" si="0"/>
        <v>46189</v>
      </c>
      <c r="F12" s="20">
        <f t="shared" si="1"/>
        <v>46219</v>
      </c>
      <c r="G12" s="20">
        <f t="shared" si="2"/>
        <v>46249</v>
      </c>
      <c r="H12" s="21">
        <v>500</v>
      </c>
      <c r="I12" s="5">
        <v>1892</v>
      </c>
      <c r="J12" s="22" t="str">
        <f t="shared" si="3"/>
        <v>Offer 1</v>
      </c>
      <c r="K12" s="59"/>
      <c r="L12" s="23" t="str">
        <f t="shared" si="4"/>
        <v/>
      </c>
      <c r="M12" s="23">
        <f t="shared" si="5"/>
        <v>1930</v>
      </c>
      <c r="N12" s="23">
        <f t="shared" si="6"/>
        <v>1950</v>
      </c>
      <c r="O12" s="23">
        <f t="shared" si="7"/>
        <v>1990</v>
      </c>
      <c r="P12" s="4"/>
      <c r="Q12" s="4"/>
      <c r="R12" s="4"/>
      <c r="S12" s="4"/>
      <c r="T12" s="4" t="s">
        <v>416</v>
      </c>
      <c r="U12" s="4"/>
      <c r="V12" s="23">
        <f>IF(C12="","",IFERROR(VLOOKUP(C12,SETUP!$A$9:$D$24,2,0),"⚠ Check SETUP"))</f>
        <v>1595</v>
      </c>
      <c r="W12" s="23">
        <f>IF(C12="","",IFERROR(VLOOKUP(C12,SETUP!$A$9:$D$24,3,0),"⚠ Check SETUP"))</f>
        <v>1806</v>
      </c>
      <c r="X12" s="22" t="str">
        <f>IF(C12="","",IFERROR(VLOOKUP(C12,SETUP!$A$9:$D$24,4,0),"⚠ Check SETUP"))</f>
        <v>Under</v>
      </c>
      <c r="Y12" s="24">
        <f t="shared" si="8"/>
        <v>2.0084566596194502E-2</v>
      </c>
      <c r="Z12" s="24">
        <f t="shared" si="9"/>
        <v>3.06553911205074E-2</v>
      </c>
      <c r="AA12" s="24">
        <f t="shared" si="10"/>
        <v>5.1797040169133189E-2</v>
      </c>
      <c r="AB12" s="24" t="str">
        <f t="shared" si="11"/>
        <v/>
      </c>
    </row>
    <row r="13" spans="1:28" ht="19.5" customHeight="1" x14ac:dyDescent="0.25">
      <c r="A13" s="6" t="s">
        <v>370</v>
      </c>
      <c r="B13" s="60" t="s">
        <v>394</v>
      </c>
      <c r="C13" s="4" t="s">
        <v>100</v>
      </c>
      <c r="D13" s="19">
        <v>46279</v>
      </c>
      <c r="E13" s="20">
        <f t="shared" si="0"/>
        <v>46189</v>
      </c>
      <c r="F13" s="20">
        <f t="shared" si="1"/>
        <v>46219</v>
      </c>
      <c r="G13" s="20">
        <f t="shared" si="2"/>
        <v>46249</v>
      </c>
      <c r="H13" s="21">
        <v>0</v>
      </c>
      <c r="I13" s="5"/>
      <c r="J13" s="22" t="str">
        <f t="shared" si="3"/>
        <v/>
      </c>
      <c r="K13" s="59"/>
      <c r="L13" s="23" t="str">
        <f t="shared" si="4"/>
        <v/>
      </c>
      <c r="M13" s="23" t="str">
        <f t="shared" si="5"/>
        <v/>
      </c>
      <c r="N13" s="23" t="str">
        <f t="shared" si="6"/>
        <v/>
      </c>
      <c r="O13" s="23" t="str">
        <f t="shared" si="7"/>
        <v/>
      </c>
      <c r="P13" s="4"/>
      <c r="Q13" s="4"/>
      <c r="R13" s="4"/>
      <c r="S13" s="61"/>
      <c r="T13" s="4" t="s">
        <v>417</v>
      </c>
      <c r="U13" s="4"/>
      <c r="V13" s="23">
        <f>IF(C13="","",IFERROR(VLOOKUP(C13,SETUP!$A$9:$D$24,2,0),"⚠ Check SETUP"))</f>
        <v>1595</v>
      </c>
      <c r="W13" s="23">
        <f>IF(C13="","",IFERROR(VLOOKUP(C13,SETUP!$A$9:$D$24,3,0),"⚠ Check SETUP"))</f>
        <v>1806</v>
      </c>
      <c r="X13" s="22" t="str">
        <f>IF(C13="","",IFERROR(VLOOKUP(C13,SETUP!$A$9:$D$24,4,0),"⚠ Check SETUP"))</f>
        <v>Under</v>
      </c>
      <c r="Y13" s="24" t="str">
        <f t="shared" si="8"/>
        <v/>
      </c>
      <c r="Z13" s="24" t="str">
        <f t="shared" si="9"/>
        <v/>
      </c>
      <c r="AA13" s="24" t="str">
        <f t="shared" si="10"/>
        <v/>
      </c>
      <c r="AB13" s="24" t="str">
        <f t="shared" si="11"/>
        <v/>
      </c>
    </row>
    <row r="14" spans="1:28" ht="19.5" customHeight="1" x14ac:dyDescent="0.25">
      <c r="A14" s="6" t="s">
        <v>371</v>
      </c>
      <c r="B14" s="60" t="s">
        <v>395</v>
      </c>
      <c r="C14" s="4" t="s">
        <v>95</v>
      </c>
      <c r="D14" s="19">
        <v>46279</v>
      </c>
      <c r="E14" s="20">
        <f t="shared" si="0"/>
        <v>46189</v>
      </c>
      <c r="F14" s="20">
        <f t="shared" si="1"/>
        <v>46219</v>
      </c>
      <c r="G14" s="20">
        <f t="shared" si="2"/>
        <v>46249</v>
      </c>
      <c r="H14" s="21">
        <v>0</v>
      </c>
      <c r="I14" s="5">
        <v>1447</v>
      </c>
      <c r="J14" s="22" t="str">
        <f t="shared" si="3"/>
        <v>Offer 2</v>
      </c>
      <c r="K14" s="59"/>
      <c r="L14" s="23" t="str">
        <f t="shared" si="4"/>
        <v/>
      </c>
      <c r="M14" s="23">
        <f t="shared" si="5"/>
        <v>1480</v>
      </c>
      <c r="N14" s="23">
        <f t="shared" si="6"/>
        <v>1495</v>
      </c>
      <c r="O14" s="23">
        <f t="shared" si="7"/>
        <v>1520</v>
      </c>
      <c r="P14" s="4"/>
      <c r="Q14" s="4"/>
      <c r="R14" s="4"/>
      <c r="S14" s="4"/>
      <c r="T14" s="4" t="s">
        <v>418</v>
      </c>
      <c r="U14" s="4"/>
      <c r="V14" s="23">
        <f>IF(C14="","",IFERROR(VLOOKUP(C14,SETUP!$A$9:$D$24,2,0),"⚠ Check SETUP"))</f>
        <v>1595</v>
      </c>
      <c r="W14" s="23">
        <f>IF(C14="","",IFERROR(VLOOKUP(C14,SETUP!$A$9:$D$24,3,0),"⚠ Check SETUP"))</f>
        <v>1504</v>
      </c>
      <c r="X14" s="22" t="str">
        <f>IF(C14="","",IFERROR(VLOOKUP(C14,SETUP!$A$9:$D$24,4,0),"⚠ Check SETUP"))</f>
        <v>Under</v>
      </c>
      <c r="Y14" s="24">
        <f t="shared" si="8"/>
        <v>2.2805805114029024E-2</v>
      </c>
      <c r="Z14" s="24">
        <f t="shared" si="9"/>
        <v>3.3172080165860401E-2</v>
      </c>
      <c r="AA14" s="24">
        <f t="shared" si="10"/>
        <v>5.0449205252246027E-2</v>
      </c>
      <c r="AB14" s="24" t="str">
        <f t="shared" si="11"/>
        <v/>
      </c>
    </row>
    <row r="15" spans="1:28" ht="19.5" customHeight="1" x14ac:dyDescent="0.25">
      <c r="A15" s="6" t="s">
        <v>372</v>
      </c>
      <c r="B15" s="60" t="s">
        <v>396</v>
      </c>
      <c r="C15" s="4" t="s">
        <v>105</v>
      </c>
      <c r="D15" s="19">
        <v>46283</v>
      </c>
      <c r="E15" s="20">
        <f t="shared" si="0"/>
        <v>46193</v>
      </c>
      <c r="F15" s="20">
        <f t="shared" si="1"/>
        <v>46223</v>
      </c>
      <c r="G15" s="20">
        <f t="shared" si="2"/>
        <v>46253</v>
      </c>
      <c r="H15" s="21">
        <v>0</v>
      </c>
      <c r="I15" s="5">
        <v>1821</v>
      </c>
      <c r="J15" s="22" t="str">
        <f t="shared" si="3"/>
        <v>Offer 1</v>
      </c>
      <c r="K15" s="59"/>
      <c r="L15" s="23" t="str">
        <f t="shared" si="4"/>
        <v/>
      </c>
      <c r="M15" s="23">
        <f t="shared" si="5"/>
        <v>1880</v>
      </c>
      <c r="N15" s="23">
        <f t="shared" si="6"/>
        <v>1915</v>
      </c>
      <c r="O15" s="23">
        <f t="shared" si="7"/>
        <v>1970</v>
      </c>
      <c r="P15" s="4"/>
      <c r="Q15" s="4"/>
      <c r="R15" s="4"/>
      <c r="S15" s="4"/>
      <c r="T15" s="4" t="s">
        <v>419</v>
      </c>
      <c r="U15" s="4"/>
      <c r="V15" s="23">
        <f>IF(C15="","",IFERROR(VLOOKUP(C15,SETUP!$A$9:$D$24,2,0),"⚠ Check SETUP"))</f>
        <v>2047</v>
      </c>
      <c r="W15" s="23">
        <f>IF(C15="","",IFERROR(VLOOKUP(C15,SETUP!$A$9:$D$24,3,0),"⚠ Check SETUP"))</f>
        <v>1821</v>
      </c>
      <c r="X15" s="22" t="str">
        <f>IF(C15="","",IFERROR(VLOOKUP(C15,SETUP!$A$9:$D$24,4,0),"⚠ Check SETUP"))</f>
        <v>Over</v>
      </c>
      <c r="Y15" s="24">
        <f t="shared" si="8"/>
        <v>3.2399780340472265E-2</v>
      </c>
      <c r="Z15" s="24">
        <f t="shared" si="9"/>
        <v>5.1619989017023617E-2</v>
      </c>
      <c r="AA15" s="24">
        <f t="shared" si="10"/>
        <v>8.1823174080175726E-2</v>
      </c>
      <c r="AB15" s="24" t="str">
        <f t="shared" si="11"/>
        <v/>
      </c>
    </row>
    <row r="16" spans="1:28" ht="19.5" customHeight="1" x14ac:dyDescent="0.25">
      <c r="A16" s="6" t="s">
        <v>373</v>
      </c>
      <c r="B16" s="60" t="s">
        <v>397</v>
      </c>
      <c r="C16" s="4" t="s">
        <v>96</v>
      </c>
      <c r="D16" s="19">
        <v>46284</v>
      </c>
      <c r="E16" s="20">
        <f t="shared" si="0"/>
        <v>46194</v>
      </c>
      <c r="F16" s="20">
        <f t="shared" si="1"/>
        <v>46224</v>
      </c>
      <c r="G16" s="20">
        <f t="shared" si="2"/>
        <v>46254</v>
      </c>
      <c r="H16" s="21">
        <v>500</v>
      </c>
      <c r="I16" s="5">
        <v>1432</v>
      </c>
      <c r="J16" s="22" t="str">
        <f t="shared" si="3"/>
        <v>Offer 1</v>
      </c>
      <c r="K16" s="59"/>
      <c r="L16" s="23" t="str">
        <f t="shared" si="4"/>
        <v/>
      </c>
      <c r="M16" s="23">
        <f t="shared" si="5"/>
        <v>1475</v>
      </c>
      <c r="N16" s="23">
        <f t="shared" si="6"/>
        <v>1605</v>
      </c>
      <c r="O16" s="23">
        <f t="shared" si="7"/>
        <v>1550</v>
      </c>
      <c r="P16" s="4"/>
      <c r="Q16" s="4"/>
      <c r="R16" s="4"/>
      <c r="S16" s="4"/>
      <c r="T16" s="4" t="s">
        <v>420</v>
      </c>
      <c r="U16" s="4"/>
      <c r="V16" s="23">
        <f>IF(C16="","",IFERROR(VLOOKUP(C16,SETUP!$A$9:$D$24,2,0),"⚠ Check SETUP"))</f>
        <v>1795</v>
      </c>
      <c r="W16" s="23">
        <f>IF(C16="","",IFERROR(VLOOKUP(C16,SETUP!$A$9:$D$24,3,0),"⚠ Check SETUP"))</f>
        <v>1476</v>
      </c>
      <c r="X16" s="22" t="str">
        <f>IF(C16="","",IFERROR(VLOOKUP(C16,SETUP!$A$9:$D$24,4,0),"⚠ Check SETUP"))</f>
        <v>Over</v>
      </c>
      <c r="Y16" s="24">
        <f t="shared" si="8"/>
        <v>3.0027932960893854E-2</v>
      </c>
      <c r="Z16" s="24">
        <f t="shared" si="9"/>
        <v>0.12081005586592179</v>
      </c>
      <c r="AA16" s="24">
        <f t="shared" si="10"/>
        <v>8.2402234636871505E-2</v>
      </c>
      <c r="AB16" s="24" t="str">
        <f t="shared" si="11"/>
        <v/>
      </c>
    </row>
    <row r="17" spans="1:28" ht="19.5" customHeight="1" x14ac:dyDescent="0.25">
      <c r="A17" s="6" t="s">
        <v>374</v>
      </c>
      <c r="B17" s="60" t="s">
        <v>398</v>
      </c>
      <c r="C17" s="4" t="s">
        <v>101</v>
      </c>
      <c r="D17" s="19">
        <v>46284</v>
      </c>
      <c r="E17" s="20">
        <f t="shared" si="0"/>
        <v>46194</v>
      </c>
      <c r="F17" s="20">
        <f t="shared" si="1"/>
        <v>46224</v>
      </c>
      <c r="G17" s="20">
        <f t="shared" si="2"/>
        <v>46254</v>
      </c>
      <c r="H17" s="21">
        <v>0</v>
      </c>
      <c r="I17" s="5">
        <v>1966</v>
      </c>
      <c r="J17" s="22" t="str">
        <f t="shared" si="3"/>
        <v>Offer 1</v>
      </c>
      <c r="K17" s="59"/>
      <c r="L17" s="23" t="str">
        <f t="shared" si="4"/>
        <v/>
      </c>
      <c r="M17" s="23">
        <f t="shared" si="5"/>
        <v>2010</v>
      </c>
      <c r="N17" s="23">
        <f t="shared" si="6"/>
        <v>2025</v>
      </c>
      <c r="O17" s="23">
        <f t="shared" si="7"/>
        <v>2065</v>
      </c>
      <c r="P17" s="4"/>
      <c r="Q17" s="4"/>
      <c r="R17" s="4"/>
      <c r="S17" s="4"/>
      <c r="T17" s="4" t="s">
        <v>421</v>
      </c>
      <c r="U17" s="4"/>
      <c r="V17" s="23">
        <f>IF(C17="","",IFERROR(VLOOKUP(C17,SETUP!$A$9:$D$24,2,0),"⚠ Check SETUP"))</f>
        <v>1880</v>
      </c>
      <c r="W17" s="23">
        <f>IF(C17="","",IFERROR(VLOOKUP(C17,SETUP!$A$9:$D$24,3,0),"⚠ Check SETUP"))</f>
        <v>1976</v>
      </c>
      <c r="X17" s="22" t="str">
        <f>IF(C17="","",IFERROR(VLOOKUP(C17,SETUP!$A$9:$D$24,4,0),"⚠ Check SETUP"))</f>
        <v>Under</v>
      </c>
      <c r="Y17" s="24">
        <f t="shared" si="8"/>
        <v>2.2380467955239063E-2</v>
      </c>
      <c r="Z17" s="24">
        <f t="shared" si="9"/>
        <v>3.0010172939979655E-2</v>
      </c>
      <c r="AA17" s="24">
        <f t="shared" si="10"/>
        <v>5.0356052899287893E-2</v>
      </c>
      <c r="AB17" s="24" t="str">
        <f t="shared" si="11"/>
        <v/>
      </c>
    </row>
    <row r="18" spans="1:28" ht="19.5" customHeight="1" x14ac:dyDescent="0.25">
      <c r="A18" s="6" t="s">
        <v>375</v>
      </c>
      <c r="B18" s="60" t="s">
        <v>399</v>
      </c>
      <c r="C18" s="4" t="s">
        <v>98</v>
      </c>
      <c r="D18" s="19">
        <v>46285</v>
      </c>
      <c r="E18" s="20">
        <f t="shared" si="0"/>
        <v>46195</v>
      </c>
      <c r="F18" s="20">
        <f t="shared" si="1"/>
        <v>46225</v>
      </c>
      <c r="G18" s="20">
        <f t="shared" si="2"/>
        <v>46255</v>
      </c>
      <c r="H18" s="21">
        <v>0</v>
      </c>
      <c r="I18" s="5">
        <v>1531</v>
      </c>
      <c r="J18" s="22" t="str">
        <f t="shared" si="3"/>
        <v>Offer 1</v>
      </c>
      <c r="K18" s="59"/>
      <c r="L18" s="23" t="str">
        <f t="shared" si="4"/>
        <v/>
      </c>
      <c r="M18" s="23">
        <f t="shared" si="5"/>
        <v>1580</v>
      </c>
      <c r="N18" s="23">
        <f t="shared" si="6"/>
        <v>1610</v>
      </c>
      <c r="O18" s="23">
        <f t="shared" si="7"/>
        <v>1655</v>
      </c>
      <c r="P18" s="4"/>
      <c r="Q18" s="4"/>
      <c r="R18" s="4"/>
      <c r="S18" s="4"/>
      <c r="T18" s="4" t="s">
        <v>422</v>
      </c>
      <c r="U18" s="4"/>
      <c r="V18" s="23">
        <f>IF(C18="","",IFERROR(VLOOKUP(C18,SETUP!$A$9:$D$24,2,0),"⚠ Check SETUP"))</f>
        <v>1421</v>
      </c>
      <c r="W18" s="23">
        <f>IF(C18="","",IFERROR(VLOOKUP(C18,SETUP!$A$9:$D$24,3,0),"⚠ Check SETUP"))</f>
        <v>1424</v>
      </c>
      <c r="X18" s="22" t="str">
        <f>IF(C18="","",IFERROR(VLOOKUP(C18,SETUP!$A$9:$D$24,4,0),"⚠ Check SETUP"))</f>
        <v>Over</v>
      </c>
      <c r="Y18" s="24">
        <f t="shared" si="8"/>
        <v>3.2005225342913127E-2</v>
      </c>
      <c r="Z18" s="24">
        <f t="shared" si="9"/>
        <v>5.1600261267145654E-2</v>
      </c>
      <c r="AA18" s="24">
        <f t="shared" si="10"/>
        <v>8.0992815153494449E-2</v>
      </c>
      <c r="AB18" s="24" t="str">
        <f t="shared" si="11"/>
        <v/>
      </c>
    </row>
    <row r="19" spans="1:28" ht="19.5" customHeight="1" x14ac:dyDescent="0.25">
      <c r="A19" s="6" t="s">
        <v>376</v>
      </c>
      <c r="B19" s="60" t="s">
        <v>400</v>
      </c>
      <c r="C19" s="4" t="s">
        <v>95</v>
      </c>
      <c r="D19" s="19">
        <v>46288</v>
      </c>
      <c r="E19" s="20">
        <f t="shared" si="0"/>
        <v>46198</v>
      </c>
      <c r="F19" s="20">
        <f t="shared" si="1"/>
        <v>46228</v>
      </c>
      <c r="G19" s="20">
        <f t="shared" si="2"/>
        <v>46258</v>
      </c>
      <c r="H19" s="21">
        <v>0</v>
      </c>
      <c r="I19" s="5">
        <v>1360</v>
      </c>
      <c r="J19" s="22" t="str">
        <f t="shared" si="3"/>
        <v>Offer 2</v>
      </c>
      <c r="K19" s="59"/>
      <c r="L19" s="23" t="str">
        <f t="shared" si="4"/>
        <v/>
      </c>
      <c r="M19" s="23">
        <f t="shared" si="5"/>
        <v>1430</v>
      </c>
      <c r="N19" s="23">
        <f t="shared" si="6"/>
        <v>1490</v>
      </c>
      <c r="O19" s="23">
        <f t="shared" si="7"/>
        <v>1520</v>
      </c>
      <c r="P19" s="4"/>
      <c r="Q19" s="4"/>
      <c r="R19" s="4"/>
      <c r="S19" s="4"/>
      <c r="T19" s="4" t="s">
        <v>423</v>
      </c>
      <c r="U19" s="4"/>
      <c r="V19" s="23">
        <f>IF(C19="","",IFERROR(VLOOKUP(C19,SETUP!$A$9:$D$24,2,0),"⚠ Check SETUP"))</f>
        <v>1595</v>
      </c>
      <c r="W19" s="23">
        <f>IF(C19="","",IFERROR(VLOOKUP(C19,SETUP!$A$9:$D$24,3,0),"⚠ Check SETUP"))</f>
        <v>1504</v>
      </c>
      <c r="X19" s="22" t="str">
        <f>IF(C19="","",IFERROR(VLOOKUP(C19,SETUP!$A$9:$D$24,4,0),"⚠ Check SETUP"))</f>
        <v>Under</v>
      </c>
      <c r="Y19" s="24">
        <f t="shared" si="8"/>
        <v>5.1470588235294115E-2</v>
      </c>
      <c r="Z19" s="24">
        <f t="shared" si="9"/>
        <v>9.5588235294117641E-2</v>
      </c>
      <c r="AA19" s="24">
        <f t="shared" si="10"/>
        <v>0.11764705882352941</v>
      </c>
      <c r="AB19" s="24" t="str">
        <f t="shared" si="11"/>
        <v/>
      </c>
    </row>
    <row r="20" spans="1:28" ht="19.5" customHeight="1" x14ac:dyDescent="0.25">
      <c r="A20" s="6" t="s">
        <v>377</v>
      </c>
      <c r="B20" s="60" t="s">
        <v>401</v>
      </c>
      <c r="C20" s="4" t="s">
        <v>13</v>
      </c>
      <c r="D20" s="19">
        <v>46291</v>
      </c>
      <c r="E20" s="20">
        <f t="shared" si="0"/>
        <v>46201</v>
      </c>
      <c r="F20" s="20">
        <f t="shared" si="1"/>
        <v>46231</v>
      </c>
      <c r="G20" s="20">
        <f t="shared" si="2"/>
        <v>46261</v>
      </c>
      <c r="H20" s="21">
        <v>500</v>
      </c>
      <c r="I20" s="5">
        <v>1681</v>
      </c>
      <c r="J20" s="22" t="str">
        <f t="shared" si="3"/>
        <v>Offer 3</v>
      </c>
      <c r="K20" s="59"/>
      <c r="L20" s="23" t="str">
        <f t="shared" si="4"/>
        <v/>
      </c>
      <c r="M20" s="23">
        <f t="shared" si="5"/>
        <v>1715</v>
      </c>
      <c r="N20" s="23">
        <f t="shared" si="6"/>
        <v>1735</v>
      </c>
      <c r="O20" s="23">
        <f t="shared" si="7"/>
        <v>1785</v>
      </c>
      <c r="P20" s="4"/>
      <c r="Q20" s="4"/>
      <c r="R20" s="4"/>
      <c r="S20" s="4"/>
      <c r="T20" s="4" t="s">
        <v>424</v>
      </c>
      <c r="U20" s="4"/>
      <c r="V20" s="23">
        <f>IF(C20="","",IFERROR(VLOOKUP(C20,SETUP!$A$9:$D$24,2,0),"⚠ Check SETUP"))</f>
        <v>1809</v>
      </c>
      <c r="W20" s="23">
        <f>IF(C20="","",IFERROR(VLOOKUP(C20,SETUP!$A$9:$D$24,3,0),"⚠ Check SETUP"))</f>
        <v>1764</v>
      </c>
      <c r="X20" s="22" t="str">
        <f>IF(C20="","",IFERROR(VLOOKUP(C20,SETUP!$A$9:$D$24,4,0),"⚠ Check SETUP"))</f>
        <v>Under</v>
      </c>
      <c r="Y20" s="24">
        <f t="shared" si="8"/>
        <v>2.0226055919095775E-2</v>
      </c>
      <c r="Z20" s="24">
        <f t="shared" si="9"/>
        <v>3.2123735871505056E-2</v>
      </c>
      <c r="AA20" s="24">
        <f t="shared" si="10"/>
        <v>6.1867935752528254E-2</v>
      </c>
      <c r="AB20" s="24" t="str">
        <f t="shared" si="11"/>
        <v/>
      </c>
    </row>
    <row r="21" spans="1:28" ht="19.5" customHeight="1" x14ac:dyDescent="0.25">
      <c r="A21" s="6" t="s">
        <v>378</v>
      </c>
      <c r="B21" s="60" t="s">
        <v>402</v>
      </c>
      <c r="C21" s="4" t="s">
        <v>103</v>
      </c>
      <c r="D21" s="19">
        <v>46291</v>
      </c>
      <c r="E21" s="20">
        <f t="shared" si="0"/>
        <v>46201</v>
      </c>
      <c r="F21" s="20">
        <f t="shared" si="1"/>
        <v>46231</v>
      </c>
      <c r="G21" s="20">
        <f t="shared" si="2"/>
        <v>46261</v>
      </c>
      <c r="H21" s="21">
        <v>500</v>
      </c>
      <c r="I21" s="5">
        <v>1763</v>
      </c>
      <c r="J21" s="22" t="str">
        <f t="shared" si="3"/>
        <v>Offer 1</v>
      </c>
      <c r="K21" s="59"/>
      <c r="L21" s="23" t="str">
        <f t="shared" si="4"/>
        <v/>
      </c>
      <c r="M21" s="23">
        <f t="shared" si="5"/>
        <v>1820</v>
      </c>
      <c r="N21" s="23">
        <f t="shared" si="6"/>
        <v>1855</v>
      </c>
      <c r="O21" s="23">
        <f t="shared" si="7"/>
        <v>1905</v>
      </c>
      <c r="P21" s="4"/>
      <c r="Q21" s="4"/>
      <c r="R21" s="4"/>
      <c r="S21" s="4"/>
      <c r="T21" s="4" t="s">
        <v>425</v>
      </c>
      <c r="U21" s="4"/>
      <c r="V21" s="23">
        <f>IF(C21="","",IFERROR(VLOOKUP(C21,SETUP!$A$9:$D$24,2,0),"⚠ Check SETUP"))</f>
        <v>1860</v>
      </c>
      <c r="W21" s="23">
        <f>IF(C21="","",IFERROR(VLOOKUP(C21,SETUP!$A$9:$D$24,3,0),"⚠ Check SETUP"))</f>
        <v>1776</v>
      </c>
      <c r="X21" s="22" t="str">
        <f>IF(C21="","",IFERROR(VLOOKUP(C21,SETUP!$A$9:$D$24,4,0),"⚠ Check SETUP"))</f>
        <v>Over</v>
      </c>
      <c r="Y21" s="24">
        <f t="shared" si="8"/>
        <v>3.2331253545093593E-2</v>
      </c>
      <c r="Z21" s="24">
        <f t="shared" si="9"/>
        <v>5.2183777651730004E-2</v>
      </c>
      <c r="AA21" s="24">
        <f t="shared" si="10"/>
        <v>8.054452637549632E-2</v>
      </c>
      <c r="AB21" s="24" t="str">
        <f t="shared" si="11"/>
        <v/>
      </c>
    </row>
    <row r="22" spans="1:28" ht="19.5" customHeight="1" x14ac:dyDescent="0.25">
      <c r="A22" s="6" t="s">
        <v>379</v>
      </c>
      <c r="B22" s="60" t="s">
        <v>403</v>
      </c>
      <c r="C22" s="4" t="s">
        <v>95</v>
      </c>
      <c r="D22" s="19">
        <v>46292</v>
      </c>
      <c r="E22" s="20">
        <f t="shared" si="0"/>
        <v>46202</v>
      </c>
      <c r="F22" s="20">
        <f t="shared" si="1"/>
        <v>46232</v>
      </c>
      <c r="G22" s="20">
        <f t="shared" si="2"/>
        <v>46262</v>
      </c>
      <c r="H22" s="21">
        <v>0</v>
      </c>
      <c r="I22" s="5">
        <v>1590</v>
      </c>
      <c r="J22" s="22" t="str">
        <f t="shared" si="3"/>
        <v>Offer 1</v>
      </c>
      <c r="K22" s="59"/>
      <c r="L22" s="23" t="str">
        <f t="shared" si="4"/>
        <v/>
      </c>
      <c r="M22" s="23">
        <f t="shared" si="5"/>
        <v>1625</v>
      </c>
      <c r="N22" s="23">
        <f t="shared" si="6"/>
        <v>1640</v>
      </c>
      <c r="O22" s="23">
        <f t="shared" si="7"/>
        <v>1670</v>
      </c>
      <c r="P22" s="4"/>
      <c r="Q22" s="4"/>
      <c r="R22" s="4"/>
      <c r="S22" s="4"/>
      <c r="T22" s="4" t="s">
        <v>426</v>
      </c>
      <c r="U22" s="4"/>
      <c r="V22" s="23">
        <f>IF(C22="","",IFERROR(VLOOKUP(C22,SETUP!$A$9:$D$24,2,0),"⚠ Check SETUP"))</f>
        <v>1595</v>
      </c>
      <c r="W22" s="23">
        <f>IF(C22="","",IFERROR(VLOOKUP(C22,SETUP!$A$9:$D$24,3,0),"⚠ Check SETUP"))</f>
        <v>1504</v>
      </c>
      <c r="X22" s="22" t="str">
        <f>IF(C22="","",IFERROR(VLOOKUP(C22,SETUP!$A$9:$D$24,4,0),"⚠ Check SETUP"))</f>
        <v>Under</v>
      </c>
      <c r="Y22" s="24">
        <f t="shared" si="8"/>
        <v>2.20125786163522E-2</v>
      </c>
      <c r="Z22" s="24">
        <f t="shared" si="9"/>
        <v>3.1446540880503145E-2</v>
      </c>
      <c r="AA22" s="24">
        <f t="shared" si="10"/>
        <v>5.0314465408805034E-2</v>
      </c>
      <c r="AB22" s="24" t="str">
        <f t="shared" si="11"/>
        <v/>
      </c>
    </row>
    <row r="23" spans="1:28" ht="19.5" customHeight="1" x14ac:dyDescent="0.25">
      <c r="A23" s="6" t="s">
        <v>380</v>
      </c>
      <c r="B23" s="60" t="s">
        <v>404</v>
      </c>
      <c r="C23" s="4" t="s">
        <v>103</v>
      </c>
      <c r="D23" s="19">
        <v>46294</v>
      </c>
      <c r="E23" s="20">
        <f t="shared" si="0"/>
        <v>46204</v>
      </c>
      <c r="F23" s="20">
        <f t="shared" si="1"/>
        <v>46234</v>
      </c>
      <c r="G23" s="20">
        <f t="shared" si="2"/>
        <v>46264</v>
      </c>
      <c r="H23" s="21">
        <v>0</v>
      </c>
      <c r="I23" s="5">
        <v>1655</v>
      </c>
      <c r="J23" s="22" t="str">
        <f t="shared" si="3"/>
        <v>Offer 2</v>
      </c>
      <c r="K23" s="59"/>
      <c r="L23" s="23" t="str">
        <f t="shared" si="4"/>
        <v/>
      </c>
      <c r="M23" s="23">
        <f t="shared" si="5"/>
        <v>1725</v>
      </c>
      <c r="N23" s="23">
        <f t="shared" si="6"/>
        <v>1785</v>
      </c>
      <c r="O23" s="23">
        <f t="shared" si="7"/>
        <v>1815</v>
      </c>
      <c r="P23" s="4"/>
      <c r="Q23" s="4"/>
      <c r="R23" s="4"/>
      <c r="S23" s="4"/>
      <c r="T23" s="4" t="s">
        <v>427</v>
      </c>
      <c r="U23" s="4"/>
      <c r="V23" s="23">
        <f>IF(C23="","",IFERROR(VLOOKUP(C23,SETUP!$A$9:$D$24,2,0),"⚠ Check SETUP"))</f>
        <v>1860</v>
      </c>
      <c r="W23" s="23">
        <f>IF(C23="","",IFERROR(VLOOKUP(C23,SETUP!$A$9:$D$24,3,0),"⚠ Check SETUP"))</f>
        <v>1776</v>
      </c>
      <c r="X23" s="22" t="str">
        <f>IF(C23="","",IFERROR(VLOOKUP(C23,SETUP!$A$9:$D$24,4,0),"⚠ Check SETUP"))</f>
        <v>Over</v>
      </c>
      <c r="Y23" s="24">
        <f t="shared" si="8"/>
        <v>4.2296072507552872E-2</v>
      </c>
      <c r="Z23" s="24">
        <f t="shared" si="9"/>
        <v>7.8549848942598186E-2</v>
      </c>
      <c r="AA23" s="24">
        <f t="shared" si="10"/>
        <v>9.6676737160120846E-2</v>
      </c>
      <c r="AB23" s="24" t="str">
        <f t="shared" si="11"/>
        <v/>
      </c>
    </row>
    <row r="24" spans="1:28" ht="19.5" customHeight="1" x14ac:dyDescent="0.25">
      <c r="A24" s="6" t="s">
        <v>381</v>
      </c>
      <c r="B24" s="60" t="s">
        <v>405</v>
      </c>
      <c r="C24" s="4" t="s">
        <v>98</v>
      </c>
      <c r="D24" s="19">
        <v>46294</v>
      </c>
      <c r="E24" s="20">
        <f t="shared" si="0"/>
        <v>46204</v>
      </c>
      <c r="F24" s="20">
        <f t="shared" si="1"/>
        <v>46234</v>
      </c>
      <c r="G24" s="20">
        <f t="shared" si="2"/>
        <v>46264</v>
      </c>
      <c r="H24" s="21">
        <v>1354</v>
      </c>
      <c r="I24" s="5">
        <v>1354</v>
      </c>
      <c r="J24" s="22" t="str">
        <f t="shared" si="3"/>
        <v>Offer 2</v>
      </c>
      <c r="K24" s="59"/>
      <c r="L24" s="23" t="str">
        <f t="shared" si="4"/>
        <v/>
      </c>
      <c r="M24" s="23">
        <f t="shared" si="5"/>
        <v>1395</v>
      </c>
      <c r="N24" s="23">
        <f t="shared" si="6"/>
        <v>1425</v>
      </c>
      <c r="O24" s="23">
        <f t="shared" si="7"/>
        <v>1465</v>
      </c>
      <c r="P24" s="4"/>
      <c r="Q24" s="4"/>
      <c r="R24" s="4"/>
      <c r="S24" s="4"/>
      <c r="T24" s="4" t="s">
        <v>428</v>
      </c>
      <c r="U24" s="4"/>
      <c r="V24" s="23">
        <f>IF(C24="","",IFERROR(VLOOKUP(C24,SETUP!$A$9:$D$24,2,0),"⚠ Check SETUP"))</f>
        <v>1421</v>
      </c>
      <c r="W24" s="23">
        <f>IF(C24="","",IFERROR(VLOOKUP(C24,SETUP!$A$9:$D$24,3,0),"⚠ Check SETUP"))</f>
        <v>1424</v>
      </c>
      <c r="X24" s="22" t="str">
        <f>IF(C24="","",IFERROR(VLOOKUP(C24,SETUP!$A$9:$D$24,4,0),"⚠ Check SETUP"))</f>
        <v>Over</v>
      </c>
      <c r="Y24" s="24">
        <f t="shared" si="8"/>
        <v>3.0280649926144758E-2</v>
      </c>
      <c r="Z24" s="24">
        <f t="shared" si="9"/>
        <v>5.2437223042836038E-2</v>
      </c>
      <c r="AA24" s="24">
        <f t="shared" si="10"/>
        <v>8.1979320531757757E-2</v>
      </c>
      <c r="AB24" s="24" t="str">
        <f t="shared" si="11"/>
        <v/>
      </c>
    </row>
    <row r="25" spans="1:28" ht="19.5" customHeight="1" x14ac:dyDescent="0.25">
      <c r="A25" s="6" t="s">
        <v>382</v>
      </c>
      <c r="B25" s="60" t="s">
        <v>406</v>
      </c>
      <c r="C25" s="4" t="s">
        <v>98</v>
      </c>
      <c r="D25" s="19">
        <v>46294</v>
      </c>
      <c r="E25" s="20">
        <f t="shared" si="0"/>
        <v>46204</v>
      </c>
      <c r="F25" s="20">
        <f t="shared" si="1"/>
        <v>46234</v>
      </c>
      <c r="G25" s="20">
        <f t="shared" si="2"/>
        <v>46264</v>
      </c>
      <c r="H25" s="21">
        <v>0</v>
      </c>
      <c r="I25" s="5">
        <v>1354</v>
      </c>
      <c r="J25" s="22" t="str">
        <f t="shared" si="3"/>
        <v>Offer 2</v>
      </c>
      <c r="K25" s="59"/>
      <c r="L25" s="23" t="str">
        <f t="shared" si="4"/>
        <v/>
      </c>
      <c r="M25" s="23">
        <f t="shared" si="5"/>
        <v>1395</v>
      </c>
      <c r="N25" s="23">
        <f t="shared" si="6"/>
        <v>1425</v>
      </c>
      <c r="O25" s="23">
        <f t="shared" si="7"/>
        <v>1465</v>
      </c>
      <c r="P25" s="4"/>
      <c r="Q25" s="4"/>
      <c r="R25" s="4"/>
      <c r="S25" s="4"/>
      <c r="T25" s="4" t="s">
        <v>429</v>
      </c>
      <c r="U25" s="4"/>
      <c r="V25" s="23">
        <f>IF(C25="","",IFERROR(VLOOKUP(C25,SETUP!$A$9:$D$24,2,0),"⚠ Check SETUP"))</f>
        <v>1421</v>
      </c>
      <c r="W25" s="23">
        <f>IF(C25="","",IFERROR(VLOOKUP(C25,SETUP!$A$9:$D$24,3,0),"⚠ Check SETUP"))</f>
        <v>1424</v>
      </c>
      <c r="X25" s="22" t="str">
        <f>IF(C25="","",IFERROR(VLOOKUP(C25,SETUP!$A$9:$D$24,4,0),"⚠ Check SETUP"))</f>
        <v>Over</v>
      </c>
      <c r="Y25" s="24">
        <f t="shared" si="8"/>
        <v>3.0280649926144758E-2</v>
      </c>
      <c r="Z25" s="24">
        <f t="shared" si="9"/>
        <v>5.2437223042836038E-2</v>
      </c>
      <c r="AA25" s="24">
        <f t="shared" si="10"/>
        <v>8.1979320531757757E-2</v>
      </c>
      <c r="AB25" s="24" t="str">
        <f t="shared" si="11"/>
        <v/>
      </c>
    </row>
    <row r="26" spans="1:28" ht="19.5" customHeight="1" x14ac:dyDescent="0.25">
      <c r="A26" s="6" t="s">
        <v>383</v>
      </c>
      <c r="B26" s="60" t="s">
        <v>407</v>
      </c>
      <c r="C26" s="4" t="s">
        <v>13</v>
      </c>
      <c r="D26" s="19">
        <v>46295</v>
      </c>
      <c r="E26" s="20">
        <f t="shared" si="0"/>
        <v>46205</v>
      </c>
      <c r="F26" s="20">
        <f t="shared" si="1"/>
        <v>46235</v>
      </c>
      <c r="G26" s="20">
        <f t="shared" si="2"/>
        <v>46265</v>
      </c>
      <c r="H26" s="21">
        <v>500</v>
      </c>
      <c r="I26" s="5">
        <v>1645</v>
      </c>
      <c r="J26" s="22" t="str">
        <f t="shared" si="3"/>
        <v>Offer 3</v>
      </c>
      <c r="K26" s="59"/>
      <c r="L26" s="23" t="str">
        <f t="shared" si="4"/>
        <v/>
      </c>
      <c r="M26" s="23">
        <f t="shared" si="5"/>
        <v>1680</v>
      </c>
      <c r="N26" s="23">
        <f t="shared" si="6"/>
        <v>1720</v>
      </c>
      <c r="O26" s="23">
        <f t="shared" si="7"/>
        <v>1785</v>
      </c>
      <c r="P26" s="4"/>
      <c r="Q26" s="4"/>
      <c r="R26" s="4"/>
      <c r="S26" s="4"/>
      <c r="T26" s="4" t="s">
        <v>430</v>
      </c>
      <c r="U26" s="4"/>
      <c r="V26" s="23">
        <f>IF(C26="","",IFERROR(VLOOKUP(C26,SETUP!$A$9:$D$24,2,0),"⚠ Check SETUP"))</f>
        <v>1809</v>
      </c>
      <c r="W26" s="23">
        <f>IF(C26="","",IFERROR(VLOOKUP(C26,SETUP!$A$9:$D$24,3,0),"⚠ Check SETUP"))</f>
        <v>1764</v>
      </c>
      <c r="X26" s="22" t="str">
        <f>IF(C26="","",IFERROR(VLOOKUP(C26,SETUP!$A$9:$D$24,4,0),"⚠ Check SETUP"))</f>
        <v>Under</v>
      </c>
      <c r="Y26" s="24">
        <f t="shared" si="8"/>
        <v>2.1276595744680851E-2</v>
      </c>
      <c r="Z26" s="24">
        <f t="shared" si="9"/>
        <v>4.5592705167173252E-2</v>
      </c>
      <c r="AA26" s="24">
        <f t="shared" si="10"/>
        <v>8.5106382978723402E-2</v>
      </c>
      <c r="AB26" s="24" t="str">
        <f t="shared" si="11"/>
        <v/>
      </c>
    </row>
    <row r="27" spans="1:28" ht="19.5" customHeight="1" x14ac:dyDescent="0.25">
      <c r="A27" s="6" t="s">
        <v>384</v>
      </c>
      <c r="B27" s="60" t="s">
        <v>408</v>
      </c>
      <c r="C27" s="4" t="s">
        <v>97</v>
      </c>
      <c r="D27" s="19">
        <v>46295</v>
      </c>
      <c r="E27" s="20">
        <f t="shared" si="0"/>
        <v>46205</v>
      </c>
      <c r="F27" s="20">
        <f t="shared" si="1"/>
        <v>46235</v>
      </c>
      <c r="G27" s="20">
        <f t="shared" si="2"/>
        <v>46265</v>
      </c>
      <c r="H27" s="21">
        <v>1680</v>
      </c>
      <c r="I27" s="5">
        <v>1734</v>
      </c>
      <c r="J27" s="22" t="str">
        <f t="shared" si="3"/>
        <v>Offer 1</v>
      </c>
      <c r="K27" s="59"/>
      <c r="L27" s="23" t="str">
        <f t="shared" si="4"/>
        <v/>
      </c>
      <c r="M27" s="23">
        <f t="shared" si="5"/>
        <v>1770</v>
      </c>
      <c r="N27" s="23">
        <f t="shared" si="6"/>
        <v>1790</v>
      </c>
      <c r="O27" s="23">
        <f t="shared" si="7"/>
        <v>1825</v>
      </c>
      <c r="P27" s="4"/>
      <c r="Q27" s="4"/>
      <c r="R27" s="4"/>
      <c r="S27" s="4"/>
      <c r="T27" s="4" t="s">
        <v>431</v>
      </c>
      <c r="U27" s="4"/>
      <c r="V27" s="23">
        <f>IF(C27="","",IFERROR(VLOOKUP(C27,SETUP!$A$9:$D$24,2,0),"⚠ Check SETUP"))</f>
        <v>1878</v>
      </c>
      <c r="W27" s="23">
        <f>IF(C27="","",IFERROR(VLOOKUP(C27,SETUP!$A$9:$D$24,3,0),"⚠ Check SETUP"))</f>
        <v>1727</v>
      </c>
      <c r="X27" s="22" t="str">
        <f>IF(C27="","",IFERROR(VLOOKUP(C27,SETUP!$A$9:$D$24,4,0),"⚠ Check SETUP"))</f>
        <v>Under</v>
      </c>
      <c r="Y27" s="24">
        <f t="shared" si="8"/>
        <v>2.0761245674740483E-2</v>
      </c>
      <c r="Z27" s="24">
        <f t="shared" si="9"/>
        <v>3.2295271049596307E-2</v>
      </c>
      <c r="AA27" s="24">
        <f t="shared" si="10"/>
        <v>5.2479815455593999E-2</v>
      </c>
      <c r="AB27" s="24" t="str">
        <f t="shared" si="11"/>
        <v/>
      </c>
    </row>
    <row r="29" spans="1:28" ht="25.5" customHeight="1" x14ac:dyDescent="0.25">
      <c r="A29" s="94" t="s">
        <v>66</v>
      </c>
      <c r="B29" s="94"/>
      <c r="C29" s="94"/>
      <c r="D29" s="94"/>
      <c r="E29" s="94"/>
      <c r="F29" s="94"/>
      <c r="G29" s="94"/>
      <c r="H29" s="27"/>
    </row>
    <row r="30" spans="1:28" ht="21.75" customHeight="1" x14ac:dyDescent="0.25">
      <c r="A30" s="28" t="s">
        <v>67</v>
      </c>
      <c r="B30" s="28" t="s">
        <v>68</v>
      </c>
      <c r="C30" s="28" t="s">
        <v>69</v>
      </c>
      <c r="D30" s="28" t="s">
        <v>70</v>
      </c>
      <c r="E30" s="28" t="s">
        <v>71</v>
      </c>
      <c r="F30" s="27"/>
      <c r="G30" s="27"/>
      <c r="H30" s="27"/>
    </row>
    <row r="31" spans="1:28" ht="21.75" customHeight="1" x14ac:dyDescent="0.25">
      <c r="A31" s="29" t="s">
        <v>72</v>
      </c>
      <c r="B31" s="30">
        <f>COUNTA(A4:A27)</f>
        <v>24</v>
      </c>
      <c r="C31" s="31"/>
      <c r="D31" s="31"/>
      <c r="E31" s="31"/>
      <c r="F31" s="27"/>
      <c r="G31" s="27"/>
      <c r="H31" s="27"/>
    </row>
    <row r="32" spans="1:28" ht="21.75" customHeight="1" x14ac:dyDescent="0.25">
      <c r="A32" s="32" t="s">
        <v>73</v>
      </c>
      <c r="B32" s="33">
        <f>COUNTA(Q4:Q27)</f>
        <v>0</v>
      </c>
      <c r="C32" s="34">
        <f>IFERROR(B32/B31,"-")</f>
        <v>0</v>
      </c>
      <c r="D32" s="34" t="str">
        <f>IFERROR(B32/(B32+B33),"-")</f>
        <v>-</v>
      </c>
      <c r="E32" s="35" t="str">
        <f>IF(B31=0,"Awaiting data",IF(B32/B31&gt;=0.6,"On Track ✓","Needs Attention ⚠"))</f>
        <v>Needs Attention ⚠</v>
      </c>
      <c r="F32" s="27"/>
      <c r="G32" s="27"/>
      <c r="H32" s="27"/>
    </row>
    <row r="33" spans="1:8" ht="21.75" customHeight="1" x14ac:dyDescent="0.25">
      <c r="A33" s="36" t="s">
        <v>74</v>
      </c>
      <c r="B33" s="37">
        <f>COUNTA(S4:S27)</f>
        <v>0</v>
      </c>
      <c r="C33" s="38">
        <f>IFERROR(B33/B31,"-")</f>
        <v>0</v>
      </c>
      <c r="D33" s="38" t="str">
        <f>IFERROR(B33/(B32+B33),"-")</f>
        <v>-</v>
      </c>
      <c r="E33" s="39" t="str">
        <f>IF(B31=0,"Awaiting data",IF(B33/B31&lt;=0.2,"Acceptable","High NTV ⚠"))</f>
        <v>Acceptable</v>
      </c>
      <c r="F33" s="27"/>
      <c r="G33" s="27"/>
      <c r="H33" s="27"/>
    </row>
    <row r="34" spans="1:8" ht="21.75" customHeight="1" x14ac:dyDescent="0.25">
      <c r="A34" s="40" t="s">
        <v>75</v>
      </c>
      <c r="B34" s="41">
        <f>COUNTA(R4:R27)</f>
        <v>0</v>
      </c>
      <c r="C34" s="42">
        <f>IFERROR(B34/B31,"-")</f>
        <v>0</v>
      </c>
      <c r="D34" s="43" t="s">
        <v>76</v>
      </c>
      <c r="E34" s="44" t="s">
        <v>77</v>
      </c>
      <c r="F34" s="27"/>
      <c r="G34" s="27"/>
      <c r="H34" s="27"/>
    </row>
    <row r="35" spans="1:8" ht="21.75" customHeight="1" x14ac:dyDescent="0.25">
      <c r="A35" s="45" t="s">
        <v>78</v>
      </c>
      <c r="B35" s="46">
        <f>MAX(0,B31-B32-B33-B34)</f>
        <v>24</v>
      </c>
      <c r="C35" s="47">
        <f>IFERROR(B35/B31,"-")</f>
        <v>1</v>
      </c>
      <c r="D35" s="48" t="s">
        <v>76</v>
      </c>
      <c r="E35" s="49" t="str">
        <f>IF(B35=0,"All accounted for ✓","Follow up needed")</f>
        <v>Follow up needed</v>
      </c>
      <c r="F35" s="27"/>
      <c r="G35" s="27"/>
      <c r="H35" s="27"/>
    </row>
    <row r="36" spans="1:8" ht="7.5" customHeight="1" thickBot="1" x14ac:dyDescent="0.3">
      <c r="A36" s="27"/>
      <c r="B36" s="27"/>
      <c r="C36" s="27"/>
      <c r="D36" s="27"/>
      <c r="E36" s="27"/>
      <c r="F36" s="27"/>
      <c r="G36" s="27"/>
      <c r="H36" s="27"/>
    </row>
    <row r="37" spans="1:8" ht="37.5" customHeight="1" thickBot="1" x14ac:dyDescent="0.3">
      <c r="A37" s="95" t="s">
        <v>79</v>
      </c>
      <c r="B37" s="95"/>
      <c r="C37" s="50">
        <f>IFERROR(B32/B31,"-")</f>
        <v>0</v>
      </c>
      <c r="D37" s="96" t="str">
        <f>IF(B31=0,"Enter resident data to calculate",IF(B32/B31&gt;=0.6,"✓ Meeting target retention","⚠ Below target — review offers"))</f>
        <v>⚠ Below target — review offers</v>
      </c>
      <c r="E37" s="96"/>
      <c r="F37" s="96"/>
      <c r="G37" s="96"/>
      <c r="H37" s="27"/>
    </row>
    <row r="38" spans="1:8" ht="25.5" customHeight="1" x14ac:dyDescent="0.25">
      <c r="A38" s="97" t="s">
        <v>80</v>
      </c>
      <c r="B38" s="97"/>
      <c r="C38" s="51" t="str">
        <f>IFERROR(B32/(B32+B33),"-")</f>
        <v>-</v>
      </c>
      <c r="D38" s="98" t="s">
        <v>81</v>
      </c>
      <c r="E38" s="98"/>
      <c r="F38" s="98"/>
      <c r="G38" s="98"/>
      <c r="H38" s="27"/>
    </row>
    <row r="39" spans="1:8" ht="18" customHeight="1" x14ac:dyDescent="0.25">
      <c r="A39" s="27"/>
      <c r="B39" s="27"/>
      <c r="C39" s="27"/>
      <c r="D39" s="27"/>
      <c r="E39" s="27"/>
      <c r="F39" s="27"/>
      <c r="G39" s="27"/>
      <c r="H39" s="27"/>
    </row>
    <row r="40" spans="1:8" ht="7.5" customHeight="1" x14ac:dyDescent="0.25">
      <c r="A40" s="27"/>
      <c r="B40" s="27"/>
      <c r="C40" s="27"/>
      <c r="D40" s="27"/>
      <c r="E40" s="27"/>
      <c r="F40" s="27"/>
      <c r="G40" s="27"/>
      <c r="H40" s="27"/>
    </row>
    <row r="41" spans="1:8" ht="21.75" customHeight="1" x14ac:dyDescent="0.25">
      <c r="A41" s="52" t="s">
        <v>82</v>
      </c>
      <c r="B41" s="27"/>
      <c r="C41" s="27"/>
      <c r="D41" s="27"/>
      <c r="E41" s="27"/>
      <c r="F41" s="27"/>
      <c r="G41" s="27"/>
      <c r="H41" s="27"/>
    </row>
    <row r="42" spans="1:8" ht="18" customHeight="1" x14ac:dyDescent="0.25">
      <c r="A42" s="53" t="s">
        <v>83</v>
      </c>
      <c r="B42" s="27"/>
      <c r="C42" s="27"/>
      <c r="D42" s="27"/>
      <c r="E42" s="27"/>
      <c r="F42" s="27"/>
      <c r="G42" s="27"/>
      <c r="H42" s="27"/>
    </row>
    <row r="43" spans="1:8" ht="18" customHeight="1" x14ac:dyDescent="0.25">
      <c r="A43" s="54" t="s">
        <v>84</v>
      </c>
      <c r="B43" s="27"/>
      <c r="C43" s="27"/>
      <c r="D43" s="27"/>
      <c r="E43" s="27"/>
      <c r="F43" s="27"/>
      <c r="G43" s="27"/>
      <c r="H43" s="27"/>
    </row>
    <row r="44" spans="1:8" ht="18" customHeight="1" x14ac:dyDescent="0.25">
      <c r="A44" s="55" t="s">
        <v>85</v>
      </c>
      <c r="B44" s="27"/>
      <c r="C44" s="27"/>
      <c r="D44" s="27"/>
      <c r="E44" s="27"/>
      <c r="F44" s="27"/>
      <c r="G44" s="27"/>
      <c r="H44" s="27"/>
    </row>
    <row r="45" spans="1:8" ht="18" customHeight="1" x14ac:dyDescent="0.25">
      <c r="A45" s="56" t="s">
        <v>86</v>
      </c>
      <c r="B45" s="27"/>
      <c r="C45" s="27"/>
      <c r="D45" s="27"/>
      <c r="E45" s="27"/>
      <c r="F45" s="27"/>
      <c r="G45" s="27"/>
      <c r="H45" s="27"/>
    </row>
    <row r="46" spans="1:8" ht="18" customHeight="1" x14ac:dyDescent="0.25">
      <c r="A46" s="57" t="s">
        <v>87</v>
      </c>
      <c r="B46" s="27"/>
      <c r="C46" s="27"/>
      <c r="D46" s="27"/>
      <c r="E46" s="27"/>
      <c r="F46" s="27"/>
      <c r="G46" s="27"/>
      <c r="H46" s="27"/>
    </row>
    <row r="47" spans="1:8" ht="15" customHeight="1" x14ac:dyDescent="0.25">
      <c r="A47" s="27"/>
      <c r="B47" s="27"/>
      <c r="C47" s="27"/>
      <c r="D47" s="27"/>
      <c r="E47" s="27"/>
      <c r="F47" s="27"/>
      <c r="G47" s="27"/>
      <c r="H47" s="27"/>
    </row>
    <row r="48" spans="1:8" ht="15" customHeight="1" x14ac:dyDescent="0.25">
      <c r="A48" s="27"/>
      <c r="B48" s="27"/>
      <c r="C48" s="27"/>
      <c r="D48" s="27"/>
      <c r="E48" s="27"/>
      <c r="F48" s="27"/>
      <c r="G48" s="27"/>
      <c r="H48" s="27"/>
    </row>
    <row r="49" spans="1:8" ht="15" customHeight="1" x14ac:dyDescent="0.25">
      <c r="A49" s="27"/>
      <c r="B49" s="27"/>
      <c r="C49" s="27"/>
      <c r="D49" s="27"/>
      <c r="E49" s="27"/>
      <c r="F49" s="27"/>
      <c r="G49" s="27"/>
      <c r="H49" s="27"/>
    </row>
    <row r="50" spans="1:8" ht="15" customHeight="1" x14ac:dyDescent="0.25">
      <c r="A50" s="27"/>
      <c r="B50" s="27"/>
      <c r="C50" s="27"/>
      <c r="D50" s="27"/>
      <c r="E50" s="27"/>
      <c r="F50" s="27"/>
      <c r="G50" s="27"/>
      <c r="H50" s="27"/>
    </row>
    <row r="51" spans="1:8" ht="15" customHeight="1" x14ac:dyDescent="0.25">
      <c r="A51" s="27"/>
      <c r="B51" s="27"/>
      <c r="C51" s="27"/>
      <c r="D51" s="27"/>
      <c r="E51" s="27"/>
      <c r="F51" s="27"/>
      <c r="G51" s="27"/>
      <c r="H51" s="27"/>
    </row>
    <row r="52" spans="1:8" ht="15" customHeight="1" x14ac:dyDescent="0.25">
      <c r="A52" s="27"/>
      <c r="B52" s="27"/>
      <c r="C52" s="27"/>
      <c r="D52" s="27"/>
      <c r="E52" s="27"/>
      <c r="F52" s="27"/>
      <c r="G52" s="27"/>
      <c r="H52" s="27"/>
    </row>
    <row r="53" spans="1:8" ht="15" customHeight="1" x14ac:dyDescent="0.25">
      <c r="A53" s="27"/>
      <c r="B53" s="27"/>
      <c r="C53" s="27"/>
      <c r="D53" s="27"/>
      <c r="E53" s="27"/>
      <c r="F53" s="27"/>
      <c r="G53" s="27"/>
      <c r="H53" s="27"/>
    </row>
  </sheetData>
  <mergeCells count="6">
    <mergeCell ref="A1:AB1"/>
    <mergeCell ref="A29:G29"/>
    <mergeCell ref="A37:B37"/>
    <mergeCell ref="D37:G37"/>
    <mergeCell ref="A38:B38"/>
    <mergeCell ref="D38:G38"/>
  </mergeCells>
  <conditionalFormatting sqref="A4:U27">
    <cfRule type="expression" dxfId="14" priority="1">
      <formula>$S4&lt;&gt;""</formula>
    </cfRule>
    <cfRule type="expression" dxfId="13" priority="2">
      <formula>$R4&lt;&gt;""</formula>
    </cfRule>
    <cfRule type="expression" dxfId="12" priority="3">
      <formula>$Q4&lt;&gt;""</formula>
    </cfRule>
  </conditionalFormatting>
  <dataValidations count="1">
    <dataValidation type="list" allowBlank="1" showInputMessage="1" showErrorMessage="1" sqref="P4:P27" xr:uid="{559BF6BC-9CF3-4703-88FC-E8E1424558B4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8BF6-ABDD-4234-94DB-4EFFC2C5FE31}">
  <dimension ref="A1:AB51"/>
  <sheetViews>
    <sheetView zoomScaleNormal="100" workbookViewId="0">
      <pane ySplit="3" topLeftCell="A6" activePane="bottomLeft" state="frozen"/>
      <selection pane="bottomLeft" activeCell="K9" sqref="K9"/>
    </sheetView>
  </sheetViews>
  <sheetFormatPr defaultColWidth="8.5703125" defaultRowHeight="15" customHeight="1" x14ac:dyDescent="0.25"/>
  <cols>
    <col min="1" max="1" width="23" customWidth="1"/>
    <col min="2" max="3" width="10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22.140625" customWidth="1"/>
    <col min="21" max="21" width="22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432</v>
      </c>
      <c r="B4" s="60" t="s">
        <v>454</v>
      </c>
      <c r="C4" s="4" t="s">
        <v>95</v>
      </c>
      <c r="D4" s="19">
        <v>46297</v>
      </c>
      <c r="E4" s="20">
        <f t="shared" ref="E4:E25" si="0">IF(D4="","",D4-90)</f>
        <v>46207</v>
      </c>
      <c r="F4" s="20">
        <f t="shared" ref="F4:F25" si="1">IF(D4="","",D4-60)</f>
        <v>46237</v>
      </c>
      <c r="G4" s="20">
        <f t="shared" ref="G4:G25" si="2">IF(D4="","",D4-30)</f>
        <v>46267</v>
      </c>
      <c r="H4" s="21">
        <v>0</v>
      </c>
      <c r="I4" s="5">
        <v>1545</v>
      </c>
      <c r="J4" s="22" t="str">
        <f t="shared" ref="J4:J25" si="3">IF(I4="","",IF(ABS(N4-W4)&lt;=ABS(M4-W4),IF(ABS(N4-W4)&lt;=ABS(O4-W4),"Offer 2","Offer 3"),IF(ABS(M4-W4)&lt;=ABS(O4-W4),"Offer 1","Offer 3")))</f>
        <v>Offer 1</v>
      </c>
      <c r="K4" s="59"/>
      <c r="L4" s="23" t="str">
        <f t="shared" ref="L4:L25" si="4">IF(OR(I4="",K4=""),"",CEILING(I4*(1+K4),5))</f>
        <v/>
      </c>
      <c r="M4" s="23">
        <f t="shared" ref="M4:M25" si="5">IF(I4="","",IF(X4="Under",CEILING(MAX(I4*1.02,MIN(V4,W4)*0.95),5),CEILING(MAX(I4*1.03,MIN(V4,W4)*0.97),5)))</f>
        <v>1580</v>
      </c>
      <c r="N4" s="23">
        <f t="shared" ref="N4:N25" si="6">IF(I4="","",IF(X4="Under",CEILING(MAX(I4*1.03,(V4+W4)/2*0.96),5),CEILING(MAX(I4*1.05,(V4+W4)/2*0.98),5)))</f>
        <v>1595</v>
      </c>
      <c r="O4" s="23">
        <f t="shared" ref="O4:O25" si="7">IF(I4="","",IF(X4="Under",CEILING(MAX(I4*1.05,MIN(V4,W4*1.01)),5),CEILING(MAX(I4*1.08,MIN(V4,W4*1.02)),5)))</f>
        <v>1625</v>
      </c>
      <c r="P4" s="4"/>
      <c r="Q4" s="4"/>
      <c r="R4" s="4"/>
      <c r="S4" s="4"/>
      <c r="T4" s="4" t="s">
        <v>476</v>
      </c>
      <c r="U4" s="4"/>
      <c r="V4" s="23">
        <f>IF(C4="","",IFERROR(VLOOKUP(C4,SETUP!$A$9:$D$24,2,0),"⚠ Check SETUP"))</f>
        <v>1595</v>
      </c>
      <c r="W4" s="23">
        <f>IF(C4="","",IFERROR(VLOOKUP(C4,SETUP!$A$9:$D$24,3,0),"⚠ Check SETUP"))</f>
        <v>1504</v>
      </c>
      <c r="X4" s="22" t="str">
        <f>IF(C4="","",IFERROR(VLOOKUP(C4,SETUP!$A$9:$D$24,4,0),"⚠ Check SETUP"))</f>
        <v>Under</v>
      </c>
      <c r="Y4" s="24">
        <f t="shared" ref="Y4:Y25" si="8">IF(OR(I4="",M4=""),"",(M4-I4)/I4)</f>
        <v>2.2653721682847898E-2</v>
      </c>
      <c r="Z4" s="24">
        <f t="shared" ref="Z4:Z25" si="9">IF(OR(I4="",N4=""),"",(N4-I4)/I4)</f>
        <v>3.2362459546925564E-2</v>
      </c>
      <c r="AA4" s="24">
        <f t="shared" ref="AA4:AA25" si="10">IF(OR(I4="",O4=""),"",(O4-I4)/I4)</f>
        <v>5.1779935275080909E-2</v>
      </c>
      <c r="AB4" s="24" t="str">
        <f t="shared" ref="AB4:AB25" si="11">IF(OR(Q4="",S4&lt;&gt;"",P4="",I4=""),"",IF(P4="Investor Override",IF(L4="","",(L4-I4)/I4),IF(P4="Offer 1",IF(M4="","",(M4-I4)/I4),IF(P4="Offer 2",IF(N4="","",(N4-I4)/I4),IF(P4="Offer 3",IF(O4="","",(O4-I4)/I4),"")))))</f>
        <v/>
      </c>
    </row>
    <row r="5" spans="1:28" ht="19.5" customHeight="1" x14ac:dyDescent="0.25">
      <c r="A5" s="6" t="s">
        <v>433</v>
      </c>
      <c r="B5" s="60" t="s">
        <v>455</v>
      </c>
      <c r="C5" s="4" t="s">
        <v>96</v>
      </c>
      <c r="D5" s="19">
        <v>46299</v>
      </c>
      <c r="E5" s="20">
        <f t="shared" si="0"/>
        <v>46209</v>
      </c>
      <c r="F5" s="20">
        <f t="shared" si="1"/>
        <v>46239</v>
      </c>
      <c r="G5" s="20">
        <f t="shared" si="2"/>
        <v>46269</v>
      </c>
      <c r="H5" s="21">
        <v>0</v>
      </c>
      <c r="I5" s="5">
        <v>1406</v>
      </c>
      <c r="J5" s="22" t="str">
        <f t="shared" si="3"/>
        <v>Offer 1</v>
      </c>
      <c r="K5" s="59"/>
      <c r="L5" s="23" t="str">
        <f t="shared" si="4"/>
        <v/>
      </c>
      <c r="M5" s="23">
        <f t="shared" si="5"/>
        <v>1450</v>
      </c>
      <c r="N5" s="23">
        <f t="shared" si="6"/>
        <v>1605</v>
      </c>
      <c r="O5" s="23">
        <f t="shared" si="7"/>
        <v>1520</v>
      </c>
      <c r="P5" s="4"/>
      <c r="Q5" s="4"/>
      <c r="R5" s="4"/>
      <c r="S5" s="4"/>
      <c r="T5" s="4" t="s">
        <v>477</v>
      </c>
      <c r="U5" s="4"/>
      <c r="V5" s="23">
        <f>IF(C5="","",IFERROR(VLOOKUP(C5,SETUP!$A$9:$D$24,2,0),"⚠ Check SETUP"))</f>
        <v>1795</v>
      </c>
      <c r="W5" s="23">
        <f>IF(C5="","",IFERROR(VLOOKUP(C5,SETUP!$A$9:$D$24,3,0),"⚠ Check SETUP"))</f>
        <v>1476</v>
      </c>
      <c r="X5" s="22" t="str">
        <f>IF(C5="","",IFERROR(VLOOKUP(C5,SETUP!$A$9:$D$24,4,0),"⚠ Check SETUP"))</f>
        <v>Over</v>
      </c>
      <c r="Y5" s="24">
        <f t="shared" si="8"/>
        <v>3.1294452347083924E-2</v>
      </c>
      <c r="Z5" s="24">
        <f t="shared" si="9"/>
        <v>0.14153627311522049</v>
      </c>
      <c r="AA5" s="24">
        <f t="shared" si="10"/>
        <v>8.1081081081081086E-2</v>
      </c>
      <c r="AB5" s="24" t="str">
        <f t="shared" si="11"/>
        <v/>
      </c>
    </row>
    <row r="6" spans="1:28" ht="19.5" customHeight="1" x14ac:dyDescent="0.25">
      <c r="A6" s="6" t="s">
        <v>434</v>
      </c>
      <c r="B6" s="60" t="s">
        <v>456</v>
      </c>
      <c r="C6" s="4" t="s">
        <v>101</v>
      </c>
      <c r="D6" s="19">
        <v>46300</v>
      </c>
      <c r="E6" s="20">
        <f t="shared" si="0"/>
        <v>46210</v>
      </c>
      <c r="F6" s="20">
        <f t="shared" si="1"/>
        <v>46240</v>
      </c>
      <c r="G6" s="20">
        <f t="shared" si="2"/>
        <v>46270</v>
      </c>
      <c r="H6" s="21">
        <v>500</v>
      </c>
      <c r="I6" s="5">
        <v>2005</v>
      </c>
      <c r="J6" s="22" t="str">
        <f t="shared" si="3"/>
        <v>Offer 1</v>
      </c>
      <c r="K6" s="59"/>
      <c r="L6" s="23" t="str">
        <f t="shared" si="4"/>
        <v/>
      </c>
      <c r="M6" s="23">
        <f t="shared" si="5"/>
        <v>2050</v>
      </c>
      <c r="N6" s="23">
        <f t="shared" si="6"/>
        <v>2070</v>
      </c>
      <c r="O6" s="23">
        <f t="shared" si="7"/>
        <v>2110</v>
      </c>
      <c r="P6" s="4"/>
      <c r="Q6" s="4"/>
      <c r="R6" s="4"/>
      <c r="S6" s="4"/>
      <c r="T6" s="4" t="s">
        <v>478</v>
      </c>
      <c r="U6" s="4"/>
      <c r="V6" s="23">
        <f>IF(C6="","",IFERROR(VLOOKUP(C6,SETUP!$A$9:$D$24,2,0),"⚠ Check SETUP"))</f>
        <v>1880</v>
      </c>
      <c r="W6" s="23">
        <f>IF(C6="","",IFERROR(VLOOKUP(C6,SETUP!$A$9:$D$24,3,0),"⚠ Check SETUP"))</f>
        <v>1976</v>
      </c>
      <c r="X6" s="22" t="str">
        <f>IF(C6="","",IFERROR(VLOOKUP(C6,SETUP!$A$9:$D$24,4,0),"⚠ Check SETUP"))</f>
        <v>Under</v>
      </c>
      <c r="Y6" s="24">
        <f t="shared" si="8"/>
        <v>2.2443890274314215E-2</v>
      </c>
      <c r="Z6" s="24">
        <f t="shared" si="9"/>
        <v>3.2418952618453865E-2</v>
      </c>
      <c r="AA6" s="24">
        <f t="shared" si="10"/>
        <v>5.2369077306733167E-2</v>
      </c>
      <c r="AB6" s="24" t="str">
        <f t="shared" si="11"/>
        <v/>
      </c>
    </row>
    <row r="7" spans="1:28" ht="19.5" customHeight="1" x14ac:dyDescent="0.25">
      <c r="A7" s="6" t="s">
        <v>435</v>
      </c>
      <c r="B7" s="60" t="s">
        <v>457</v>
      </c>
      <c r="C7" s="4" t="s">
        <v>108</v>
      </c>
      <c r="D7" s="19">
        <v>46300</v>
      </c>
      <c r="E7" s="20">
        <f t="shared" si="0"/>
        <v>46210</v>
      </c>
      <c r="F7" s="20">
        <f t="shared" si="1"/>
        <v>46240</v>
      </c>
      <c r="G7" s="20">
        <f t="shared" si="2"/>
        <v>46270</v>
      </c>
      <c r="H7" s="21">
        <v>0</v>
      </c>
      <c r="I7" s="5">
        <v>1250</v>
      </c>
      <c r="J7" s="22" t="str">
        <f t="shared" si="3"/>
        <v>Offer 1</v>
      </c>
      <c r="K7" s="59"/>
      <c r="L7" s="23" t="str">
        <f t="shared" si="4"/>
        <v/>
      </c>
      <c r="M7" s="23">
        <f t="shared" si="5"/>
        <v>1290</v>
      </c>
      <c r="N7" s="23">
        <f t="shared" si="6"/>
        <v>1315</v>
      </c>
      <c r="O7" s="23">
        <f t="shared" si="7"/>
        <v>1350</v>
      </c>
      <c r="P7" s="4"/>
      <c r="Q7" s="4"/>
      <c r="R7" s="4"/>
      <c r="S7" s="4"/>
      <c r="T7" s="4" t="s">
        <v>479</v>
      </c>
      <c r="U7" s="4"/>
      <c r="V7" s="23">
        <f>IF(C7="","",IFERROR(VLOOKUP(C7,SETUP!$A$9:$D$24,2,0),"⚠ Check SETUP"))</f>
        <v>1301</v>
      </c>
      <c r="W7" s="23">
        <f>IF(C7="","",IFERROR(VLOOKUP(C7,SETUP!$A$9:$D$24,3,0),"⚠ Check SETUP"))</f>
        <v>1298</v>
      </c>
      <c r="X7" s="22" t="str">
        <f>IF(C7="","",IFERROR(VLOOKUP(C7,SETUP!$A$9:$D$24,4,0),"⚠ Check SETUP"))</f>
        <v>Over</v>
      </c>
      <c r="Y7" s="24">
        <f t="shared" si="8"/>
        <v>3.2000000000000001E-2</v>
      </c>
      <c r="Z7" s="24">
        <f t="shared" si="9"/>
        <v>5.1999999999999998E-2</v>
      </c>
      <c r="AA7" s="24">
        <f t="shared" si="10"/>
        <v>0.08</v>
      </c>
      <c r="AB7" s="24" t="str">
        <f t="shared" si="11"/>
        <v/>
      </c>
    </row>
    <row r="8" spans="1:28" ht="19.5" customHeight="1" x14ac:dyDescent="0.25">
      <c r="A8" s="6" t="s">
        <v>436</v>
      </c>
      <c r="B8" s="60" t="s">
        <v>458</v>
      </c>
      <c r="C8" s="4" t="s">
        <v>16</v>
      </c>
      <c r="D8" s="19">
        <v>46303</v>
      </c>
      <c r="E8" s="20">
        <f t="shared" si="0"/>
        <v>46213</v>
      </c>
      <c r="F8" s="20">
        <f t="shared" si="1"/>
        <v>46243</v>
      </c>
      <c r="G8" s="20">
        <f t="shared" si="2"/>
        <v>46273</v>
      </c>
      <c r="H8" s="21">
        <v>0</v>
      </c>
      <c r="I8" s="5">
        <v>2100</v>
      </c>
      <c r="J8" s="22" t="str">
        <f t="shared" si="3"/>
        <v>Offer 3</v>
      </c>
      <c r="K8" s="59"/>
      <c r="L8" s="23" t="str">
        <f t="shared" si="4"/>
        <v/>
      </c>
      <c r="M8" s="23">
        <f t="shared" si="5"/>
        <v>2245</v>
      </c>
      <c r="N8" s="23">
        <f t="shared" si="6"/>
        <v>2290</v>
      </c>
      <c r="O8" s="23">
        <f t="shared" si="7"/>
        <v>2385</v>
      </c>
      <c r="P8" s="4"/>
      <c r="Q8" s="4"/>
      <c r="R8" s="4"/>
      <c r="S8" s="4"/>
      <c r="T8" s="4" t="s">
        <v>480</v>
      </c>
      <c r="U8" s="4"/>
      <c r="V8" s="23">
        <f>IF(C8="","",IFERROR(VLOOKUP(C8,SETUP!$A$9:$D$24,2,0),"⚠ Check SETUP"))</f>
        <v>2406</v>
      </c>
      <c r="W8" s="23">
        <f>IF(C8="","",IFERROR(VLOOKUP(C8,SETUP!$A$9:$D$24,3,0),"⚠ Check SETUP"))</f>
        <v>2361</v>
      </c>
      <c r="X8" s="22" t="str">
        <f>IF(C8="","",IFERROR(VLOOKUP(C8,SETUP!$A$9:$D$24,4,0),"⚠ Check SETUP"))</f>
        <v>Under</v>
      </c>
      <c r="Y8" s="24">
        <f t="shared" si="8"/>
        <v>6.9047619047619052E-2</v>
      </c>
      <c r="Z8" s="24">
        <f t="shared" si="9"/>
        <v>9.0476190476190474E-2</v>
      </c>
      <c r="AA8" s="24">
        <f t="shared" si="10"/>
        <v>0.1357142857142857</v>
      </c>
      <c r="AB8" s="24" t="str">
        <f t="shared" si="11"/>
        <v/>
      </c>
    </row>
    <row r="9" spans="1:28" ht="19.5" customHeight="1" x14ac:dyDescent="0.25">
      <c r="A9" s="6" t="s">
        <v>437</v>
      </c>
      <c r="B9" s="60" t="s">
        <v>459</v>
      </c>
      <c r="C9" s="4" t="s">
        <v>100</v>
      </c>
      <c r="D9" s="19">
        <v>46307</v>
      </c>
      <c r="E9" s="20">
        <f t="shared" si="0"/>
        <v>46217</v>
      </c>
      <c r="F9" s="20">
        <f t="shared" si="1"/>
        <v>46247</v>
      </c>
      <c r="G9" s="20">
        <f t="shared" si="2"/>
        <v>46277</v>
      </c>
      <c r="H9" s="21">
        <v>0</v>
      </c>
      <c r="I9" s="5">
        <v>1860</v>
      </c>
      <c r="J9" s="22" t="str">
        <f t="shared" si="3"/>
        <v>Offer 1</v>
      </c>
      <c r="K9" s="59"/>
      <c r="L9" s="23" t="str">
        <f t="shared" si="4"/>
        <v/>
      </c>
      <c r="M9" s="23">
        <f t="shared" si="5"/>
        <v>1900</v>
      </c>
      <c r="N9" s="23">
        <f t="shared" si="6"/>
        <v>1920</v>
      </c>
      <c r="O9" s="23">
        <f t="shared" si="7"/>
        <v>1955</v>
      </c>
      <c r="P9" s="4"/>
      <c r="Q9" s="4"/>
      <c r="R9" s="4"/>
      <c r="S9" s="4"/>
      <c r="T9" s="4" t="s">
        <v>481</v>
      </c>
      <c r="U9" s="4"/>
      <c r="V9" s="23">
        <f>IF(C9="","",IFERROR(VLOOKUP(C9,SETUP!$A$9:$D$24,2,0),"⚠ Check SETUP"))</f>
        <v>1595</v>
      </c>
      <c r="W9" s="23">
        <f>IF(C9="","",IFERROR(VLOOKUP(C9,SETUP!$A$9:$D$24,3,0),"⚠ Check SETUP"))</f>
        <v>1806</v>
      </c>
      <c r="X9" s="22" t="str">
        <f>IF(C9="","",IFERROR(VLOOKUP(C9,SETUP!$A$9:$D$24,4,0),"⚠ Check SETUP"))</f>
        <v>Under</v>
      </c>
      <c r="Y9" s="24">
        <f t="shared" si="8"/>
        <v>2.1505376344086023E-2</v>
      </c>
      <c r="Z9" s="24">
        <f t="shared" si="9"/>
        <v>3.2258064516129031E-2</v>
      </c>
      <c r="AA9" s="24">
        <f t="shared" si="10"/>
        <v>5.1075268817204304E-2</v>
      </c>
      <c r="AB9" s="24" t="str">
        <f t="shared" si="11"/>
        <v/>
      </c>
    </row>
    <row r="10" spans="1:28" ht="19.5" customHeight="1" x14ac:dyDescent="0.25">
      <c r="A10" s="6" t="s">
        <v>438</v>
      </c>
      <c r="B10" s="60" t="s">
        <v>460</v>
      </c>
      <c r="C10" s="4" t="s">
        <v>98</v>
      </c>
      <c r="D10" s="19">
        <v>46309</v>
      </c>
      <c r="E10" s="20">
        <f t="shared" si="0"/>
        <v>46219</v>
      </c>
      <c r="F10" s="20">
        <f t="shared" si="1"/>
        <v>46249</v>
      </c>
      <c r="G10" s="20">
        <f t="shared" si="2"/>
        <v>46279</v>
      </c>
      <c r="H10" s="21">
        <v>500</v>
      </c>
      <c r="I10" s="5">
        <v>1359</v>
      </c>
      <c r="J10" s="22" t="str">
        <f t="shared" si="3"/>
        <v>Offer 2</v>
      </c>
      <c r="K10" s="59"/>
      <c r="L10" s="23" t="str">
        <f t="shared" si="4"/>
        <v/>
      </c>
      <c r="M10" s="23">
        <f t="shared" si="5"/>
        <v>1400</v>
      </c>
      <c r="N10" s="23">
        <f t="shared" si="6"/>
        <v>1430</v>
      </c>
      <c r="O10" s="23">
        <f t="shared" si="7"/>
        <v>1470</v>
      </c>
      <c r="P10" s="4"/>
      <c r="Q10" s="4"/>
      <c r="R10" s="4"/>
      <c r="S10" s="4"/>
      <c r="T10" s="4" t="s">
        <v>482</v>
      </c>
      <c r="U10" s="4"/>
      <c r="V10" s="23">
        <f>IF(C10="","",IFERROR(VLOOKUP(C10,SETUP!$A$9:$D$24,2,0),"⚠ Check SETUP"))</f>
        <v>1421</v>
      </c>
      <c r="W10" s="23">
        <f>IF(C10="","",IFERROR(VLOOKUP(C10,SETUP!$A$9:$D$24,3,0),"⚠ Check SETUP"))</f>
        <v>1424</v>
      </c>
      <c r="X10" s="22" t="str">
        <f>IF(C10="","",IFERROR(VLOOKUP(C10,SETUP!$A$9:$D$24,4,0),"⚠ Check SETUP"))</f>
        <v>Over</v>
      </c>
      <c r="Y10" s="24">
        <f t="shared" si="8"/>
        <v>3.016924208977189E-2</v>
      </c>
      <c r="Z10" s="24">
        <f t="shared" si="9"/>
        <v>5.2244297277409861E-2</v>
      </c>
      <c r="AA10" s="24">
        <f t="shared" si="10"/>
        <v>8.1677704194260486E-2</v>
      </c>
      <c r="AB10" s="24" t="str">
        <f t="shared" si="11"/>
        <v/>
      </c>
    </row>
    <row r="11" spans="1:28" ht="19.5" customHeight="1" x14ac:dyDescent="0.25">
      <c r="A11" s="6" t="s">
        <v>439</v>
      </c>
      <c r="B11" s="60" t="s">
        <v>461</v>
      </c>
      <c r="C11" s="4" t="s">
        <v>95</v>
      </c>
      <c r="D11" s="19">
        <v>46311</v>
      </c>
      <c r="E11" s="20">
        <f t="shared" si="0"/>
        <v>46221</v>
      </c>
      <c r="F11" s="20">
        <f t="shared" si="1"/>
        <v>46251</v>
      </c>
      <c r="G11" s="20">
        <f t="shared" si="2"/>
        <v>46281</v>
      </c>
      <c r="H11" s="21">
        <v>0</v>
      </c>
      <c r="I11" s="5">
        <v>1453</v>
      </c>
      <c r="J11" s="22" t="str">
        <f t="shared" si="3"/>
        <v>Offer 2</v>
      </c>
      <c r="K11" s="59"/>
      <c r="L11" s="23" t="str">
        <f t="shared" si="4"/>
        <v/>
      </c>
      <c r="M11" s="23">
        <f t="shared" si="5"/>
        <v>1485</v>
      </c>
      <c r="N11" s="23">
        <f t="shared" si="6"/>
        <v>1500</v>
      </c>
      <c r="O11" s="23">
        <f t="shared" si="7"/>
        <v>1530</v>
      </c>
      <c r="P11" s="4"/>
      <c r="Q11" s="4"/>
      <c r="R11" s="4"/>
      <c r="S11" s="4"/>
      <c r="T11" s="4" t="s">
        <v>483</v>
      </c>
      <c r="U11" s="4"/>
      <c r="V11" s="23">
        <f>IF(C11="","",IFERROR(VLOOKUP(C11,SETUP!$A$9:$D$24,2,0),"⚠ Check SETUP"))</f>
        <v>1595</v>
      </c>
      <c r="W11" s="23">
        <f>IF(C11="","",IFERROR(VLOOKUP(C11,SETUP!$A$9:$D$24,3,0),"⚠ Check SETUP"))</f>
        <v>1504</v>
      </c>
      <c r="X11" s="22" t="str">
        <f>IF(C11="","",IFERROR(VLOOKUP(C11,SETUP!$A$9:$D$24,4,0),"⚠ Check SETUP"))</f>
        <v>Under</v>
      </c>
      <c r="Y11" s="24">
        <f t="shared" si="8"/>
        <v>2.202339986235375E-2</v>
      </c>
      <c r="Z11" s="24">
        <f t="shared" si="9"/>
        <v>3.2346868547832072E-2</v>
      </c>
      <c r="AA11" s="24">
        <f t="shared" si="10"/>
        <v>5.299380591878871E-2</v>
      </c>
      <c r="AB11" s="24" t="str">
        <f t="shared" si="11"/>
        <v/>
      </c>
    </row>
    <row r="12" spans="1:28" ht="19.5" customHeight="1" x14ac:dyDescent="0.25">
      <c r="A12" s="6" t="s">
        <v>440</v>
      </c>
      <c r="B12" s="60" t="s">
        <v>462</v>
      </c>
      <c r="C12" s="4" t="s">
        <v>100</v>
      </c>
      <c r="D12" s="19">
        <v>46312</v>
      </c>
      <c r="E12" s="20">
        <f t="shared" si="0"/>
        <v>46222</v>
      </c>
      <c r="F12" s="20">
        <f t="shared" si="1"/>
        <v>46252</v>
      </c>
      <c r="G12" s="20">
        <f t="shared" si="2"/>
        <v>46282</v>
      </c>
      <c r="H12" s="21">
        <v>1525</v>
      </c>
      <c r="I12" s="5">
        <v>1691</v>
      </c>
      <c r="J12" s="22" t="str">
        <f t="shared" si="3"/>
        <v>Offer 3</v>
      </c>
      <c r="K12" s="59"/>
      <c r="L12" s="23" t="str">
        <f t="shared" si="4"/>
        <v/>
      </c>
      <c r="M12" s="23">
        <f t="shared" si="5"/>
        <v>1725</v>
      </c>
      <c r="N12" s="23">
        <f t="shared" si="6"/>
        <v>1745</v>
      </c>
      <c r="O12" s="23">
        <f t="shared" si="7"/>
        <v>1780</v>
      </c>
      <c r="P12" s="4"/>
      <c r="Q12" s="4"/>
      <c r="R12" s="4"/>
      <c r="S12" s="4"/>
      <c r="T12" s="4" t="s">
        <v>484</v>
      </c>
      <c r="U12" s="4"/>
      <c r="V12" s="23">
        <f>IF(C12="","",IFERROR(VLOOKUP(C12,SETUP!$A$9:$D$24,2,0),"⚠ Check SETUP"))</f>
        <v>1595</v>
      </c>
      <c r="W12" s="23">
        <f>IF(C12="","",IFERROR(VLOOKUP(C12,SETUP!$A$9:$D$24,3,0),"⚠ Check SETUP"))</f>
        <v>1806</v>
      </c>
      <c r="X12" s="22" t="str">
        <f>IF(C12="","",IFERROR(VLOOKUP(C12,SETUP!$A$9:$D$24,4,0),"⚠ Check SETUP"))</f>
        <v>Under</v>
      </c>
      <c r="Y12" s="24">
        <f t="shared" si="8"/>
        <v>2.0106445890005913E-2</v>
      </c>
      <c r="Z12" s="24">
        <f t="shared" si="9"/>
        <v>3.1933767001774097E-2</v>
      </c>
      <c r="AA12" s="24">
        <f t="shared" si="10"/>
        <v>5.2631578947368418E-2</v>
      </c>
      <c r="AB12" s="24" t="str">
        <f t="shared" si="11"/>
        <v/>
      </c>
    </row>
    <row r="13" spans="1:28" ht="19.5" customHeight="1" x14ac:dyDescent="0.25">
      <c r="A13" s="6" t="s">
        <v>441</v>
      </c>
      <c r="B13" s="60" t="s">
        <v>463</v>
      </c>
      <c r="C13" s="4" t="s">
        <v>101</v>
      </c>
      <c r="D13" s="19">
        <v>46312</v>
      </c>
      <c r="E13" s="20">
        <f t="shared" si="0"/>
        <v>46222</v>
      </c>
      <c r="F13" s="20">
        <f t="shared" si="1"/>
        <v>46252</v>
      </c>
      <c r="G13" s="20">
        <f t="shared" si="2"/>
        <v>46282</v>
      </c>
      <c r="H13" s="21">
        <v>0</v>
      </c>
      <c r="I13" s="5">
        <v>1951</v>
      </c>
      <c r="J13" s="22" t="str">
        <f t="shared" si="3"/>
        <v>Offer 1</v>
      </c>
      <c r="K13" s="59"/>
      <c r="L13" s="23" t="str">
        <f t="shared" si="4"/>
        <v/>
      </c>
      <c r="M13" s="23">
        <f t="shared" si="5"/>
        <v>1995</v>
      </c>
      <c r="N13" s="23">
        <f t="shared" si="6"/>
        <v>2010</v>
      </c>
      <c r="O13" s="23">
        <f t="shared" si="7"/>
        <v>2050</v>
      </c>
      <c r="P13" s="4"/>
      <c r="Q13" s="4"/>
      <c r="R13" s="4"/>
      <c r="S13" s="4"/>
      <c r="T13" s="4" t="s">
        <v>485</v>
      </c>
      <c r="U13" s="4"/>
      <c r="V13" s="23">
        <f>IF(C13="","",IFERROR(VLOOKUP(C13,SETUP!$A$9:$D$24,2,0),"⚠ Check SETUP"))</f>
        <v>1880</v>
      </c>
      <c r="W13" s="23">
        <f>IF(C13="","",IFERROR(VLOOKUP(C13,SETUP!$A$9:$D$24,3,0),"⚠ Check SETUP"))</f>
        <v>1976</v>
      </c>
      <c r="X13" s="22" t="str">
        <f>IF(C13="","",IFERROR(VLOOKUP(C13,SETUP!$A$9:$D$24,4,0),"⚠ Check SETUP"))</f>
        <v>Under</v>
      </c>
      <c r="Y13" s="24">
        <f t="shared" si="8"/>
        <v>2.2552537160430548E-2</v>
      </c>
      <c r="Z13" s="24">
        <f t="shared" si="9"/>
        <v>3.0240902101486417E-2</v>
      </c>
      <c r="AA13" s="24">
        <f t="shared" si="10"/>
        <v>5.0743208610968732E-2</v>
      </c>
      <c r="AB13" s="24" t="str">
        <f t="shared" si="11"/>
        <v/>
      </c>
    </row>
    <row r="14" spans="1:28" ht="19.5" customHeight="1" x14ac:dyDescent="0.25">
      <c r="A14" s="6" t="s">
        <v>442</v>
      </c>
      <c r="B14" s="60" t="s">
        <v>464</v>
      </c>
      <c r="C14" s="4" t="s">
        <v>101</v>
      </c>
      <c r="D14" s="19">
        <v>46315</v>
      </c>
      <c r="E14" s="20">
        <f t="shared" si="0"/>
        <v>46225</v>
      </c>
      <c r="F14" s="20">
        <f t="shared" si="1"/>
        <v>46255</v>
      </c>
      <c r="G14" s="20">
        <f t="shared" si="2"/>
        <v>46285</v>
      </c>
      <c r="H14" s="21">
        <v>0</v>
      </c>
      <c r="I14" s="5">
        <v>1961</v>
      </c>
      <c r="J14" s="22" t="str">
        <f t="shared" si="3"/>
        <v>Offer 1</v>
      </c>
      <c r="K14" s="59"/>
      <c r="L14" s="23" t="str">
        <f t="shared" si="4"/>
        <v/>
      </c>
      <c r="M14" s="23">
        <f t="shared" si="5"/>
        <v>2005</v>
      </c>
      <c r="N14" s="23">
        <f t="shared" si="6"/>
        <v>2020</v>
      </c>
      <c r="O14" s="23">
        <f t="shared" si="7"/>
        <v>2060</v>
      </c>
      <c r="P14" s="4"/>
      <c r="Q14" s="4"/>
      <c r="R14" s="4"/>
      <c r="S14" s="4"/>
      <c r="T14" s="4" t="s">
        <v>486</v>
      </c>
      <c r="U14" s="4"/>
      <c r="V14" s="23">
        <f>IF(C14="","",IFERROR(VLOOKUP(C14,SETUP!$A$9:$D$24,2,0),"⚠ Check SETUP"))</f>
        <v>1880</v>
      </c>
      <c r="W14" s="23">
        <f>IF(C14="","",IFERROR(VLOOKUP(C14,SETUP!$A$9:$D$24,3,0),"⚠ Check SETUP"))</f>
        <v>1976</v>
      </c>
      <c r="X14" s="22" t="str">
        <f>IF(C14="","",IFERROR(VLOOKUP(C14,SETUP!$A$9:$D$24,4,0),"⚠ Check SETUP"))</f>
        <v>Under</v>
      </c>
      <c r="Y14" s="24">
        <f t="shared" si="8"/>
        <v>2.2437531871494134E-2</v>
      </c>
      <c r="Z14" s="24">
        <f t="shared" si="9"/>
        <v>3.0086690464048955E-2</v>
      </c>
      <c r="AA14" s="24">
        <f t="shared" si="10"/>
        <v>5.0484446710861802E-2</v>
      </c>
      <c r="AB14" s="24" t="str">
        <f t="shared" si="11"/>
        <v/>
      </c>
    </row>
    <row r="15" spans="1:28" ht="19.5" customHeight="1" x14ac:dyDescent="0.25">
      <c r="A15" s="6" t="s">
        <v>443</v>
      </c>
      <c r="B15" s="60" t="s">
        <v>465</v>
      </c>
      <c r="C15" s="4" t="s">
        <v>16</v>
      </c>
      <c r="D15" s="19">
        <v>46317</v>
      </c>
      <c r="E15" s="20">
        <f t="shared" si="0"/>
        <v>46227</v>
      </c>
      <c r="F15" s="20">
        <f t="shared" si="1"/>
        <v>46257</v>
      </c>
      <c r="G15" s="20">
        <f t="shared" si="2"/>
        <v>46287</v>
      </c>
      <c r="H15" s="21">
        <v>0</v>
      </c>
      <c r="I15" s="5">
        <v>2360</v>
      </c>
      <c r="J15" s="22" t="str">
        <f t="shared" si="3"/>
        <v>Offer 1</v>
      </c>
      <c r="K15" s="59"/>
      <c r="L15" s="23" t="str">
        <f t="shared" si="4"/>
        <v/>
      </c>
      <c r="M15" s="23">
        <f t="shared" si="5"/>
        <v>2410</v>
      </c>
      <c r="N15" s="23">
        <f t="shared" si="6"/>
        <v>2435</v>
      </c>
      <c r="O15" s="23">
        <f t="shared" si="7"/>
        <v>2480</v>
      </c>
      <c r="P15" s="4"/>
      <c r="Q15" s="4"/>
      <c r="R15" s="4"/>
      <c r="S15" s="4"/>
      <c r="T15" s="4" t="s">
        <v>487</v>
      </c>
      <c r="U15" s="4"/>
      <c r="V15" s="23">
        <f>IF(C15="","",IFERROR(VLOOKUP(C15,SETUP!$A$9:$D$24,2,0),"⚠ Check SETUP"))</f>
        <v>2406</v>
      </c>
      <c r="W15" s="23">
        <f>IF(C15="","",IFERROR(VLOOKUP(C15,SETUP!$A$9:$D$24,3,0),"⚠ Check SETUP"))</f>
        <v>2361</v>
      </c>
      <c r="X15" s="22" t="str">
        <f>IF(C15="","",IFERROR(VLOOKUP(C15,SETUP!$A$9:$D$24,4,0),"⚠ Check SETUP"))</f>
        <v>Under</v>
      </c>
      <c r="Y15" s="24">
        <f t="shared" si="8"/>
        <v>2.1186440677966101E-2</v>
      </c>
      <c r="Z15" s="24">
        <f t="shared" si="9"/>
        <v>3.1779661016949151E-2</v>
      </c>
      <c r="AA15" s="24">
        <f t="shared" si="10"/>
        <v>5.0847457627118647E-2</v>
      </c>
      <c r="AB15" s="24" t="str">
        <f t="shared" si="11"/>
        <v/>
      </c>
    </row>
    <row r="16" spans="1:28" ht="19.5" customHeight="1" x14ac:dyDescent="0.25">
      <c r="A16" s="6" t="s">
        <v>444</v>
      </c>
      <c r="B16" s="60" t="s">
        <v>466</v>
      </c>
      <c r="C16" s="4" t="s">
        <v>13</v>
      </c>
      <c r="D16" s="19">
        <v>46318</v>
      </c>
      <c r="E16" s="20">
        <f t="shared" si="0"/>
        <v>46228</v>
      </c>
      <c r="F16" s="20">
        <f t="shared" si="1"/>
        <v>46258</v>
      </c>
      <c r="G16" s="20">
        <f t="shared" si="2"/>
        <v>46288</v>
      </c>
      <c r="H16" s="21">
        <v>0</v>
      </c>
      <c r="I16" s="5">
        <v>1740</v>
      </c>
      <c r="J16" s="22" t="str">
        <f t="shared" si="3"/>
        <v>Offer 1</v>
      </c>
      <c r="K16" s="59"/>
      <c r="L16" s="23" t="str">
        <f t="shared" si="4"/>
        <v/>
      </c>
      <c r="M16" s="23">
        <f t="shared" si="5"/>
        <v>1775</v>
      </c>
      <c r="N16" s="23">
        <f t="shared" si="6"/>
        <v>1795</v>
      </c>
      <c r="O16" s="23">
        <f t="shared" si="7"/>
        <v>1830</v>
      </c>
      <c r="P16" s="4"/>
      <c r="Q16" s="4"/>
      <c r="R16" s="4"/>
      <c r="S16" s="4"/>
      <c r="T16" s="4" t="s">
        <v>488</v>
      </c>
      <c r="U16" s="4"/>
      <c r="V16" s="23">
        <f>IF(C16="","",IFERROR(VLOOKUP(C16,SETUP!$A$9:$D$24,2,0),"⚠ Check SETUP"))</f>
        <v>1809</v>
      </c>
      <c r="W16" s="23">
        <f>IF(C16="","",IFERROR(VLOOKUP(C16,SETUP!$A$9:$D$24,3,0),"⚠ Check SETUP"))</f>
        <v>1764</v>
      </c>
      <c r="X16" s="22" t="str">
        <f>IF(C16="","",IFERROR(VLOOKUP(C16,SETUP!$A$9:$D$24,4,0),"⚠ Check SETUP"))</f>
        <v>Under</v>
      </c>
      <c r="Y16" s="24">
        <f t="shared" si="8"/>
        <v>2.0114942528735632E-2</v>
      </c>
      <c r="Z16" s="24">
        <f t="shared" si="9"/>
        <v>3.1609195402298854E-2</v>
      </c>
      <c r="AA16" s="24">
        <f t="shared" si="10"/>
        <v>5.1724137931034482E-2</v>
      </c>
      <c r="AB16" s="24" t="str">
        <f t="shared" si="11"/>
        <v/>
      </c>
    </row>
    <row r="17" spans="1:28" ht="19.5" customHeight="1" x14ac:dyDescent="0.25">
      <c r="A17" s="6" t="s">
        <v>445</v>
      </c>
      <c r="B17" s="60" t="s">
        <v>467</v>
      </c>
      <c r="C17" s="4" t="s">
        <v>98</v>
      </c>
      <c r="D17" s="19">
        <v>46319</v>
      </c>
      <c r="E17" s="20">
        <f t="shared" si="0"/>
        <v>46229</v>
      </c>
      <c r="F17" s="20">
        <f t="shared" si="1"/>
        <v>46259</v>
      </c>
      <c r="G17" s="20">
        <f t="shared" si="2"/>
        <v>46289</v>
      </c>
      <c r="H17" s="21">
        <v>500</v>
      </c>
      <c r="I17" s="5">
        <v>1341</v>
      </c>
      <c r="J17" s="22" t="str">
        <f t="shared" si="3"/>
        <v>Offer 2</v>
      </c>
      <c r="K17" s="59"/>
      <c r="L17" s="23" t="str">
        <f t="shared" si="4"/>
        <v/>
      </c>
      <c r="M17" s="23">
        <f t="shared" si="5"/>
        <v>1385</v>
      </c>
      <c r="N17" s="23">
        <f t="shared" si="6"/>
        <v>1410</v>
      </c>
      <c r="O17" s="23">
        <f t="shared" si="7"/>
        <v>1450</v>
      </c>
      <c r="P17" s="4"/>
      <c r="Q17" s="4"/>
      <c r="R17" s="4"/>
      <c r="S17" s="4"/>
      <c r="T17" s="4" t="s">
        <v>489</v>
      </c>
      <c r="U17" s="4"/>
      <c r="V17" s="23">
        <f>IF(C17="","",IFERROR(VLOOKUP(C17,SETUP!$A$9:$D$24,2,0),"⚠ Check SETUP"))</f>
        <v>1421</v>
      </c>
      <c r="W17" s="23">
        <f>IF(C17="","",IFERROR(VLOOKUP(C17,SETUP!$A$9:$D$24,3,0),"⚠ Check SETUP"))</f>
        <v>1424</v>
      </c>
      <c r="X17" s="22" t="str">
        <f>IF(C17="","",IFERROR(VLOOKUP(C17,SETUP!$A$9:$D$24,4,0),"⚠ Check SETUP"))</f>
        <v>Over</v>
      </c>
      <c r="Y17" s="24">
        <f t="shared" si="8"/>
        <v>3.2811334824757642E-2</v>
      </c>
      <c r="Z17" s="24">
        <f t="shared" si="9"/>
        <v>5.145413870246085E-2</v>
      </c>
      <c r="AA17" s="24">
        <f t="shared" si="10"/>
        <v>8.1282624906785977E-2</v>
      </c>
      <c r="AB17" s="24" t="str">
        <f t="shared" si="11"/>
        <v/>
      </c>
    </row>
    <row r="18" spans="1:28" ht="19.5" customHeight="1" x14ac:dyDescent="0.25">
      <c r="A18" s="6" t="s">
        <v>446</v>
      </c>
      <c r="B18" s="60" t="s">
        <v>468</v>
      </c>
      <c r="C18" s="4" t="s">
        <v>100</v>
      </c>
      <c r="D18" s="19">
        <v>46320</v>
      </c>
      <c r="E18" s="20">
        <f t="shared" si="0"/>
        <v>46230</v>
      </c>
      <c r="F18" s="20">
        <f t="shared" si="1"/>
        <v>46260</v>
      </c>
      <c r="G18" s="20">
        <f t="shared" si="2"/>
        <v>46290</v>
      </c>
      <c r="H18" s="21">
        <v>0</v>
      </c>
      <c r="I18" s="5">
        <v>1870</v>
      </c>
      <c r="J18" s="22" t="str">
        <f t="shared" si="3"/>
        <v>Offer 1</v>
      </c>
      <c r="K18" s="59"/>
      <c r="L18" s="23" t="str">
        <f t="shared" si="4"/>
        <v/>
      </c>
      <c r="M18" s="23">
        <f t="shared" si="5"/>
        <v>1910</v>
      </c>
      <c r="N18" s="23">
        <f t="shared" si="6"/>
        <v>1930</v>
      </c>
      <c r="O18" s="23">
        <f t="shared" si="7"/>
        <v>1965</v>
      </c>
      <c r="P18" s="4"/>
      <c r="Q18" s="4"/>
      <c r="R18" s="4"/>
      <c r="S18" s="4"/>
      <c r="T18" s="4" t="s">
        <v>490</v>
      </c>
      <c r="U18" s="4"/>
      <c r="V18" s="23">
        <f>IF(C18="","",IFERROR(VLOOKUP(C18,SETUP!$A$9:$D$24,2,0),"⚠ Check SETUP"))</f>
        <v>1595</v>
      </c>
      <c r="W18" s="23">
        <f>IF(C18="","",IFERROR(VLOOKUP(C18,SETUP!$A$9:$D$24,3,0),"⚠ Check SETUP"))</f>
        <v>1806</v>
      </c>
      <c r="X18" s="22" t="str">
        <f>IF(C18="","",IFERROR(VLOOKUP(C18,SETUP!$A$9:$D$24,4,0),"⚠ Check SETUP"))</f>
        <v>Under</v>
      </c>
      <c r="Y18" s="24">
        <f t="shared" si="8"/>
        <v>2.1390374331550801E-2</v>
      </c>
      <c r="Z18" s="24">
        <f t="shared" si="9"/>
        <v>3.2085561497326207E-2</v>
      </c>
      <c r="AA18" s="24">
        <f t="shared" si="10"/>
        <v>5.0802139037433157E-2</v>
      </c>
      <c r="AB18" s="24" t="str">
        <f t="shared" si="11"/>
        <v/>
      </c>
    </row>
    <row r="19" spans="1:28" ht="19.5" customHeight="1" x14ac:dyDescent="0.25">
      <c r="A19" s="6" t="s">
        <v>447</v>
      </c>
      <c r="B19" s="60" t="s">
        <v>469</v>
      </c>
      <c r="C19" s="4" t="s">
        <v>95</v>
      </c>
      <c r="D19" s="19">
        <v>46324</v>
      </c>
      <c r="E19" s="20">
        <f t="shared" si="0"/>
        <v>46234</v>
      </c>
      <c r="F19" s="20">
        <f t="shared" si="1"/>
        <v>46264</v>
      </c>
      <c r="G19" s="20">
        <f t="shared" si="2"/>
        <v>46294</v>
      </c>
      <c r="H19" s="21">
        <v>1526</v>
      </c>
      <c r="I19" s="5">
        <v>1526</v>
      </c>
      <c r="J19" s="22" t="str">
        <f t="shared" si="3"/>
        <v>Offer 1</v>
      </c>
      <c r="K19" s="59"/>
      <c r="L19" s="23" t="str">
        <f t="shared" si="4"/>
        <v/>
      </c>
      <c r="M19" s="23">
        <f t="shared" si="5"/>
        <v>1560</v>
      </c>
      <c r="N19" s="23">
        <f t="shared" si="6"/>
        <v>1575</v>
      </c>
      <c r="O19" s="23">
        <f t="shared" si="7"/>
        <v>1605</v>
      </c>
      <c r="P19" s="4"/>
      <c r="Q19" s="4"/>
      <c r="R19" s="4"/>
      <c r="S19" s="4"/>
      <c r="T19" s="4" t="s">
        <v>491</v>
      </c>
      <c r="U19" s="4"/>
      <c r="V19" s="23">
        <f>IF(C19="","",IFERROR(VLOOKUP(C19,SETUP!$A$9:$D$24,2,0),"⚠ Check SETUP"))</f>
        <v>1595</v>
      </c>
      <c r="W19" s="23">
        <f>IF(C19="","",IFERROR(VLOOKUP(C19,SETUP!$A$9:$D$24,3,0),"⚠ Check SETUP"))</f>
        <v>1504</v>
      </c>
      <c r="X19" s="22" t="str">
        <f>IF(C19="","",IFERROR(VLOOKUP(C19,SETUP!$A$9:$D$24,4,0),"⚠ Check SETUP"))</f>
        <v>Under</v>
      </c>
      <c r="Y19" s="24">
        <f t="shared" si="8"/>
        <v>2.2280471821756225E-2</v>
      </c>
      <c r="Z19" s="24">
        <f t="shared" si="9"/>
        <v>3.2110091743119268E-2</v>
      </c>
      <c r="AA19" s="24">
        <f t="shared" si="10"/>
        <v>5.1769331585845346E-2</v>
      </c>
      <c r="AB19" s="24" t="str">
        <f t="shared" si="11"/>
        <v/>
      </c>
    </row>
    <row r="20" spans="1:28" ht="19.5" customHeight="1" x14ac:dyDescent="0.25">
      <c r="A20" s="6" t="s">
        <v>448</v>
      </c>
      <c r="B20" s="60" t="s">
        <v>470</v>
      </c>
      <c r="C20" s="4" t="s">
        <v>100</v>
      </c>
      <c r="D20" s="19">
        <v>46324</v>
      </c>
      <c r="E20" s="20">
        <f t="shared" si="0"/>
        <v>46234</v>
      </c>
      <c r="F20" s="20">
        <f t="shared" si="1"/>
        <v>46264</v>
      </c>
      <c r="G20" s="20">
        <f t="shared" si="2"/>
        <v>46294</v>
      </c>
      <c r="H20" s="21">
        <v>2061</v>
      </c>
      <c r="I20" s="5">
        <v>2061</v>
      </c>
      <c r="J20" s="22" t="str">
        <f t="shared" si="3"/>
        <v>Offer 1</v>
      </c>
      <c r="K20" s="59"/>
      <c r="L20" s="23" t="str">
        <f t="shared" si="4"/>
        <v/>
      </c>
      <c r="M20" s="23">
        <f t="shared" si="5"/>
        <v>2105</v>
      </c>
      <c r="N20" s="23">
        <f t="shared" si="6"/>
        <v>2125</v>
      </c>
      <c r="O20" s="23">
        <f t="shared" si="7"/>
        <v>2165</v>
      </c>
      <c r="P20" s="4"/>
      <c r="Q20" s="4"/>
      <c r="R20" s="4"/>
      <c r="S20" s="4"/>
      <c r="T20" s="4" t="s">
        <v>492</v>
      </c>
      <c r="U20" s="4"/>
      <c r="V20" s="23">
        <f>IF(C20="","",IFERROR(VLOOKUP(C20,SETUP!$A$9:$D$24,2,0),"⚠ Check SETUP"))</f>
        <v>1595</v>
      </c>
      <c r="W20" s="23">
        <f>IF(C20="","",IFERROR(VLOOKUP(C20,SETUP!$A$9:$D$24,3,0),"⚠ Check SETUP"))</f>
        <v>1806</v>
      </c>
      <c r="X20" s="22" t="str">
        <f>IF(C20="","",IFERROR(VLOOKUP(C20,SETUP!$A$9:$D$24,4,0),"⚠ Check SETUP"))</f>
        <v>Under</v>
      </c>
      <c r="Y20" s="24">
        <f t="shared" si="8"/>
        <v>2.1348859776807377E-2</v>
      </c>
      <c r="Z20" s="24">
        <f t="shared" si="9"/>
        <v>3.1052886948083454E-2</v>
      </c>
      <c r="AA20" s="24">
        <f t="shared" si="10"/>
        <v>5.0460941290635615E-2</v>
      </c>
      <c r="AB20" s="24" t="str">
        <f t="shared" si="11"/>
        <v/>
      </c>
    </row>
    <row r="21" spans="1:28" ht="19.5" customHeight="1" x14ac:dyDescent="0.25">
      <c r="A21" s="6" t="s">
        <v>449</v>
      </c>
      <c r="B21" s="60" t="s">
        <v>471</v>
      </c>
      <c r="C21" s="4" t="s">
        <v>100</v>
      </c>
      <c r="D21" s="19">
        <v>46324</v>
      </c>
      <c r="E21" s="20">
        <f t="shared" si="0"/>
        <v>46234</v>
      </c>
      <c r="F21" s="20">
        <f t="shared" si="1"/>
        <v>46264</v>
      </c>
      <c r="G21" s="20">
        <f t="shared" si="2"/>
        <v>46294</v>
      </c>
      <c r="H21" s="21">
        <v>0</v>
      </c>
      <c r="I21" s="5">
        <v>1677</v>
      </c>
      <c r="J21" s="22" t="str">
        <f t="shared" si="3"/>
        <v>Offer 3</v>
      </c>
      <c r="K21" s="59"/>
      <c r="L21" s="23" t="str">
        <f t="shared" si="4"/>
        <v/>
      </c>
      <c r="M21" s="23">
        <f t="shared" si="5"/>
        <v>1715</v>
      </c>
      <c r="N21" s="23">
        <f t="shared" si="6"/>
        <v>1730</v>
      </c>
      <c r="O21" s="23">
        <f t="shared" si="7"/>
        <v>1765</v>
      </c>
      <c r="P21" s="4"/>
      <c r="Q21" s="4"/>
      <c r="R21" s="4"/>
      <c r="S21" s="4"/>
      <c r="T21" s="4" t="s">
        <v>493</v>
      </c>
      <c r="U21" s="4"/>
      <c r="V21" s="23">
        <f>IF(C21="","",IFERROR(VLOOKUP(C21,SETUP!$A$9:$D$24,2,0),"⚠ Check SETUP"))</f>
        <v>1595</v>
      </c>
      <c r="W21" s="23">
        <f>IF(C21="","",IFERROR(VLOOKUP(C21,SETUP!$A$9:$D$24,3,0),"⚠ Check SETUP"))</f>
        <v>1806</v>
      </c>
      <c r="X21" s="22" t="str">
        <f>IF(C21="","",IFERROR(VLOOKUP(C21,SETUP!$A$9:$D$24,4,0),"⚠ Check SETUP"))</f>
        <v>Under</v>
      </c>
      <c r="Y21" s="24">
        <f t="shared" si="8"/>
        <v>2.2659511031604056E-2</v>
      </c>
      <c r="Z21" s="24">
        <f t="shared" si="9"/>
        <v>3.1604054859868815E-2</v>
      </c>
      <c r="AA21" s="24">
        <f t="shared" si="10"/>
        <v>5.2474657125819918E-2</v>
      </c>
      <c r="AB21" s="24" t="str">
        <f t="shared" si="11"/>
        <v/>
      </c>
    </row>
    <row r="22" spans="1:28" ht="19.5" customHeight="1" x14ac:dyDescent="0.25">
      <c r="A22" s="6" t="s">
        <v>450</v>
      </c>
      <c r="B22" s="60" t="s">
        <v>472</v>
      </c>
      <c r="C22" s="4" t="s">
        <v>95</v>
      </c>
      <c r="D22" s="19">
        <v>46325</v>
      </c>
      <c r="E22" s="20">
        <f t="shared" si="0"/>
        <v>46235</v>
      </c>
      <c r="F22" s="20">
        <f t="shared" si="1"/>
        <v>46265</v>
      </c>
      <c r="G22" s="20">
        <f t="shared" si="2"/>
        <v>46295</v>
      </c>
      <c r="H22" s="21">
        <v>0</v>
      </c>
      <c r="I22" s="5">
        <v>1328</v>
      </c>
      <c r="J22" s="22" t="str">
        <f t="shared" si="3"/>
        <v>Offer 2</v>
      </c>
      <c r="K22" s="59"/>
      <c r="L22" s="23" t="str">
        <f t="shared" si="4"/>
        <v/>
      </c>
      <c r="M22" s="23">
        <f t="shared" si="5"/>
        <v>1430</v>
      </c>
      <c r="N22" s="23">
        <f t="shared" si="6"/>
        <v>1490</v>
      </c>
      <c r="O22" s="23">
        <f t="shared" si="7"/>
        <v>1520</v>
      </c>
      <c r="P22" s="4"/>
      <c r="Q22" s="4"/>
      <c r="R22" s="4"/>
      <c r="S22" s="4"/>
      <c r="T22" s="4" t="s">
        <v>494</v>
      </c>
      <c r="U22" s="4"/>
      <c r="V22" s="23">
        <f>IF(C22="","",IFERROR(VLOOKUP(C22,SETUP!$A$9:$D$24,2,0),"⚠ Check SETUP"))</f>
        <v>1595</v>
      </c>
      <c r="W22" s="23">
        <f>IF(C22="","",IFERROR(VLOOKUP(C22,SETUP!$A$9:$D$24,3,0),"⚠ Check SETUP"))</f>
        <v>1504</v>
      </c>
      <c r="X22" s="22" t="str">
        <f>IF(C22="","",IFERROR(VLOOKUP(C22,SETUP!$A$9:$D$24,4,0),"⚠ Check SETUP"))</f>
        <v>Under</v>
      </c>
      <c r="Y22" s="24">
        <f t="shared" si="8"/>
        <v>7.6807228915662648E-2</v>
      </c>
      <c r="Z22" s="24">
        <f t="shared" si="9"/>
        <v>0.12198795180722892</v>
      </c>
      <c r="AA22" s="24">
        <f t="shared" si="10"/>
        <v>0.14457831325301204</v>
      </c>
      <c r="AB22" s="24" t="str">
        <f t="shared" si="11"/>
        <v/>
      </c>
    </row>
    <row r="23" spans="1:28" ht="19.5" customHeight="1" x14ac:dyDescent="0.25">
      <c r="A23" s="6" t="s">
        <v>451</v>
      </c>
      <c r="B23" s="60" t="s">
        <v>473</v>
      </c>
      <c r="C23" s="4" t="s">
        <v>96</v>
      </c>
      <c r="D23" s="19">
        <v>46326</v>
      </c>
      <c r="E23" s="20">
        <f t="shared" si="0"/>
        <v>46236</v>
      </c>
      <c r="F23" s="20">
        <f t="shared" si="1"/>
        <v>46266</v>
      </c>
      <c r="G23" s="20">
        <f t="shared" si="2"/>
        <v>46296</v>
      </c>
      <c r="H23" s="21">
        <v>0</v>
      </c>
      <c r="I23" s="5">
        <v>1515</v>
      </c>
      <c r="J23" s="22" t="str">
        <f t="shared" si="3"/>
        <v>Offer 1</v>
      </c>
      <c r="K23" s="59"/>
      <c r="L23" s="23" t="str">
        <f t="shared" si="4"/>
        <v/>
      </c>
      <c r="M23" s="23">
        <f t="shared" si="5"/>
        <v>1565</v>
      </c>
      <c r="N23" s="23">
        <f t="shared" si="6"/>
        <v>1605</v>
      </c>
      <c r="O23" s="23">
        <f t="shared" si="7"/>
        <v>1640</v>
      </c>
      <c r="P23" s="4"/>
      <c r="Q23" s="4"/>
      <c r="R23" s="4"/>
      <c r="S23" s="4"/>
      <c r="T23" s="4" t="s">
        <v>495</v>
      </c>
      <c r="U23" s="4"/>
      <c r="V23" s="23">
        <f>IF(C23="","",IFERROR(VLOOKUP(C23,SETUP!$A$9:$D$24,2,0),"⚠ Check SETUP"))</f>
        <v>1795</v>
      </c>
      <c r="W23" s="23">
        <f>IF(C23="","",IFERROR(VLOOKUP(C23,SETUP!$A$9:$D$24,3,0),"⚠ Check SETUP"))</f>
        <v>1476</v>
      </c>
      <c r="X23" s="22" t="str">
        <f>IF(C23="","",IFERROR(VLOOKUP(C23,SETUP!$A$9:$D$24,4,0),"⚠ Check SETUP"))</f>
        <v>Over</v>
      </c>
      <c r="Y23" s="24">
        <f t="shared" si="8"/>
        <v>3.3003300330033E-2</v>
      </c>
      <c r="Z23" s="24">
        <f t="shared" si="9"/>
        <v>5.9405940594059403E-2</v>
      </c>
      <c r="AA23" s="24">
        <f t="shared" si="10"/>
        <v>8.2508250825082508E-2</v>
      </c>
      <c r="AB23" s="24" t="str">
        <f t="shared" si="11"/>
        <v/>
      </c>
    </row>
    <row r="24" spans="1:28" ht="19.5" customHeight="1" x14ac:dyDescent="0.25">
      <c r="A24" s="6" t="s">
        <v>452</v>
      </c>
      <c r="B24" s="60" t="s">
        <v>474</v>
      </c>
      <c r="C24" s="4" t="s">
        <v>95</v>
      </c>
      <c r="D24" s="19">
        <v>46326</v>
      </c>
      <c r="E24" s="20">
        <f t="shared" si="0"/>
        <v>46236</v>
      </c>
      <c r="F24" s="20">
        <f t="shared" si="1"/>
        <v>46266</v>
      </c>
      <c r="G24" s="20">
        <f t="shared" si="2"/>
        <v>46296</v>
      </c>
      <c r="H24" s="21">
        <v>1600</v>
      </c>
      <c r="I24" s="5">
        <v>1600</v>
      </c>
      <c r="J24" s="22" t="str">
        <f t="shared" si="3"/>
        <v>Offer 1</v>
      </c>
      <c r="K24" s="59"/>
      <c r="L24" s="23" t="str">
        <f t="shared" si="4"/>
        <v/>
      </c>
      <c r="M24" s="23">
        <f t="shared" si="5"/>
        <v>1635</v>
      </c>
      <c r="N24" s="23">
        <f t="shared" si="6"/>
        <v>1650</v>
      </c>
      <c r="O24" s="23">
        <f t="shared" si="7"/>
        <v>1680</v>
      </c>
      <c r="P24" s="4"/>
      <c r="Q24" s="4"/>
      <c r="R24" s="4"/>
      <c r="S24" s="4"/>
      <c r="T24" s="4" t="s">
        <v>496</v>
      </c>
      <c r="U24" s="4"/>
      <c r="V24" s="23">
        <f>IF(C24="","",IFERROR(VLOOKUP(C24,SETUP!$A$9:$D$24,2,0),"⚠ Check SETUP"))</f>
        <v>1595</v>
      </c>
      <c r="W24" s="23">
        <f>IF(C24="","",IFERROR(VLOOKUP(C24,SETUP!$A$9:$D$24,3,0),"⚠ Check SETUP"))</f>
        <v>1504</v>
      </c>
      <c r="X24" s="22" t="str">
        <f>IF(C24="","",IFERROR(VLOOKUP(C24,SETUP!$A$9:$D$24,4,0),"⚠ Check SETUP"))</f>
        <v>Under</v>
      </c>
      <c r="Y24" s="24">
        <f t="shared" si="8"/>
        <v>2.1874999999999999E-2</v>
      </c>
      <c r="Z24" s="24">
        <f t="shared" si="9"/>
        <v>3.125E-2</v>
      </c>
      <c r="AA24" s="24">
        <f t="shared" si="10"/>
        <v>0.05</v>
      </c>
      <c r="AB24" s="24" t="str">
        <f t="shared" si="11"/>
        <v/>
      </c>
    </row>
    <row r="25" spans="1:28" ht="19.5" customHeight="1" x14ac:dyDescent="0.25">
      <c r="A25" s="6" t="s">
        <v>453</v>
      </c>
      <c r="B25" s="60" t="s">
        <v>475</v>
      </c>
      <c r="C25" s="4" t="s">
        <v>100</v>
      </c>
      <c r="D25" s="19">
        <v>46326</v>
      </c>
      <c r="E25" s="20">
        <f t="shared" si="0"/>
        <v>46236</v>
      </c>
      <c r="F25" s="20">
        <f t="shared" si="1"/>
        <v>46266</v>
      </c>
      <c r="G25" s="20">
        <f t="shared" si="2"/>
        <v>46296</v>
      </c>
      <c r="H25" s="21">
        <v>1681</v>
      </c>
      <c r="I25" s="5">
        <v>1681</v>
      </c>
      <c r="J25" s="22" t="str">
        <f t="shared" si="3"/>
        <v>Offer 3</v>
      </c>
      <c r="K25" s="59"/>
      <c r="L25" s="23" t="str">
        <f t="shared" si="4"/>
        <v/>
      </c>
      <c r="M25" s="23">
        <f t="shared" si="5"/>
        <v>1715</v>
      </c>
      <c r="N25" s="23">
        <f t="shared" si="6"/>
        <v>1735</v>
      </c>
      <c r="O25" s="23">
        <f t="shared" si="7"/>
        <v>1770</v>
      </c>
      <c r="P25" s="4"/>
      <c r="Q25" s="4"/>
      <c r="R25" s="4"/>
      <c r="S25" s="4"/>
      <c r="T25" s="4" t="s">
        <v>497</v>
      </c>
      <c r="U25" s="4"/>
      <c r="V25" s="23">
        <f>IF(C25="","",IFERROR(VLOOKUP(C25,SETUP!$A$9:$D$24,2,0),"⚠ Check SETUP"))</f>
        <v>1595</v>
      </c>
      <c r="W25" s="23">
        <f>IF(C25="","",IFERROR(VLOOKUP(C25,SETUP!$A$9:$D$24,3,0),"⚠ Check SETUP"))</f>
        <v>1806</v>
      </c>
      <c r="X25" s="22" t="str">
        <f>IF(C25="","",IFERROR(VLOOKUP(C25,SETUP!$A$9:$D$24,4,0),"⚠ Check SETUP"))</f>
        <v>Under</v>
      </c>
      <c r="Y25" s="24">
        <f t="shared" si="8"/>
        <v>2.0226055919095775E-2</v>
      </c>
      <c r="Z25" s="24">
        <f t="shared" si="9"/>
        <v>3.2123735871505056E-2</v>
      </c>
      <c r="AA25" s="24">
        <f t="shared" si="10"/>
        <v>5.2944675788221297E-2</v>
      </c>
      <c r="AB25" s="24" t="str">
        <f t="shared" si="11"/>
        <v/>
      </c>
    </row>
    <row r="27" spans="1:28" ht="25.5" customHeight="1" x14ac:dyDescent="0.25">
      <c r="A27" s="94" t="s">
        <v>66</v>
      </c>
      <c r="B27" s="94"/>
      <c r="C27" s="94"/>
      <c r="D27" s="94"/>
      <c r="E27" s="94"/>
      <c r="F27" s="94"/>
      <c r="G27" s="94"/>
      <c r="H27" s="27"/>
    </row>
    <row r="28" spans="1:28" ht="21.75" customHeight="1" x14ac:dyDescent="0.25">
      <c r="A28" s="28" t="s">
        <v>67</v>
      </c>
      <c r="B28" s="28" t="s">
        <v>68</v>
      </c>
      <c r="C28" s="28" t="s">
        <v>69</v>
      </c>
      <c r="D28" s="28" t="s">
        <v>70</v>
      </c>
      <c r="E28" s="28" t="s">
        <v>71</v>
      </c>
      <c r="F28" s="27"/>
      <c r="G28" s="27"/>
      <c r="H28" s="27"/>
    </row>
    <row r="29" spans="1:28" ht="21.75" customHeight="1" x14ac:dyDescent="0.25">
      <c r="A29" s="29" t="s">
        <v>72</v>
      </c>
      <c r="B29" s="30">
        <f>COUNTA(A4:A25)</f>
        <v>22</v>
      </c>
      <c r="C29" s="31"/>
      <c r="D29" s="31"/>
      <c r="E29" s="31"/>
      <c r="F29" s="27"/>
      <c r="G29" s="27"/>
      <c r="H29" s="27"/>
    </row>
    <row r="30" spans="1:28" ht="21.75" customHeight="1" x14ac:dyDescent="0.25">
      <c r="A30" s="32" t="s">
        <v>73</v>
      </c>
      <c r="B30" s="33">
        <f>COUNTA(Q4:Q25)</f>
        <v>0</v>
      </c>
      <c r="C30" s="34">
        <f>IFERROR(B30/B29,"-")</f>
        <v>0</v>
      </c>
      <c r="D30" s="34" t="str">
        <f>IFERROR(B30/(B30+B31),"-")</f>
        <v>-</v>
      </c>
      <c r="E30" s="35" t="str">
        <f>IF(B29=0,"Awaiting data",IF(B30/B29&gt;=0.6,"On Track ✓","Needs Attention ⚠"))</f>
        <v>Needs Attention ⚠</v>
      </c>
      <c r="F30" s="27"/>
      <c r="G30" s="27"/>
      <c r="H30" s="27"/>
    </row>
    <row r="31" spans="1:28" ht="21.75" customHeight="1" x14ac:dyDescent="0.25">
      <c r="A31" s="36" t="s">
        <v>74</v>
      </c>
      <c r="B31" s="37">
        <f>COUNTA(S4:S25)</f>
        <v>0</v>
      </c>
      <c r="C31" s="38">
        <f>IFERROR(B31/B29,"-")</f>
        <v>0</v>
      </c>
      <c r="D31" s="38" t="str">
        <f>IFERROR(B31/(B30+B31),"-")</f>
        <v>-</v>
      </c>
      <c r="E31" s="39" t="str">
        <f>IF(B29=0,"Awaiting data",IF(B31/B29&lt;=0.2,"Acceptable","High NTV ⚠"))</f>
        <v>Acceptable</v>
      </c>
      <c r="F31" s="27"/>
      <c r="G31" s="27"/>
      <c r="H31" s="27"/>
    </row>
    <row r="32" spans="1:28" ht="21.75" customHeight="1" x14ac:dyDescent="0.25">
      <c r="A32" s="40" t="s">
        <v>75</v>
      </c>
      <c r="B32" s="41">
        <f>COUNTA(R4:R25)</f>
        <v>0</v>
      </c>
      <c r="C32" s="42">
        <f>IFERROR(B32/B29,"-")</f>
        <v>0</v>
      </c>
      <c r="D32" s="43" t="s">
        <v>76</v>
      </c>
      <c r="E32" s="44" t="s">
        <v>77</v>
      </c>
      <c r="F32" s="27"/>
      <c r="G32" s="27"/>
      <c r="H32" s="27"/>
    </row>
    <row r="33" spans="1:8" ht="21.75" customHeight="1" x14ac:dyDescent="0.25">
      <c r="A33" s="45" t="s">
        <v>78</v>
      </c>
      <c r="B33" s="46">
        <f>MAX(0,B29-B30-B31-B32)</f>
        <v>22</v>
      </c>
      <c r="C33" s="47">
        <f>IFERROR(B33/B29,"-")</f>
        <v>1</v>
      </c>
      <c r="D33" s="48" t="s">
        <v>76</v>
      </c>
      <c r="E33" s="49" t="str">
        <f>IF(B33=0,"All accounted for ✓","Follow up needed")</f>
        <v>Follow up needed</v>
      </c>
      <c r="F33" s="27"/>
      <c r="G33" s="27"/>
      <c r="H33" s="27"/>
    </row>
    <row r="34" spans="1:8" ht="7.5" customHeight="1" thickBot="1" x14ac:dyDescent="0.3">
      <c r="A34" s="27"/>
      <c r="B34" s="27"/>
      <c r="C34" s="27"/>
      <c r="D34" s="27"/>
      <c r="E34" s="27"/>
      <c r="F34" s="27"/>
      <c r="G34" s="27"/>
      <c r="H34" s="27"/>
    </row>
    <row r="35" spans="1:8" ht="37.5" customHeight="1" thickBot="1" x14ac:dyDescent="0.3">
      <c r="A35" s="95" t="s">
        <v>79</v>
      </c>
      <c r="B35" s="95"/>
      <c r="C35" s="50">
        <f>IFERROR(B30/B29,"-")</f>
        <v>0</v>
      </c>
      <c r="D35" s="96" t="str">
        <f>IF(B29=0,"Enter resident data to calculate",IF(B30/B29&gt;=0.6,"✓ Meeting target retention","⚠ Below target — review offers"))</f>
        <v>⚠ Below target — review offers</v>
      </c>
      <c r="E35" s="96"/>
      <c r="F35" s="96"/>
      <c r="G35" s="96"/>
      <c r="H35" s="27"/>
    </row>
    <row r="36" spans="1:8" ht="25.5" customHeight="1" x14ac:dyDescent="0.25">
      <c r="A36" s="97" t="s">
        <v>80</v>
      </c>
      <c r="B36" s="97"/>
      <c r="C36" s="51" t="str">
        <f>IFERROR(B30/(B30+B31),"-")</f>
        <v>-</v>
      </c>
      <c r="D36" s="98" t="s">
        <v>81</v>
      </c>
      <c r="E36" s="98"/>
      <c r="F36" s="98"/>
      <c r="G36" s="98"/>
      <c r="H36" s="27"/>
    </row>
    <row r="37" spans="1:8" ht="18" customHeight="1" x14ac:dyDescent="0.25">
      <c r="A37" s="27"/>
      <c r="B37" s="27"/>
      <c r="C37" s="27"/>
      <c r="D37" s="27"/>
      <c r="E37" s="27"/>
      <c r="F37" s="27"/>
      <c r="G37" s="27"/>
      <c r="H37" s="27"/>
    </row>
    <row r="38" spans="1:8" ht="7.5" customHeight="1" x14ac:dyDescent="0.25">
      <c r="A38" s="27"/>
      <c r="B38" s="27"/>
      <c r="C38" s="27"/>
      <c r="D38" s="27"/>
      <c r="E38" s="27"/>
      <c r="F38" s="27"/>
      <c r="G38" s="27"/>
      <c r="H38" s="27"/>
    </row>
    <row r="39" spans="1:8" ht="21.75" customHeight="1" x14ac:dyDescent="0.25">
      <c r="A39" s="52" t="s">
        <v>82</v>
      </c>
      <c r="B39" s="27"/>
      <c r="C39" s="27"/>
      <c r="D39" s="27"/>
      <c r="E39" s="27"/>
      <c r="F39" s="27"/>
      <c r="G39" s="27"/>
      <c r="H39" s="27"/>
    </row>
    <row r="40" spans="1:8" ht="18" customHeight="1" x14ac:dyDescent="0.25">
      <c r="A40" s="53" t="s">
        <v>83</v>
      </c>
      <c r="B40" s="27"/>
      <c r="C40" s="27"/>
      <c r="D40" s="27"/>
      <c r="E40" s="27"/>
      <c r="F40" s="27"/>
      <c r="G40" s="27"/>
      <c r="H40" s="27"/>
    </row>
    <row r="41" spans="1:8" ht="18" customHeight="1" x14ac:dyDescent="0.25">
      <c r="A41" s="54" t="s">
        <v>84</v>
      </c>
      <c r="B41" s="27"/>
      <c r="C41" s="27"/>
      <c r="D41" s="27"/>
      <c r="E41" s="27"/>
      <c r="F41" s="27"/>
      <c r="G41" s="27"/>
      <c r="H41" s="27"/>
    </row>
    <row r="42" spans="1:8" ht="18" customHeight="1" x14ac:dyDescent="0.25">
      <c r="A42" s="55" t="s">
        <v>85</v>
      </c>
      <c r="B42" s="27"/>
      <c r="C42" s="27"/>
      <c r="D42" s="27"/>
      <c r="E42" s="27"/>
      <c r="F42" s="27"/>
      <c r="G42" s="27"/>
      <c r="H42" s="27"/>
    </row>
    <row r="43" spans="1:8" ht="18" customHeight="1" x14ac:dyDescent="0.25">
      <c r="A43" s="56" t="s">
        <v>86</v>
      </c>
      <c r="B43" s="27"/>
      <c r="C43" s="27"/>
      <c r="D43" s="27"/>
      <c r="E43" s="27"/>
      <c r="F43" s="27"/>
      <c r="G43" s="27"/>
      <c r="H43" s="27"/>
    </row>
    <row r="44" spans="1:8" ht="18" customHeight="1" x14ac:dyDescent="0.25">
      <c r="A44" s="57" t="s">
        <v>87</v>
      </c>
      <c r="B44" s="27"/>
      <c r="C44" s="27"/>
      <c r="D44" s="27"/>
      <c r="E44" s="27"/>
      <c r="F44" s="27"/>
      <c r="G44" s="27"/>
      <c r="H44" s="27"/>
    </row>
    <row r="45" spans="1:8" ht="15" customHeight="1" x14ac:dyDescent="0.25">
      <c r="A45" s="27"/>
      <c r="B45" s="27"/>
      <c r="C45" s="27"/>
      <c r="D45" s="27"/>
      <c r="E45" s="27"/>
      <c r="F45" s="27"/>
      <c r="G45" s="27"/>
      <c r="H45" s="27"/>
    </row>
    <row r="46" spans="1:8" ht="15" customHeight="1" x14ac:dyDescent="0.25">
      <c r="A46" s="27"/>
      <c r="B46" s="27"/>
      <c r="C46" s="27"/>
      <c r="D46" s="27"/>
      <c r="E46" s="27"/>
      <c r="F46" s="27"/>
      <c r="G46" s="27"/>
      <c r="H46" s="27"/>
    </row>
    <row r="47" spans="1:8" ht="15" customHeight="1" x14ac:dyDescent="0.25">
      <c r="A47" s="27"/>
      <c r="B47" s="27"/>
      <c r="C47" s="27"/>
      <c r="D47" s="27"/>
      <c r="E47" s="27"/>
      <c r="F47" s="27"/>
      <c r="G47" s="27"/>
      <c r="H47" s="27"/>
    </row>
    <row r="48" spans="1:8" ht="15" customHeight="1" x14ac:dyDescent="0.25">
      <c r="A48" s="27"/>
      <c r="B48" s="27"/>
      <c r="C48" s="27"/>
      <c r="D48" s="27"/>
      <c r="E48" s="27"/>
      <c r="F48" s="27"/>
      <c r="G48" s="27"/>
      <c r="H48" s="27"/>
    </row>
    <row r="49" spans="1:8" ht="15" customHeight="1" x14ac:dyDescent="0.25">
      <c r="A49" s="27"/>
      <c r="B49" s="27"/>
      <c r="C49" s="27"/>
      <c r="D49" s="27"/>
      <c r="E49" s="27"/>
      <c r="F49" s="27"/>
      <c r="G49" s="27"/>
      <c r="H49" s="27"/>
    </row>
    <row r="50" spans="1:8" ht="15" customHeight="1" x14ac:dyDescent="0.25">
      <c r="A50" s="27"/>
      <c r="B50" s="27"/>
      <c r="C50" s="27"/>
      <c r="D50" s="27"/>
      <c r="E50" s="27"/>
      <c r="F50" s="27"/>
      <c r="G50" s="27"/>
      <c r="H50" s="27"/>
    </row>
    <row r="51" spans="1:8" ht="15" customHeight="1" x14ac:dyDescent="0.25">
      <c r="A51" s="27"/>
      <c r="B51" s="27"/>
      <c r="C51" s="27"/>
      <c r="D51" s="27"/>
      <c r="E51" s="27"/>
      <c r="F51" s="27"/>
      <c r="G51" s="27"/>
      <c r="H51" s="27"/>
    </row>
  </sheetData>
  <mergeCells count="6">
    <mergeCell ref="A1:AB1"/>
    <mergeCell ref="A27:G27"/>
    <mergeCell ref="A35:B35"/>
    <mergeCell ref="D35:G35"/>
    <mergeCell ref="A36:B36"/>
    <mergeCell ref="D36:G36"/>
  </mergeCells>
  <conditionalFormatting sqref="A4:U25">
    <cfRule type="expression" dxfId="11" priority="1">
      <formula>$S4&lt;&gt;""</formula>
    </cfRule>
    <cfRule type="expression" dxfId="10" priority="2">
      <formula>$R4&lt;&gt;""</formula>
    </cfRule>
    <cfRule type="expression" dxfId="9" priority="3">
      <formula>$Q4&lt;&gt;""</formula>
    </cfRule>
  </conditionalFormatting>
  <dataValidations count="1">
    <dataValidation type="list" allowBlank="1" showInputMessage="1" showErrorMessage="1" sqref="P4:P25" xr:uid="{3FA2EA1B-7187-43EB-9450-7E199C0FD8C4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1FB9-A37E-4635-9555-A2B7CEEE1699}">
  <dimension ref="A1:AB45"/>
  <sheetViews>
    <sheetView zoomScaleNormal="100" workbookViewId="0">
      <pane ySplit="3" topLeftCell="A4" activePane="bottomLeft" state="frozen"/>
      <selection pane="bottomLeft" activeCell="A20" sqref="A20:XFD34"/>
    </sheetView>
  </sheetViews>
  <sheetFormatPr defaultColWidth="8.5703125" defaultRowHeight="15" customHeight="1" x14ac:dyDescent="0.25"/>
  <cols>
    <col min="1" max="1" width="23" customWidth="1"/>
    <col min="2" max="3" width="10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21.140625" customWidth="1"/>
    <col min="21" max="21" width="22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498</v>
      </c>
      <c r="B4" s="60" t="s">
        <v>514</v>
      </c>
      <c r="C4" s="4" t="s">
        <v>95</v>
      </c>
      <c r="D4" s="19">
        <v>46328</v>
      </c>
      <c r="E4" s="20">
        <f t="shared" ref="E4:E19" si="0">IF(D4="","",D4-90)</f>
        <v>46238</v>
      </c>
      <c r="F4" s="20">
        <f t="shared" ref="F4:F19" si="1">IF(D4="","",D4-60)</f>
        <v>46268</v>
      </c>
      <c r="G4" s="20">
        <f t="shared" ref="G4:G19" si="2">IF(D4="","",D4-30)</f>
        <v>46298</v>
      </c>
      <c r="H4" s="21">
        <v>0</v>
      </c>
      <c r="I4" s="5">
        <v>1446</v>
      </c>
      <c r="J4" s="22" t="str">
        <f t="shared" ref="J4:J19" si="3">IF(I4="","",IF(ABS(N4-W4)&lt;=ABS(M4-W4),IF(ABS(N4-W4)&lt;=ABS(O4-W4),"Offer 2","Offer 3"),IF(ABS(M4-W4)&lt;=ABS(O4-W4),"Offer 1","Offer 3")))</f>
        <v>Offer 2</v>
      </c>
      <c r="K4" s="59"/>
      <c r="L4" s="23" t="str">
        <f t="shared" ref="L4:L19" si="4">IF(OR(I4="",K4=""),"",CEILING(I4*(1+K4),5))</f>
        <v/>
      </c>
      <c r="M4" s="23">
        <f t="shared" ref="M4:M19" si="5">IF(I4="","",IF(X4="Under",CEILING(MAX(I4*1.02,MIN(V4,W4)*0.95),5),CEILING(MAX(I4*1.03,MIN(V4,W4)*0.97),5)))</f>
        <v>1475</v>
      </c>
      <c r="N4" s="23">
        <f t="shared" ref="N4:N19" si="6">IF(I4="","",IF(X4="Under",CEILING(MAX(I4*1.03,(V4+W4)/2*0.96),5),CEILING(MAX(I4*1.05,(V4+W4)/2*0.98),5)))</f>
        <v>1490</v>
      </c>
      <c r="O4" s="23">
        <f t="shared" ref="O4:O19" si="7">IF(I4="","",IF(X4="Under",CEILING(MAX(I4*1.05,MIN(V4,W4*1.01)),5),CEILING(MAX(I4*1.08,MIN(V4,W4*1.02)),5)))</f>
        <v>1520</v>
      </c>
      <c r="P4" s="4"/>
      <c r="Q4" s="4"/>
      <c r="R4" s="4"/>
      <c r="S4" s="4"/>
      <c r="T4" s="4" t="s">
        <v>530</v>
      </c>
      <c r="U4" s="4"/>
      <c r="V4" s="23">
        <f>IF(C4="","",IFERROR(VLOOKUP(C4,SETUP!$A$9:$D$24,2,0),"⚠ Check SETUP"))</f>
        <v>1595</v>
      </c>
      <c r="W4" s="23">
        <f>IF(C4="","",IFERROR(VLOOKUP(C4,SETUP!$A$9:$D$24,3,0),"⚠ Check SETUP"))</f>
        <v>1504</v>
      </c>
      <c r="X4" s="22" t="str">
        <f>IF(C4="","",IFERROR(VLOOKUP(C4,SETUP!$A$9:$D$24,4,0),"⚠ Check SETUP"))</f>
        <v>Under</v>
      </c>
      <c r="Y4" s="24">
        <f t="shared" ref="Y4:Y19" si="8">IF(OR(I4="",M4=""),"",(M4-I4)/I4)</f>
        <v>2.0055325034578148E-2</v>
      </c>
      <c r="Z4" s="24">
        <f t="shared" ref="Z4:Z19" si="9">IF(OR(I4="",N4=""),"",(N4-I4)/I4)</f>
        <v>3.0428769017980636E-2</v>
      </c>
      <c r="AA4" s="24">
        <f t="shared" ref="AA4:AA19" si="10">IF(OR(I4="",O4=""),"",(O4-I4)/I4)</f>
        <v>5.1175656984785614E-2</v>
      </c>
      <c r="AB4" s="24" t="str">
        <f t="shared" ref="AB4:AB19" si="11">IF(OR(Q4="",S4&lt;&gt;"",P4="",I4=""),"",IF(P4="Investor Override",IF(L4="","",(L4-I4)/I4),IF(P4="Offer 1",IF(M4="","",(M4-I4)/I4),IF(P4="Offer 2",IF(N4="","",(N4-I4)/I4),IF(P4="Offer 3",IF(O4="","",(O4-I4)/I4),"")))))</f>
        <v/>
      </c>
    </row>
    <row r="5" spans="1:28" ht="19.5" customHeight="1" x14ac:dyDescent="0.25">
      <c r="A5" s="6" t="s">
        <v>499</v>
      </c>
      <c r="B5" s="60" t="s">
        <v>515</v>
      </c>
      <c r="C5" s="4" t="s">
        <v>95</v>
      </c>
      <c r="D5" s="19">
        <v>46328</v>
      </c>
      <c r="E5" s="20">
        <f t="shared" si="0"/>
        <v>46238</v>
      </c>
      <c r="F5" s="20">
        <f t="shared" si="1"/>
        <v>46268</v>
      </c>
      <c r="G5" s="20">
        <f t="shared" si="2"/>
        <v>46298</v>
      </c>
      <c r="H5" s="21">
        <v>0</v>
      </c>
      <c r="I5" s="5">
        <v>1410</v>
      </c>
      <c r="J5" s="22" t="str">
        <f t="shared" si="3"/>
        <v>Offer 2</v>
      </c>
      <c r="K5" s="59"/>
      <c r="L5" s="23" t="str">
        <f t="shared" si="4"/>
        <v/>
      </c>
      <c r="M5" s="23">
        <f t="shared" si="5"/>
        <v>1440</v>
      </c>
      <c r="N5" s="23">
        <f t="shared" si="6"/>
        <v>1490</v>
      </c>
      <c r="O5" s="23">
        <f t="shared" si="7"/>
        <v>1520</v>
      </c>
      <c r="P5" s="4"/>
      <c r="Q5" s="4"/>
      <c r="R5" s="4"/>
      <c r="S5" s="4"/>
      <c r="T5" s="4" t="s">
        <v>531</v>
      </c>
      <c r="U5" s="4"/>
      <c r="V5" s="23">
        <f>IF(C5="","",IFERROR(VLOOKUP(C5,SETUP!$A$9:$D$24,2,0),"⚠ Check SETUP"))</f>
        <v>1595</v>
      </c>
      <c r="W5" s="23">
        <f>IF(C5="","",IFERROR(VLOOKUP(C5,SETUP!$A$9:$D$24,3,0),"⚠ Check SETUP"))</f>
        <v>1504</v>
      </c>
      <c r="X5" s="22" t="str">
        <f>IF(C5="","",IFERROR(VLOOKUP(C5,SETUP!$A$9:$D$24,4,0),"⚠ Check SETUP"))</f>
        <v>Under</v>
      </c>
      <c r="Y5" s="24">
        <f t="shared" si="8"/>
        <v>2.1276595744680851E-2</v>
      </c>
      <c r="Z5" s="24">
        <f t="shared" si="9"/>
        <v>5.6737588652482268E-2</v>
      </c>
      <c r="AA5" s="24">
        <f t="shared" si="10"/>
        <v>7.8014184397163122E-2</v>
      </c>
      <c r="AB5" s="24" t="str">
        <f t="shared" si="11"/>
        <v/>
      </c>
    </row>
    <row r="6" spans="1:28" ht="19.5" customHeight="1" x14ac:dyDescent="0.25">
      <c r="A6" s="6" t="s">
        <v>500</v>
      </c>
      <c r="B6" s="60" t="s">
        <v>516</v>
      </c>
      <c r="C6" s="4" t="s">
        <v>16</v>
      </c>
      <c r="D6" s="19">
        <v>46329</v>
      </c>
      <c r="E6" s="20">
        <f t="shared" si="0"/>
        <v>46239</v>
      </c>
      <c r="F6" s="20">
        <f t="shared" si="1"/>
        <v>46269</v>
      </c>
      <c r="G6" s="20">
        <f t="shared" si="2"/>
        <v>46299</v>
      </c>
      <c r="H6" s="21">
        <v>0</v>
      </c>
      <c r="I6" s="5">
        <v>2291</v>
      </c>
      <c r="J6" s="22" t="str">
        <f t="shared" si="3"/>
        <v>Offer 2</v>
      </c>
      <c r="K6" s="59"/>
      <c r="L6" s="23" t="str">
        <f t="shared" si="4"/>
        <v/>
      </c>
      <c r="M6" s="23">
        <f t="shared" si="5"/>
        <v>2340</v>
      </c>
      <c r="N6" s="23">
        <f t="shared" si="6"/>
        <v>2360</v>
      </c>
      <c r="O6" s="23">
        <f t="shared" si="7"/>
        <v>2410</v>
      </c>
      <c r="P6" s="4"/>
      <c r="Q6" s="4"/>
      <c r="R6" s="4"/>
      <c r="S6" s="4"/>
      <c r="T6" s="4" t="s">
        <v>532</v>
      </c>
      <c r="U6" s="4"/>
      <c r="V6" s="23">
        <f>IF(C6="","",IFERROR(VLOOKUP(C6,SETUP!$A$9:$D$24,2,0),"⚠ Check SETUP"))</f>
        <v>2406</v>
      </c>
      <c r="W6" s="23">
        <f>IF(C6="","",IFERROR(VLOOKUP(C6,SETUP!$A$9:$D$24,3,0),"⚠ Check SETUP"))</f>
        <v>2361</v>
      </c>
      <c r="X6" s="22" t="str">
        <f>IF(C6="","",IFERROR(VLOOKUP(C6,SETUP!$A$9:$D$24,4,0),"⚠ Check SETUP"))</f>
        <v>Under</v>
      </c>
      <c r="Y6" s="24">
        <f t="shared" si="8"/>
        <v>2.138804015713662E-2</v>
      </c>
      <c r="Z6" s="24">
        <f t="shared" si="9"/>
        <v>3.0117852466171977E-2</v>
      </c>
      <c r="AA6" s="24">
        <f t="shared" si="10"/>
        <v>5.1942383238760367E-2</v>
      </c>
      <c r="AB6" s="24" t="str">
        <f t="shared" si="11"/>
        <v/>
      </c>
    </row>
    <row r="7" spans="1:28" ht="19.5" customHeight="1" x14ac:dyDescent="0.25">
      <c r="A7" s="6" t="s">
        <v>501</v>
      </c>
      <c r="B7" s="60" t="s">
        <v>517</v>
      </c>
      <c r="C7" s="4" t="s">
        <v>97</v>
      </c>
      <c r="D7" s="19">
        <v>46331</v>
      </c>
      <c r="E7" s="20">
        <f t="shared" si="0"/>
        <v>46241</v>
      </c>
      <c r="F7" s="20">
        <f t="shared" si="1"/>
        <v>46271</v>
      </c>
      <c r="G7" s="20">
        <f t="shared" si="2"/>
        <v>46301</v>
      </c>
      <c r="H7" s="21">
        <v>1380</v>
      </c>
      <c r="I7" s="5">
        <v>1626</v>
      </c>
      <c r="J7" s="22" t="str">
        <f t="shared" si="3"/>
        <v>Offer 2</v>
      </c>
      <c r="K7" s="59"/>
      <c r="L7" s="23" t="str">
        <f t="shared" si="4"/>
        <v/>
      </c>
      <c r="M7" s="23">
        <f t="shared" si="5"/>
        <v>1660</v>
      </c>
      <c r="N7" s="23">
        <f t="shared" si="6"/>
        <v>1735</v>
      </c>
      <c r="O7" s="23">
        <f t="shared" si="7"/>
        <v>1745</v>
      </c>
      <c r="P7" s="4"/>
      <c r="Q7" s="4"/>
      <c r="R7" s="4"/>
      <c r="S7" s="4"/>
      <c r="T7" s="4" t="s">
        <v>533</v>
      </c>
      <c r="U7" s="4"/>
      <c r="V7" s="23">
        <f>IF(C7="","",IFERROR(VLOOKUP(C7,SETUP!$A$9:$D$24,2,0),"⚠ Check SETUP"))</f>
        <v>1878</v>
      </c>
      <c r="W7" s="23">
        <f>IF(C7="","",IFERROR(VLOOKUP(C7,SETUP!$A$9:$D$24,3,0),"⚠ Check SETUP"))</f>
        <v>1727</v>
      </c>
      <c r="X7" s="22" t="str">
        <f>IF(C7="","",IFERROR(VLOOKUP(C7,SETUP!$A$9:$D$24,4,0),"⚠ Check SETUP"))</f>
        <v>Under</v>
      </c>
      <c r="Y7" s="24">
        <f t="shared" si="8"/>
        <v>2.0910209102091022E-2</v>
      </c>
      <c r="Z7" s="24">
        <f t="shared" si="9"/>
        <v>6.7035670356703561E-2</v>
      </c>
      <c r="AA7" s="24">
        <f t="shared" si="10"/>
        <v>7.3185731857318567E-2</v>
      </c>
      <c r="AB7" s="24" t="str">
        <f t="shared" si="11"/>
        <v/>
      </c>
    </row>
    <row r="8" spans="1:28" ht="19.5" customHeight="1" x14ac:dyDescent="0.25">
      <c r="A8" s="6" t="s">
        <v>502</v>
      </c>
      <c r="B8" s="60" t="s">
        <v>518</v>
      </c>
      <c r="C8" s="4" t="s">
        <v>95</v>
      </c>
      <c r="D8" s="19">
        <v>46336</v>
      </c>
      <c r="E8" s="20">
        <f t="shared" si="0"/>
        <v>46246</v>
      </c>
      <c r="F8" s="20">
        <f t="shared" si="1"/>
        <v>46276</v>
      </c>
      <c r="G8" s="20">
        <f t="shared" si="2"/>
        <v>46306</v>
      </c>
      <c r="H8" s="21">
        <v>0</v>
      </c>
      <c r="I8" s="5">
        <v>1458</v>
      </c>
      <c r="J8" s="22" t="str">
        <f t="shared" si="3"/>
        <v>Offer 2</v>
      </c>
      <c r="K8" s="59"/>
      <c r="L8" s="23" t="str">
        <f t="shared" si="4"/>
        <v/>
      </c>
      <c r="M8" s="23">
        <f t="shared" si="5"/>
        <v>1490</v>
      </c>
      <c r="N8" s="23">
        <f t="shared" si="6"/>
        <v>1505</v>
      </c>
      <c r="O8" s="23">
        <f t="shared" si="7"/>
        <v>1535</v>
      </c>
      <c r="P8" s="4"/>
      <c r="Q8" s="4"/>
      <c r="R8" s="4"/>
      <c r="S8" s="4"/>
      <c r="T8" s="4" t="s">
        <v>534</v>
      </c>
      <c r="U8" s="4"/>
      <c r="V8" s="23">
        <f>IF(C8="","",IFERROR(VLOOKUP(C8,SETUP!$A$9:$D$24,2,0),"⚠ Check SETUP"))</f>
        <v>1595</v>
      </c>
      <c r="W8" s="23">
        <f>IF(C8="","",IFERROR(VLOOKUP(C8,SETUP!$A$9:$D$24,3,0),"⚠ Check SETUP"))</f>
        <v>1504</v>
      </c>
      <c r="X8" s="22" t="str">
        <f>IF(C8="","",IFERROR(VLOOKUP(C8,SETUP!$A$9:$D$24,4,0),"⚠ Check SETUP"))</f>
        <v>Under</v>
      </c>
      <c r="Y8" s="24">
        <f t="shared" si="8"/>
        <v>2.194787379972565E-2</v>
      </c>
      <c r="Z8" s="24">
        <f t="shared" si="9"/>
        <v>3.2235939643347047E-2</v>
      </c>
      <c r="AA8" s="24">
        <f t="shared" si="10"/>
        <v>5.2812071330589849E-2</v>
      </c>
      <c r="AB8" s="24" t="str">
        <f t="shared" si="11"/>
        <v/>
      </c>
    </row>
    <row r="9" spans="1:28" ht="19.5" customHeight="1" x14ac:dyDescent="0.25">
      <c r="A9" s="6" t="s">
        <v>503</v>
      </c>
      <c r="B9" s="60" t="s">
        <v>519</v>
      </c>
      <c r="C9" s="4" t="s">
        <v>95</v>
      </c>
      <c r="D9" s="19">
        <v>46340</v>
      </c>
      <c r="E9" s="20">
        <f t="shared" si="0"/>
        <v>46250</v>
      </c>
      <c r="F9" s="20">
        <f t="shared" si="1"/>
        <v>46280</v>
      </c>
      <c r="G9" s="20">
        <f t="shared" si="2"/>
        <v>46310</v>
      </c>
      <c r="H9" s="21">
        <v>0</v>
      </c>
      <c r="I9" s="5">
        <v>1476</v>
      </c>
      <c r="J9" s="22" t="str">
        <f t="shared" si="3"/>
        <v>Offer 1</v>
      </c>
      <c r="K9" s="59"/>
      <c r="L9" s="23" t="str">
        <f t="shared" si="4"/>
        <v/>
      </c>
      <c r="M9" s="23">
        <f t="shared" si="5"/>
        <v>1510</v>
      </c>
      <c r="N9" s="23">
        <f t="shared" si="6"/>
        <v>1525</v>
      </c>
      <c r="O9" s="23">
        <f t="shared" si="7"/>
        <v>1550</v>
      </c>
      <c r="P9" s="4"/>
      <c r="Q9" s="4"/>
      <c r="R9" s="4"/>
      <c r="S9" s="4"/>
      <c r="T9" s="4" t="s">
        <v>535</v>
      </c>
      <c r="U9" s="4"/>
      <c r="V9" s="23">
        <f>IF(C9="","",IFERROR(VLOOKUP(C9,SETUP!$A$9:$D$24,2,0),"⚠ Check SETUP"))</f>
        <v>1595</v>
      </c>
      <c r="W9" s="23">
        <f>IF(C9="","",IFERROR(VLOOKUP(C9,SETUP!$A$9:$D$24,3,0),"⚠ Check SETUP"))</f>
        <v>1504</v>
      </c>
      <c r="X9" s="22" t="str">
        <f>IF(C9="","",IFERROR(VLOOKUP(C9,SETUP!$A$9:$D$24,4,0),"⚠ Check SETUP"))</f>
        <v>Under</v>
      </c>
      <c r="Y9" s="24">
        <f t="shared" si="8"/>
        <v>2.3035230352303523E-2</v>
      </c>
      <c r="Z9" s="24">
        <f t="shared" si="9"/>
        <v>3.3197831978319783E-2</v>
      </c>
      <c r="AA9" s="24">
        <f t="shared" si="10"/>
        <v>5.0135501355013552E-2</v>
      </c>
      <c r="AB9" s="24" t="str">
        <f t="shared" si="11"/>
        <v/>
      </c>
    </row>
    <row r="10" spans="1:28" ht="19.5" customHeight="1" x14ac:dyDescent="0.25">
      <c r="A10" s="6" t="s">
        <v>504</v>
      </c>
      <c r="B10" s="60" t="s">
        <v>520</v>
      </c>
      <c r="C10" s="4" t="s">
        <v>96</v>
      </c>
      <c r="D10" s="19">
        <v>46341</v>
      </c>
      <c r="E10" s="20">
        <f t="shared" si="0"/>
        <v>46251</v>
      </c>
      <c r="F10" s="20">
        <f t="shared" si="1"/>
        <v>46281</v>
      </c>
      <c r="G10" s="20">
        <f t="shared" si="2"/>
        <v>46311</v>
      </c>
      <c r="H10" s="21">
        <v>0</v>
      </c>
      <c r="I10" s="5">
        <v>1370</v>
      </c>
      <c r="J10" s="22" t="str">
        <f t="shared" si="3"/>
        <v>Offer 3</v>
      </c>
      <c r="K10" s="59"/>
      <c r="L10" s="23" t="str">
        <f t="shared" si="4"/>
        <v/>
      </c>
      <c r="M10" s="23">
        <f t="shared" si="5"/>
        <v>1435</v>
      </c>
      <c r="N10" s="23">
        <f t="shared" si="6"/>
        <v>1605</v>
      </c>
      <c r="O10" s="23">
        <f t="shared" si="7"/>
        <v>1510</v>
      </c>
      <c r="P10" s="4"/>
      <c r="Q10" s="4"/>
      <c r="R10" s="4"/>
      <c r="S10" s="4"/>
      <c r="T10" s="4" t="s">
        <v>536</v>
      </c>
      <c r="U10" s="4"/>
      <c r="V10" s="23">
        <f>IF(C10="","",IFERROR(VLOOKUP(C10,SETUP!$A$9:$D$24,2,0),"⚠ Check SETUP"))</f>
        <v>1795</v>
      </c>
      <c r="W10" s="23">
        <f>IF(C10="","",IFERROR(VLOOKUP(C10,SETUP!$A$9:$D$24,3,0),"⚠ Check SETUP"))</f>
        <v>1476</v>
      </c>
      <c r="X10" s="22" t="str">
        <f>IF(C10="","",IFERROR(VLOOKUP(C10,SETUP!$A$9:$D$24,4,0),"⚠ Check SETUP"))</f>
        <v>Over</v>
      </c>
      <c r="Y10" s="24">
        <f t="shared" si="8"/>
        <v>4.7445255474452552E-2</v>
      </c>
      <c r="Z10" s="24">
        <f t="shared" si="9"/>
        <v>0.17153284671532848</v>
      </c>
      <c r="AA10" s="24">
        <f t="shared" si="10"/>
        <v>0.10218978102189781</v>
      </c>
      <c r="AB10" s="24" t="str">
        <f t="shared" si="11"/>
        <v/>
      </c>
    </row>
    <row r="11" spans="1:28" ht="19.5" customHeight="1" x14ac:dyDescent="0.25">
      <c r="A11" s="6" t="s">
        <v>505</v>
      </c>
      <c r="B11" s="60" t="s">
        <v>521</v>
      </c>
      <c r="C11" s="4" t="s">
        <v>102</v>
      </c>
      <c r="D11" s="19">
        <v>46343</v>
      </c>
      <c r="E11" s="20">
        <f t="shared" si="0"/>
        <v>46253</v>
      </c>
      <c r="F11" s="20">
        <f t="shared" si="1"/>
        <v>46283</v>
      </c>
      <c r="G11" s="20">
        <f t="shared" si="2"/>
        <v>46313</v>
      </c>
      <c r="H11" s="21">
        <v>1705</v>
      </c>
      <c r="I11" s="5">
        <v>1705</v>
      </c>
      <c r="J11" s="22" t="str">
        <f t="shared" si="3"/>
        <v>Offer 2</v>
      </c>
      <c r="K11" s="59"/>
      <c r="L11" s="23" t="str">
        <f t="shared" si="4"/>
        <v/>
      </c>
      <c r="M11" s="23">
        <f t="shared" si="5"/>
        <v>1790</v>
      </c>
      <c r="N11" s="23">
        <f t="shared" si="6"/>
        <v>1860</v>
      </c>
      <c r="O11" s="23">
        <f t="shared" si="7"/>
        <v>1885</v>
      </c>
      <c r="P11" s="4"/>
      <c r="Q11" s="4"/>
      <c r="R11" s="4"/>
      <c r="S11" s="4"/>
      <c r="T11" s="4" t="s">
        <v>537</v>
      </c>
      <c r="U11" s="4"/>
      <c r="V11" s="23">
        <f>IF(C11="","",IFERROR(VLOOKUP(C11,SETUP!$A$9:$D$24,2,0),"⚠ Check SETUP"))</f>
        <v>1942</v>
      </c>
      <c r="W11" s="23">
        <f>IF(C11="","",IFERROR(VLOOKUP(C11,SETUP!$A$9:$D$24,3,0),"⚠ Check SETUP"))</f>
        <v>1845</v>
      </c>
      <c r="X11" s="22" t="str">
        <f>IF(C11="","",IFERROR(VLOOKUP(C11,SETUP!$A$9:$D$24,4,0),"⚠ Check SETUP"))</f>
        <v>Over</v>
      </c>
      <c r="Y11" s="24">
        <f t="shared" si="8"/>
        <v>4.9853372434017593E-2</v>
      </c>
      <c r="Z11" s="24">
        <f t="shared" si="9"/>
        <v>9.0909090909090912E-2</v>
      </c>
      <c r="AA11" s="24">
        <f t="shared" si="10"/>
        <v>0.10557184750733138</v>
      </c>
      <c r="AB11" s="24" t="str">
        <f t="shared" si="11"/>
        <v/>
      </c>
    </row>
    <row r="12" spans="1:28" ht="19.5" customHeight="1" x14ac:dyDescent="0.25">
      <c r="A12" s="6" t="s">
        <v>506</v>
      </c>
      <c r="B12" s="60" t="s">
        <v>522</v>
      </c>
      <c r="C12" s="4" t="s">
        <v>13</v>
      </c>
      <c r="D12" s="19">
        <v>46345</v>
      </c>
      <c r="E12" s="20">
        <f t="shared" si="0"/>
        <v>46255</v>
      </c>
      <c r="F12" s="20">
        <f t="shared" si="1"/>
        <v>46285</v>
      </c>
      <c r="G12" s="20">
        <f t="shared" si="2"/>
        <v>46315</v>
      </c>
      <c r="H12" s="21">
        <v>1699</v>
      </c>
      <c r="I12" s="5">
        <v>1699</v>
      </c>
      <c r="J12" s="22" t="str">
        <f t="shared" si="3"/>
        <v>Offer 2</v>
      </c>
      <c r="K12" s="59"/>
      <c r="L12" s="23" t="str">
        <f t="shared" si="4"/>
        <v/>
      </c>
      <c r="M12" s="23">
        <f t="shared" si="5"/>
        <v>1735</v>
      </c>
      <c r="N12" s="23">
        <f t="shared" si="6"/>
        <v>1750</v>
      </c>
      <c r="O12" s="23">
        <f t="shared" si="7"/>
        <v>1785</v>
      </c>
      <c r="P12" s="4"/>
      <c r="Q12" s="4"/>
      <c r="R12" s="4"/>
      <c r="S12" s="4"/>
      <c r="T12" s="4" t="s">
        <v>538</v>
      </c>
      <c r="U12" s="4"/>
      <c r="V12" s="23">
        <f>IF(C12="","",IFERROR(VLOOKUP(C12,SETUP!$A$9:$D$24,2,0),"⚠ Check SETUP"))</f>
        <v>1809</v>
      </c>
      <c r="W12" s="23">
        <f>IF(C12="","",IFERROR(VLOOKUP(C12,SETUP!$A$9:$D$24,3,0),"⚠ Check SETUP"))</f>
        <v>1764</v>
      </c>
      <c r="X12" s="22" t="str">
        <f>IF(C12="","",IFERROR(VLOOKUP(C12,SETUP!$A$9:$D$24,4,0),"⚠ Check SETUP"))</f>
        <v>Under</v>
      </c>
      <c r="Y12" s="24">
        <f t="shared" si="8"/>
        <v>2.1188934667451441E-2</v>
      </c>
      <c r="Z12" s="24">
        <f t="shared" si="9"/>
        <v>3.001765744555621E-2</v>
      </c>
      <c r="AA12" s="24">
        <f t="shared" si="10"/>
        <v>5.0618010594467334E-2</v>
      </c>
      <c r="AB12" s="24" t="str">
        <f t="shared" si="11"/>
        <v/>
      </c>
    </row>
    <row r="13" spans="1:28" ht="19.5" customHeight="1" x14ac:dyDescent="0.25">
      <c r="A13" s="6" t="s">
        <v>507</v>
      </c>
      <c r="B13" s="60" t="s">
        <v>523</v>
      </c>
      <c r="C13" s="4" t="s">
        <v>104</v>
      </c>
      <c r="D13" s="19">
        <v>46347</v>
      </c>
      <c r="E13" s="20">
        <f t="shared" si="0"/>
        <v>46257</v>
      </c>
      <c r="F13" s="20">
        <f t="shared" si="1"/>
        <v>46287</v>
      </c>
      <c r="G13" s="20">
        <f t="shared" si="2"/>
        <v>46317</v>
      </c>
      <c r="H13" s="21">
        <v>0</v>
      </c>
      <c r="I13" s="5">
        <v>1768</v>
      </c>
      <c r="J13" s="22" t="str">
        <f t="shared" si="3"/>
        <v>Offer 1</v>
      </c>
      <c r="K13" s="59"/>
      <c r="L13" s="23" t="str">
        <f t="shared" si="4"/>
        <v/>
      </c>
      <c r="M13" s="23">
        <f t="shared" si="5"/>
        <v>1805</v>
      </c>
      <c r="N13" s="23">
        <f t="shared" si="6"/>
        <v>1825</v>
      </c>
      <c r="O13" s="23">
        <f t="shared" si="7"/>
        <v>1860</v>
      </c>
      <c r="P13" s="4"/>
      <c r="Q13" s="4"/>
      <c r="R13" s="4"/>
      <c r="S13" s="4"/>
      <c r="T13" s="4" t="s">
        <v>539</v>
      </c>
      <c r="U13" s="4"/>
      <c r="V13" s="23">
        <f>IF(C13="","",IFERROR(VLOOKUP(C13,SETUP!$A$9:$D$24,2,0),"⚠ Check SETUP"))</f>
        <v>1880</v>
      </c>
      <c r="W13" s="23">
        <f>IF(C13="","",IFERROR(VLOOKUP(C13,SETUP!$A$9:$D$24,3,0),"⚠ Check SETUP"))</f>
        <v>1789</v>
      </c>
      <c r="X13" s="22" t="str">
        <f>IF(C13="","",IFERROR(VLOOKUP(C13,SETUP!$A$9:$D$24,4,0),"⚠ Check SETUP"))</f>
        <v>Under</v>
      </c>
      <c r="Y13" s="24">
        <f t="shared" si="8"/>
        <v>2.092760180995475E-2</v>
      </c>
      <c r="Z13" s="24">
        <f t="shared" si="9"/>
        <v>3.223981900452489E-2</v>
      </c>
      <c r="AA13" s="24">
        <f t="shared" si="10"/>
        <v>5.2036199095022627E-2</v>
      </c>
      <c r="AB13" s="24" t="str">
        <f t="shared" si="11"/>
        <v/>
      </c>
    </row>
    <row r="14" spans="1:28" ht="19.5" customHeight="1" x14ac:dyDescent="0.25">
      <c r="A14" s="6" t="s">
        <v>508</v>
      </c>
      <c r="B14" s="60" t="s">
        <v>524</v>
      </c>
      <c r="C14" s="4" t="s">
        <v>98</v>
      </c>
      <c r="D14" s="19">
        <v>46347</v>
      </c>
      <c r="E14" s="20">
        <f t="shared" si="0"/>
        <v>46257</v>
      </c>
      <c r="F14" s="20">
        <f t="shared" si="1"/>
        <v>46287</v>
      </c>
      <c r="G14" s="20">
        <f t="shared" si="2"/>
        <v>46317</v>
      </c>
      <c r="H14" s="21">
        <v>0</v>
      </c>
      <c r="I14" s="5">
        <v>1369</v>
      </c>
      <c r="J14" s="22" t="str">
        <f t="shared" si="3"/>
        <v>Offer 1</v>
      </c>
      <c r="K14" s="59"/>
      <c r="L14" s="23" t="str">
        <f t="shared" si="4"/>
        <v/>
      </c>
      <c r="M14" s="23">
        <f t="shared" si="5"/>
        <v>1415</v>
      </c>
      <c r="N14" s="23">
        <f t="shared" si="6"/>
        <v>1440</v>
      </c>
      <c r="O14" s="23">
        <f t="shared" si="7"/>
        <v>1480</v>
      </c>
      <c r="P14" s="4"/>
      <c r="Q14" s="4"/>
      <c r="R14" s="4"/>
      <c r="S14" s="4"/>
      <c r="T14" s="4" t="s">
        <v>540</v>
      </c>
      <c r="U14" s="4"/>
      <c r="V14" s="23">
        <f>IF(C14="","",IFERROR(VLOOKUP(C14,SETUP!$A$9:$D$24,2,0),"⚠ Check SETUP"))</f>
        <v>1421</v>
      </c>
      <c r="W14" s="23">
        <f>IF(C14="","",IFERROR(VLOOKUP(C14,SETUP!$A$9:$D$24,3,0),"⚠ Check SETUP"))</f>
        <v>1424</v>
      </c>
      <c r="X14" s="22" t="str">
        <f>IF(C14="","",IFERROR(VLOOKUP(C14,SETUP!$A$9:$D$24,4,0),"⚠ Check SETUP"))</f>
        <v>Over</v>
      </c>
      <c r="Y14" s="24">
        <f t="shared" si="8"/>
        <v>3.3601168736303873E-2</v>
      </c>
      <c r="Z14" s="24">
        <f t="shared" si="9"/>
        <v>5.1862673484295109E-2</v>
      </c>
      <c r="AA14" s="24">
        <f t="shared" si="10"/>
        <v>8.1081081081081086E-2</v>
      </c>
      <c r="AB14" s="24" t="str">
        <f t="shared" si="11"/>
        <v/>
      </c>
    </row>
    <row r="15" spans="1:28" ht="19.5" customHeight="1" x14ac:dyDescent="0.25">
      <c r="A15" s="6" t="s">
        <v>509</v>
      </c>
      <c r="B15" s="60" t="s">
        <v>525</v>
      </c>
      <c r="C15" s="4" t="s">
        <v>98</v>
      </c>
      <c r="D15" s="19">
        <v>46348</v>
      </c>
      <c r="E15" s="20">
        <f t="shared" si="0"/>
        <v>46258</v>
      </c>
      <c r="F15" s="20">
        <f t="shared" si="1"/>
        <v>46288</v>
      </c>
      <c r="G15" s="20">
        <f t="shared" si="2"/>
        <v>46318</v>
      </c>
      <c r="H15" s="21">
        <v>0</v>
      </c>
      <c r="I15" s="5">
        <v>1379</v>
      </c>
      <c r="J15" s="22" t="str">
        <f t="shared" si="3"/>
        <v>Offer 1</v>
      </c>
      <c r="K15" s="59"/>
      <c r="L15" s="23" t="str">
        <f t="shared" si="4"/>
        <v/>
      </c>
      <c r="M15" s="23">
        <f t="shared" si="5"/>
        <v>1425</v>
      </c>
      <c r="N15" s="23">
        <f t="shared" si="6"/>
        <v>1450</v>
      </c>
      <c r="O15" s="23">
        <f t="shared" si="7"/>
        <v>1490</v>
      </c>
      <c r="P15" s="4"/>
      <c r="Q15" s="4"/>
      <c r="R15" s="4"/>
      <c r="S15" s="4"/>
      <c r="T15" s="4" t="s">
        <v>541</v>
      </c>
      <c r="U15" s="4"/>
      <c r="V15" s="23">
        <f>IF(C15="","",IFERROR(VLOOKUP(C15,SETUP!$A$9:$D$24,2,0),"⚠ Check SETUP"))</f>
        <v>1421</v>
      </c>
      <c r="W15" s="23">
        <f>IF(C15="","",IFERROR(VLOOKUP(C15,SETUP!$A$9:$D$24,3,0),"⚠ Check SETUP"))</f>
        <v>1424</v>
      </c>
      <c r="X15" s="22" t="str">
        <f>IF(C15="","",IFERROR(VLOOKUP(C15,SETUP!$A$9:$D$24,4,0),"⚠ Check SETUP"))</f>
        <v>Over</v>
      </c>
      <c r="Y15" s="24">
        <f t="shared" si="8"/>
        <v>3.3357505438723713E-2</v>
      </c>
      <c r="Z15" s="24">
        <f t="shared" si="9"/>
        <v>5.1486584481508342E-2</v>
      </c>
      <c r="AA15" s="24">
        <f t="shared" si="10"/>
        <v>8.0493110949963739E-2</v>
      </c>
      <c r="AB15" s="24" t="str">
        <f t="shared" si="11"/>
        <v/>
      </c>
    </row>
    <row r="16" spans="1:28" ht="19.5" customHeight="1" x14ac:dyDescent="0.25">
      <c r="A16" s="6" t="s">
        <v>510</v>
      </c>
      <c r="B16" s="60" t="s">
        <v>526</v>
      </c>
      <c r="C16" s="4" t="s">
        <v>100</v>
      </c>
      <c r="D16" s="19">
        <v>46354</v>
      </c>
      <c r="E16" s="20">
        <f t="shared" si="0"/>
        <v>46264</v>
      </c>
      <c r="F16" s="20">
        <f t="shared" si="1"/>
        <v>46294</v>
      </c>
      <c r="G16" s="20">
        <f t="shared" si="2"/>
        <v>46324</v>
      </c>
      <c r="H16" s="21">
        <v>500</v>
      </c>
      <c r="I16" s="5">
        <v>1719</v>
      </c>
      <c r="J16" s="22" t="str">
        <f t="shared" si="3"/>
        <v>Offer 3</v>
      </c>
      <c r="K16" s="59"/>
      <c r="L16" s="23" t="str">
        <f t="shared" si="4"/>
        <v/>
      </c>
      <c r="M16" s="23">
        <f t="shared" si="5"/>
        <v>1755</v>
      </c>
      <c r="N16" s="23">
        <f t="shared" si="6"/>
        <v>1775</v>
      </c>
      <c r="O16" s="23">
        <f t="shared" si="7"/>
        <v>1805</v>
      </c>
      <c r="P16" s="4"/>
      <c r="Q16" s="4"/>
      <c r="R16" s="4"/>
      <c r="S16" s="4"/>
      <c r="T16" s="4" t="s">
        <v>542</v>
      </c>
      <c r="U16" s="4"/>
      <c r="V16" s="23">
        <f>IF(C16="","",IFERROR(VLOOKUP(C16,SETUP!$A$9:$D$24,2,0),"⚠ Check SETUP"))</f>
        <v>1595</v>
      </c>
      <c r="W16" s="23">
        <f>IF(C16="","",IFERROR(VLOOKUP(C16,SETUP!$A$9:$D$24,3,0),"⚠ Check SETUP"))</f>
        <v>1806</v>
      </c>
      <c r="X16" s="22" t="str">
        <f>IF(C16="","",IFERROR(VLOOKUP(C16,SETUP!$A$9:$D$24,4,0),"⚠ Check SETUP"))</f>
        <v>Under</v>
      </c>
      <c r="Y16" s="24">
        <f t="shared" si="8"/>
        <v>2.0942408376963352E-2</v>
      </c>
      <c r="Z16" s="24">
        <f t="shared" si="9"/>
        <v>3.2577079697498547E-2</v>
      </c>
      <c r="AA16" s="24">
        <f t="shared" si="10"/>
        <v>5.0029086678301339E-2</v>
      </c>
      <c r="AB16" s="24" t="str">
        <f t="shared" si="11"/>
        <v/>
      </c>
    </row>
    <row r="17" spans="1:28" ht="19.5" customHeight="1" x14ac:dyDescent="0.25">
      <c r="A17" s="6" t="s">
        <v>511</v>
      </c>
      <c r="B17" s="60" t="s">
        <v>527</v>
      </c>
      <c r="C17" s="4" t="s">
        <v>101</v>
      </c>
      <c r="D17" s="19">
        <v>46355</v>
      </c>
      <c r="E17" s="20">
        <f t="shared" si="0"/>
        <v>46265</v>
      </c>
      <c r="F17" s="20">
        <f t="shared" si="1"/>
        <v>46295</v>
      </c>
      <c r="G17" s="20">
        <f t="shared" si="2"/>
        <v>46325</v>
      </c>
      <c r="H17" s="21">
        <v>1930</v>
      </c>
      <c r="I17" s="5">
        <v>1930</v>
      </c>
      <c r="J17" s="22" t="str">
        <f t="shared" si="3"/>
        <v>Offer 1</v>
      </c>
      <c r="K17" s="59"/>
      <c r="L17" s="23" t="str">
        <f t="shared" si="4"/>
        <v/>
      </c>
      <c r="M17" s="23">
        <f t="shared" si="5"/>
        <v>1970</v>
      </c>
      <c r="N17" s="23">
        <f t="shared" si="6"/>
        <v>1990</v>
      </c>
      <c r="O17" s="23">
        <f t="shared" si="7"/>
        <v>2030</v>
      </c>
      <c r="P17" s="4"/>
      <c r="Q17" s="4"/>
      <c r="R17" s="4"/>
      <c r="S17" s="4"/>
      <c r="T17" s="4" t="s">
        <v>543</v>
      </c>
      <c r="U17" s="4"/>
      <c r="V17" s="23">
        <f>IF(C17="","",IFERROR(VLOOKUP(C17,SETUP!$A$9:$D$24,2,0),"⚠ Check SETUP"))</f>
        <v>1880</v>
      </c>
      <c r="W17" s="23">
        <f>IF(C17="","",IFERROR(VLOOKUP(C17,SETUP!$A$9:$D$24,3,0),"⚠ Check SETUP"))</f>
        <v>1976</v>
      </c>
      <c r="X17" s="22" t="str">
        <f>IF(C17="","",IFERROR(VLOOKUP(C17,SETUP!$A$9:$D$24,4,0),"⚠ Check SETUP"))</f>
        <v>Under</v>
      </c>
      <c r="Y17" s="24">
        <f t="shared" si="8"/>
        <v>2.072538860103627E-2</v>
      </c>
      <c r="Z17" s="24">
        <f t="shared" si="9"/>
        <v>3.1088082901554404E-2</v>
      </c>
      <c r="AA17" s="24">
        <f t="shared" si="10"/>
        <v>5.181347150259067E-2</v>
      </c>
      <c r="AB17" s="24" t="str">
        <f t="shared" si="11"/>
        <v/>
      </c>
    </row>
    <row r="18" spans="1:28" ht="19.5" customHeight="1" x14ac:dyDescent="0.25">
      <c r="A18" s="6" t="s">
        <v>512</v>
      </c>
      <c r="B18" s="60" t="s">
        <v>528</v>
      </c>
      <c r="C18" s="4" t="s">
        <v>95</v>
      </c>
      <c r="D18" s="19">
        <v>46355</v>
      </c>
      <c r="E18" s="20">
        <f t="shared" si="0"/>
        <v>46265</v>
      </c>
      <c r="F18" s="20">
        <f t="shared" si="1"/>
        <v>46295</v>
      </c>
      <c r="G18" s="20">
        <f t="shared" si="2"/>
        <v>46325</v>
      </c>
      <c r="H18" s="21">
        <v>0</v>
      </c>
      <c r="I18" s="5">
        <v>1509</v>
      </c>
      <c r="J18" s="22" t="str">
        <f t="shared" si="3"/>
        <v>Offer 1</v>
      </c>
      <c r="K18" s="59"/>
      <c r="L18" s="23" t="str">
        <f t="shared" si="4"/>
        <v/>
      </c>
      <c r="M18" s="23">
        <f t="shared" si="5"/>
        <v>1540</v>
      </c>
      <c r="N18" s="23">
        <f t="shared" si="6"/>
        <v>1555</v>
      </c>
      <c r="O18" s="23">
        <f t="shared" si="7"/>
        <v>1585</v>
      </c>
      <c r="P18" s="4"/>
      <c r="Q18" s="4"/>
      <c r="R18" s="4"/>
      <c r="S18" s="4"/>
      <c r="T18" s="4" t="s">
        <v>544</v>
      </c>
      <c r="U18" s="4"/>
      <c r="V18" s="23">
        <f>IF(C18="","",IFERROR(VLOOKUP(C18,SETUP!$A$9:$D$24,2,0),"⚠ Check SETUP"))</f>
        <v>1595</v>
      </c>
      <c r="W18" s="23">
        <f>IF(C18="","",IFERROR(VLOOKUP(C18,SETUP!$A$9:$D$24,3,0),"⚠ Check SETUP"))</f>
        <v>1504</v>
      </c>
      <c r="X18" s="22" t="str">
        <f>IF(C18="","",IFERROR(VLOOKUP(C18,SETUP!$A$9:$D$24,4,0),"⚠ Check SETUP"))</f>
        <v>Under</v>
      </c>
      <c r="Y18" s="24">
        <f t="shared" si="8"/>
        <v>2.054340622929092E-2</v>
      </c>
      <c r="Z18" s="24">
        <f t="shared" si="9"/>
        <v>3.0483764082173626E-2</v>
      </c>
      <c r="AA18" s="24">
        <f t="shared" si="10"/>
        <v>5.036447978793903E-2</v>
      </c>
      <c r="AB18" s="24" t="str">
        <f t="shared" si="11"/>
        <v/>
      </c>
    </row>
    <row r="19" spans="1:28" ht="19.5" customHeight="1" x14ac:dyDescent="0.25">
      <c r="A19" s="6" t="s">
        <v>513</v>
      </c>
      <c r="B19" s="60" t="s">
        <v>529</v>
      </c>
      <c r="C19" s="4" t="s">
        <v>95</v>
      </c>
      <c r="D19" s="19">
        <v>46355</v>
      </c>
      <c r="E19" s="20">
        <f t="shared" si="0"/>
        <v>46265</v>
      </c>
      <c r="F19" s="20">
        <f t="shared" si="1"/>
        <v>46295</v>
      </c>
      <c r="G19" s="20">
        <f t="shared" si="2"/>
        <v>46325</v>
      </c>
      <c r="H19" s="21">
        <v>0</v>
      </c>
      <c r="I19" s="5">
        <v>1436</v>
      </c>
      <c r="J19" s="22" t="str">
        <f t="shared" si="3"/>
        <v>Offer 2</v>
      </c>
      <c r="K19" s="59"/>
      <c r="L19" s="23" t="str">
        <f t="shared" si="4"/>
        <v/>
      </c>
      <c r="M19" s="23">
        <f t="shared" si="5"/>
        <v>1465</v>
      </c>
      <c r="N19" s="23">
        <f t="shared" si="6"/>
        <v>1490</v>
      </c>
      <c r="O19" s="23">
        <f t="shared" si="7"/>
        <v>1520</v>
      </c>
      <c r="P19" s="4"/>
      <c r="Q19" s="4"/>
      <c r="R19" s="4"/>
      <c r="S19" s="4"/>
      <c r="T19" s="4" t="s">
        <v>545</v>
      </c>
      <c r="U19" s="4"/>
      <c r="V19" s="23">
        <f>IF(C19="","",IFERROR(VLOOKUP(C19,SETUP!$A$9:$D$24,2,0),"⚠ Check SETUP"))</f>
        <v>1595</v>
      </c>
      <c r="W19" s="23">
        <f>IF(C19="","",IFERROR(VLOOKUP(C19,SETUP!$A$9:$D$24,3,0),"⚠ Check SETUP"))</f>
        <v>1504</v>
      </c>
      <c r="X19" s="22" t="str">
        <f>IF(C19="","",IFERROR(VLOOKUP(C19,SETUP!$A$9:$D$24,4,0),"⚠ Check SETUP"))</f>
        <v>Under</v>
      </c>
      <c r="Y19" s="24">
        <f t="shared" si="8"/>
        <v>2.0194986072423399E-2</v>
      </c>
      <c r="Z19" s="24">
        <f t="shared" si="9"/>
        <v>3.7604456824512536E-2</v>
      </c>
      <c r="AA19" s="24">
        <f t="shared" si="10"/>
        <v>5.8495821727019497E-2</v>
      </c>
      <c r="AB19" s="24" t="str">
        <f t="shared" si="11"/>
        <v/>
      </c>
    </row>
    <row r="21" spans="1:28" ht="25.5" customHeight="1" x14ac:dyDescent="0.25">
      <c r="A21" s="94" t="s">
        <v>66</v>
      </c>
      <c r="B21" s="94"/>
      <c r="C21" s="94"/>
      <c r="D21" s="94"/>
      <c r="E21" s="94"/>
      <c r="F21" s="94"/>
      <c r="G21" s="94"/>
      <c r="H21" s="27"/>
    </row>
    <row r="22" spans="1:28" ht="21.75" customHeight="1" x14ac:dyDescent="0.25">
      <c r="A22" s="28" t="s">
        <v>67</v>
      </c>
      <c r="B22" s="28" t="s">
        <v>68</v>
      </c>
      <c r="C22" s="28" t="s">
        <v>69</v>
      </c>
      <c r="D22" s="28" t="s">
        <v>70</v>
      </c>
      <c r="E22" s="28" t="s">
        <v>71</v>
      </c>
      <c r="F22" s="27"/>
      <c r="G22" s="27"/>
      <c r="H22" s="27"/>
    </row>
    <row r="23" spans="1:28" ht="21.75" customHeight="1" x14ac:dyDescent="0.25">
      <c r="A23" s="29" t="s">
        <v>72</v>
      </c>
      <c r="B23" s="30">
        <f>COUNTA(A4:A19)</f>
        <v>16</v>
      </c>
      <c r="C23" s="31"/>
      <c r="D23" s="31"/>
      <c r="E23" s="31"/>
      <c r="F23" s="27"/>
      <c r="G23" s="27"/>
      <c r="H23" s="27"/>
    </row>
    <row r="24" spans="1:28" ht="21.75" customHeight="1" x14ac:dyDescent="0.25">
      <c r="A24" s="32" t="s">
        <v>73</v>
      </c>
      <c r="B24" s="33">
        <f>COUNTA(Q4:Q19)</f>
        <v>0</v>
      </c>
      <c r="C24" s="34">
        <f>IFERROR(B24/B23,"-")</f>
        <v>0</v>
      </c>
      <c r="D24" s="34" t="str">
        <f>IFERROR(B24/(B24+B25),"-")</f>
        <v>-</v>
      </c>
      <c r="E24" s="35" t="str">
        <f>IF(B23=0,"Awaiting data",IF(B24/B23&gt;=0.6,"On Track ✓","Needs Attention ⚠"))</f>
        <v>Needs Attention ⚠</v>
      </c>
      <c r="F24" s="27"/>
      <c r="G24" s="27"/>
      <c r="H24" s="27"/>
    </row>
    <row r="25" spans="1:28" ht="21.75" customHeight="1" x14ac:dyDescent="0.25">
      <c r="A25" s="36" t="s">
        <v>74</v>
      </c>
      <c r="B25" s="37">
        <f>COUNTA(S4:S19)</f>
        <v>0</v>
      </c>
      <c r="C25" s="38">
        <f>IFERROR(B25/B23,"-")</f>
        <v>0</v>
      </c>
      <c r="D25" s="38" t="str">
        <f>IFERROR(B25/(B24+B25),"-")</f>
        <v>-</v>
      </c>
      <c r="E25" s="39" t="str">
        <f>IF(B23=0,"Awaiting data",IF(B25/B23&lt;=0.2,"Acceptable","High NTV ⚠"))</f>
        <v>Acceptable</v>
      </c>
      <c r="F25" s="27"/>
      <c r="G25" s="27"/>
      <c r="H25" s="27"/>
    </row>
    <row r="26" spans="1:28" ht="21.75" customHeight="1" x14ac:dyDescent="0.25">
      <c r="A26" s="40" t="s">
        <v>75</v>
      </c>
      <c r="B26" s="41">
        <f>COUNTA(R4:R19)</f>
        <v>0</v>
      </c>
      <c r="C26" s="42">
        <f>IFERROR(B26/B23,"-")</f>
        <v>0</v>
      </c>
      <c r="D26" s="43" t="s">
        <v>76</v>
      </c>
      <c r="E26" s="44" t="s">
        <v>77</v>
      </c>
      <c r="F26" s="27"/>
      <c r="G26" s="27"/>
      <c r="H26" s="27"/>
    </row>
    <row r="27" spans="1:28" ht="21.75" customHeight="1" x14ac:dyDescent="0.25">
      <c r="A27" s="45" t="s">
        <v>78</v>
      </c>
      <c r="B27" s="46">
        <f>MAX(0,B23-B24-B25-B26)</f>
        <v>16</v>
      </c>
      <c r="C27" s="47">
        <f>IFERROR(B27/B23,"-")</f>
        <v>1</v>
      </c>
      <c r="D27" s="48" t="s">
        <v>76</v>
      </c>
      <c r="E27" s="49" t="str">
        <f>IF(B27=0,"All accounted for ✓","Follow up needed")</f>
        <v>Follow up needed</v>
      </c>
      <c r="F27" s="27"/>
      <c r="G27" s="27"/>
      <c r="H27" s="27"/>
    </row>
    <row r="28" spans="1:28" ht="7.5" customHeight="1" thickBot="1" x14ac:dyDescent="0.3">
      <c r="A28" s="27"/>
      <c r="B28" s="27"/>
      <c r="C28" s="27"/>
      <c r="D28" s="27"/>
      <c r="E28" s="27"/>
      <c r="F28" s="27"/>
      <c r="G28" s="27"/>
      <c r="H28" s="27"/>
    </row>
    <row r="29" spans="1:28" ht="37.5" customHeight="1" thickBot="1" x14ac:dyDescent="0.3">
      <c r="A29" s="95" t="s">
        <v>79</v>
      </c>
      <c r="B29" s="95"/>
      <c r="C29" s="50">
        <f>IFERROR(B24/B23,"-")</f>
        <v>0</v>
      </c>
      <c r="D29" s="96" t="str">
        <f>IF(B23=0,"Enter resident data to calculate",IF(B24/B23&gt;=0.6,"✓ Meeting target retention","⚠ Below target — review offers"))</f>
        <v>⚠ Below target — review offers</v>
      </c>
      <c r="E29" s="96"/>
      <c r="F29" s="96"/>
      <c r="G29" s="96"/>
      <c r="H29" s="27"/>
    </row>
    <row r="30" spans="1:28" ht="25.5" customHeight="1" x14ac:dyDescent="0.25">
      <c r="A30" s="97" t="s">
        <v>80</v>
      </c>
      <c r="B30" s="97"/>
      <c r="C30" s="51" t="str">
        <f>IFERROR(B24/(B24+B25),"-")</f>
        <v>-</v>
      </c>
      <c r="D30" s="98" t="s">
        <v>81</v>
      </c>
      <c r="E30" s="98"/>
      <c r="F30" s="98"/>
      <c r="G30" s="98"/>
      <c r="H30" s="27"/>
    </row>
    <row r="31" spans="1:28" ht="18" customHeight="1" x14ac:dyDescent="0.25">
      <c r="A31" s="27"/>
      <c r="B31" s="27"/>
      <c r="C31" s="27"/>
      <c r="D31" s="27"/>
      <c r="E31" s="27"/>
      <c r="F31" s="27"/>
      <c r="G31" s="27"/>
      <c r="H31" s="27"/>
    </row>
    <row r="32" spans="1:28" ht="7.5" customHeight="1" x14ac:dyDescent="0.25">
      <c r="A32" s="27"/>
      <c r="B32" s="27"/>
      <c r="C32" s="27"/>
      <c r="D32" s="27"/>
      <c r="E32" s="27"/>
      <c r="F32" s="27"/>
      <c r="G32" s="27"/>
      <c r="H32" s="27"/>
    </row>
    <row r="33" spans="1:8" ht="21.75" customHeight="1" x14ac:dyDescent="0.25">
      <c r="A33" s="52" t="s">
        <v>82</v>
      </c>
      <c r="B33" s="27"/>
      <c r="C33" s="27"/>
      <c r="D33" s="27"/>
      <c r="E33" s="27"/>
      <c r="F33" s="27"/>
      <c r="G33" s="27"/>
      <c r="H33" s="27"/>
    </row>
    <row r="34" spans="1:8" ht="18" customHeight="1" x14ac:dyDescent="0.25">
      <c r="A34" s="53" t="s">
        <v>83</v>
      </c>
      <c r="B34" s="27"/>
      <c r="C34" s="27"/>
      <c r="D34" s="27"/>
      <c r="E34" s="27"/>
      <c r="F34" s="27"/>
      <c r="G34" s="27"/>
      <c r="H34" s="27"/>
    </row>
    <row r="35" spans="1:8" ht="18" customHeight="1" x14ac:dyDescent="0.25">
      <c r="A35" s="54" t="s">
        <v>84</v>
      </c>
      <c r="B35" s="27"/>
      <c r="C35" s="27"/>
      <c r="D35" s="27"/>
      <c r="E35" s="27"/>
      <c r="F35" s="27"/>
      <c r="G35" s="27"/>
      <c r="H35" s="27"/>
    </row>
    <row r="36" spans="1:8" ht="18" customHeight="1" x14ac:dyDescent="0.25">
      <c r="A36" s="55" t="s">
        <v>85</v>
      </c>
      <c r="B36" s="27"/>
      <c r="C36" s="27"/>
      <c r="D36" s="27"/>
      <c r="E36" s="27"/>
      <c r="F36" s="27"/>
      <c r="G36" s="27"/>
      <c r="H36" s="27"/>
    </row>
    <row r="37" spans="1:8" ht="18" customHeight="1" x14ac:dyDescent="0.25">
      <c r="A37" s="56" t="s">
        <v>86</v>
      </c>
      <c r="B37" s="27"/>
      <c r="C37" s="27"/>
      <c r="D37" s="27"/>
      <c r="E37" s="27"/>
      <c r="F37" s="27"/>
      <c r="G37" s="27"/>
      <c r="H37" s="27"/>
    </row>
    <row r="38" spans="1:8" ht="18" customHeight="1" x14ac:dyDescent="0.25">
      <c r="A38" s="57" t="s">
        <v>87</v>
      </c>
      <c r="B38" s="27"/>
      <c r="C38" s="27"/>
      <c r="D38" s="27"/>
      <c r="E38" s="27"/>
      <c r="F38" s="27"/>
      <c r="G38" s="27"/>
      <c r="H38" s="27"/>
    </row>
    <row r="39" spans="1:8" ht="15" customHeight="1" x14ac:dyDescent="0.25">
      <c r="A39" s="27"/>
      <c r="B39" s="27"/>
      <c r="C39" s="27"/>
      <c r="D39" s="27"/>
      <c r="E39" s="27"/>
      <c r="F39" s="27"/>
      <c r="G39" s="27"/>
      <c r="H39" s="27"/>
    </row>
    <row r="40" spans="1:8" ht="15" customHeight="1" x14ac:dyDescent="0.25">
      <c r="A40" s="27"/>
      <c r="B40" s="27"/>
      <c r="C40" s="27"/>
      <c r="D40" s="27"/>
      <c r="E40" s="27"/>
      <c r="F40" s="27"/>
      <c r="G40" s="27"/>
      <c r="H40" s="27"/>
    </row>
    <row r="41" spans="1:8" ht="15" customHeight="1" x14ac:dyDescent="0.25">
      <c r="A41" s="27"/>
      <c r="B41" s="27"/>
      <c r="C41" s="27"/>
      <c r="D41" s="27"/>
      <c r="E41" s="27"/>
      <c r="F41" s="27"/>
      <c r="G41" s="27"/>
      <c r="H41" s="27"/>
    </row>
    <row r="42" spans="1:8" ht="15" customHeight="1" x14ac:dyDescent="0.25">
      <c r="A42" s="27"/>
      <c r="B42" s="27"/>
      <c r="C42" s="27"/>
      <c r="D42" s="27"/>
      <c r="E42" s="27"/>
      <c r="F42" s="27"/>
      <c r="G42" s="27"/>
      <c r="H42" s="27"/>
    </row>
    <row r="43" spans="1:8" ht="15" customHeight="1" x14ac:dyDescent="0.25">
      <c r="A43" s="27"/>
      <c r="B43" s="27"/>
      <c r="C43" s="27"/>
      <c r="D43" s="27"/>
      <c r="E43" s="27"/>
      <c r="F43" s="27"/>
      <c r="G43" s="27"/>
      <c r="H43" s="27"/>
    </row>
    <row r="44" spans="1:8" ht="15" customHeight="1" x14ac:dyDescent="0.25">
      <c r="A44" s="27"/>
      <c r="B44" s="27"/>
      <c r="C44" s="27"/>
      <c r="D44" s="27"/>
      <c r="E44" s="27"/>
      <c r="F44" s="27"/>
      <c r="G44" s="27"/>
      <c r="H44" s="27"/>
    </row>
    <row r="45" spans="1:8" ht="15" customHeight="1" x14ac:dyDescent="0.25">
      <c r="A45" s="27"/>
      <c r="B45" s="27"/>
      <c r="C45" s="27"/>
      <c r="D45" s="27"/>
      <c r="E45" s="27"/>
      <c r="F45" s="27"/>
      <c r="G45" s="27"/>
      <c r="H45" s="27"/>
    </row>
  </sheetData>
  <mergeCells count="6">
    <mergeCell ref="A1:AB1"/>
    <mergeCell ref="A21:G21"/>
    <mergeCell ref="A29:B29"/>
    <mergeCell ref="D29:G29"/>
    <mergeCell ref="A30:B30"/>
    <mergeCell ref="D30:G30"/>
  </mergeCells>
  <conditionalFormatting sqref="A4:U19">
    <cfRule type="expression" dxfId="8" priority="1">
      <formula>$S4&lt;&gt;""</formula>
    </cfRule>
    <cfRule type="expression" dxfId="7" priority="2">
      <formula>$R4&lt;&gt;""</formula>
    </cfRule>
    <cfRule type="expression" dxfId="6" priority="3">
      <formula>$Q4&lt;&gt;""</formula>
    </cfRule>
  </conditionalFormatting>
  <dataValidations count="1">
    <dataValidation type="list" allowBlank="1" showInputMessage="1" showErrorMessage="1" sqref="P4:P19" xr:uid="{706325F7-C4A7-47E0-A609-1BD29C906C35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6266-A20C-4FA0-A62F-717730BEA047}">
  <dimension ref="A1:AB45"/>
  <sheetViews>
    <sheetView zoomScaleNormal="100" workbookViewId="0">
      <pane ySplit="3" topLeftCell="A4" activePane="bottomLeft" state="frozen"/>
      <selection pane="bottomLeft" activeCell="A20" sqref="A20:XFD34"/>
    </sheetView>
  </sheetViews>
  <sheetFormatPr defaultColWidth="8.5703125" defaultRowHeight="15" customHeight="1" x14ac:dyDescent="0.25"/>
  <cols>
    <col min="1" max="1" width="23" customWidth="1"/>
    <col min="2" max="3" width="10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22.42578125" customWidth="1"/>
    <col min="21" max="21" width="22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 t="s">
        <v>546</v>
      </c>
      <c r="B4" s="60" t="s">
        <v>562</v>
      </c>
      <c r="C4" s="4" t="s">
        <v>95</v>
      </c>
      <c r="D4" s="19">
        <v>46359</v>
      </c>
      <c r="E4" s="20">
        <f t="shared" ref="E4:E19" si="0">IF(D4="","",D4-90)</f>
        <v>46269</v>
      </c>
      <c r="F4" s="20">
        <f t="shared" ref="F4:F19" si="1">IF(D4="","",D4-60)</f>
        <v>46299</v>
      </c>
      <c r="G4" s="20">
        <f t="shared" ref="G4:G19" si="2">IF(D4="","",D4-30)</f>
        <v>46329</v>
      </c>
      <c r="H4" s="21">
        <v>0</v>
      </c>
      <c r="I4" s="5">
        <v>1416</v>
      </c>
      <c r="J4" s="22" t="str">
        <f t="shared" ref="J4:J19" si="3">IF(I4="","",IF(ABS(N4-W4)&lt;=ABS(M4-W4),IF(ABS(N4-W4)&lt;=ABS(O4-W4),"Offer 2","Offer 3"),IF(ABS(M4-W4)&lt;=ABS(O4-W4),"Offer 1","Offer 3")))</f>
        <v>Offer 2</v>
      </c>
      <c r="K4" s="59"/>
      <c r="L4" s="23" t="str">
        <f t="shared" ref="L4:L19" si="4">IF(OR(I4="",K4=""),"",CEILING(I4*(1+K4),5))</f>
        <v/>
      </c>
      <c r="M4" s="23">
        <f t="shared" ref="M4:M19" si="5">IF(I4="","",IF(X4="Under",CEILING(MAX(I4*1.02,MIN(V4,W4)*0.95),5),CEILING(MAX(I4*1.03,MIN(V4,W4)*0.97),5)))</f>
        <v>1445</v>
      </c>
      <c r="N4" s="23">
        <f t="shared" ref="N4:N19" si="6">IF(I4="","",IF(X4="Under",CEILING(MAX(I4*1.03,(V4+W4)/2*0.96),5),CEILING(MAX(I4*1.05,(V4+W4)/2*0.98),5)))</f>
        <v>1490</v>
      </c>
      <c r="O4" s="23">
        <f t="shared" ref="O4:O19" si="7">IF(I4="","",IF(X4="Under",CEILING(MAX(I4*1.05,MIN(V4,W4*1.01)),5),CEILING(MAX(I4*1.08,MIN(V4,W4*1.02)),5)))</f>
        <v>1520</v>
      </c>
      <c r="P4" s="4"/>
      <c r="Q4" s="4"/>
      <c r="R4" s="4"/>
      <c r="S4" s="4"/>
      <c r="T4" s="4" t="s">
        <v>578</v>
      </c>
      <c r="U4" s="4"/>
      <c r="V4" s="23">
        <f>IF(C4="","",IFERROR(VLOOKUP(C4,SETUP!$A$9:$D$24,2,0),"⚠ Check SETUP"))</f>
        <v>1595</v>
      </c>
      <c r="W4" s="23">
        <f>IF(C4="","",IFERROR(VLOOKUP(C4,SETUP!$A$9:$D$24,3,0),"⚠ Check SETUP"))</f>
        <v>1504</v>
      </c>
      <c r="X4" s="22" t="str">
        <f>IF(C4="","",IFERROR(VLOOKUP(C4,SETUP!$A$9:$D$24,4,0),"⚠ Check SETUP"))</f>
        <v>Under</v>
      </c>
      <c r="Y4" s="24">
        <f t="shared" ref="Y4:Y19" si="8">IF(OR(I4="",M4=""),"",(M4-I4)/I4)</f>
        <v>2.0480225988700564E-2</v>
      </c>
      <c r="Z4" s="24">
        <f t="shared" ref="Z4:Z19" si="9">IF(OR(I4="",N4=""),"",(N4-I4)/I4)</f>
        <v>5.2259887005649715E-2</v>
      </c>
      <c r="AA4" s="24">
        <f t="shared" ref="AA4:AA19" si="10">IF(OR(I4="",O4=""),"",(O4-I4)/I4)</f>
        <v>7.3446327683615822E-2</v>
      </c>
      <c r="AB4" s="24" t="str">
        <f t="shared" ref="AB4:AB19" si="11">IF(OR(Q4="",S4&lt;&gt;"",P4="",I4=""),"",IF(P4="Investor Override",IF(L4="","",(L4-I4)/I4),IF(P4="Offer 1",IF(M4="","",(M4-I4)/I4),IF(P4="Offer 2",IF(N4="","",(N4-I4)/I4),IF(P4="Offer 3",IF(O4="","",(O4-I4)/I4),"")))))</f>
        <v/>
      </c>
    </row>
    <row r="5" spans="1:28" ht="19.5" customHeight="1" x14ac:dyDescent="0.25">
      <c r="A5" s="6" t="s">
        <v>547</v>
      </c>
      <c r="B5" s="60" t="s">
        <v>563</v>
      </c>
      <c r="C5" s="4" t="s">
        <v>16</v>
      </c>
      <c r="D5" s="19">
        <v>46359</v>
      </c>
      <c r="E5" s="20">
        <f t="shared" si="0"/>
        <v>46269</v>
      </c>
      <c r="F5" s="20">
        <f t="shared" si="1"/>
        <v>46299</v>
      </c>
      <c r="G5" s="20">
        <f t="shared" si="2"/>
        <v>46329</v>
      </c>
      <c r="H5" s="21">
        <v>500</v>
      </c>
      <c r="I5" s="5">
        <v>2232</v>
      </c>
      <c r="J5" s="22" t="str">
        <f t="shared" si="3"/>
        <v>Offer 3</v>
      </c>
      <c r="K5" s="59"/>
      <c r="L5" s="23" t="str">
        <f t="shared" si="4"/>
        <v/>
      </c>
      <c r="M5" s="23">
        <f t="shared" si="5"/>
        <v>2280</v>
      </c>
      <c r="N5" s="23">
        <f t="shared" si="6"/>
        <v>2300</v>
      </c>
      <c r="O5" s="23">
        <f t="shared" si="7"/>
        <v>2385</v>
      </c>
      <c r="P5" s="4"/>
      <c r="Q5" s="4"/>
      <c r="R5" s="4"/>
      <c r="S5" s="4"/>
      <c r="T5" s="4" t="s">
        <v>579</v>
      </c>
      <c r="U5" s="4"/>
      <c r="V5" s="23">
        <f>IF(C5="","",IFERROR(VLOOKUP(C5,SETUP!$A$9:$D$24,2,0),"⚠ Check SETUP"))</f>
        <v>2406</v>
      </c>
      <c r="W5" s="23">
        <f>IF(C5="","",IFERROR(VLOOKUP(C5,SETUP!$A$9:$D$24,3,0),"⚠ Check SETUP"))</f>
        <v>2361</v>
      </c>
      <c r="X5" s="22" t="str">
        <f>IF(C5="","",IFERROR(VLOOKUP(C5,SETUP!$A$9:$D$24,4,0),"⚠ Check SETUP"))</f>
        <v>Under</v>
      </c>
      <c r="Y5" s="24">
        <f t="shared" si="8"/>
        <v>2.1505376344086023E-2</v>
      </c>
      <c r="Z5" s="24">
        <f t="shared" si="9"/>
        <v>3.046594982078853E-2</v>
      </c>
      <c r="AA5" s="24">
        <f t="shared" si="10"/>
        <v>6.8548387096774188E-2</v>
      </c>
      <c r="AB5" s="24" t="str">
        <f t="shared" si="11"/>
        <v/>
      </c>
    </row>
    <row r="6" spans="1:28" ht="19.5" customHeight="1" x14ac:dyDescent="0.25">
      <c r="A6" s="6" t="s">
        <v>548</v>
      </c>
      <c r="B6" s="60" t="s">
        <v>564</v>
      </c>
      <c r="C6" s="4" t="s">
        <v>96</v>
      </c>
      <c r="D6" s="19">
        <v>46364</v>
      </c>
      <c r="E6" s="20">
        <f t="shared" si="0"/>
        <v>46274</v>
      </c>
      <c r="F6" s="20">
        <f t="shared" si="1"/>
        <v>46304</v>
      </c>
      <c r="G6" s="20">
        <f t="shared" si="2"/>
        <v>46334</v>
      </c>
      <c r="H6" s="21">
        <v>0</v>
      </c>
      <c r="I6" s="5">
        <v>1508</v>
      </c>
      <c r="J6" s="22" t="str">
        <f t="shared" si="3"/>
        <v>Offer 1</v>
      </c>
      <c r="K6" s="59"/>
      <c r="L6" s="23" t="str">
        <f t="shared" si="4"/>
        <v/>
      </c>
      <c r="M6" s="23">
        <f t="shared" si="5"/>
        <v>1555</v>
      </c>
      <c r="N6" s="23">
        <f t="shared" si="6"/>
        <v>1605</v>
      </c>
      <c r="O6" s="23">
        <f t="shared" si="7"/>
        <v>1630</v>
      </c>
      <c r="P6" s="4"/>
      <c r="Q6" s="4"/>
      <c r="R6" s="4"/>
      <c r="S6" s="4"/>
      <c r="T6" s="4" t="s">
        <v>580</v>
      </c>
      <c r="U6" s="4"/>
      <c r="V6" s="23">
        <f>IF(C6="","",IFERROR(VLOOKUP(C6,SETUP!$A$9:$D$24,2,0),"⚠ Check SETUP"))</f>
        <v>1795</v>
      </c>
      <c r="W6" s="23">
        <f>IF(C6="","",IFERROR(VLOOKUP(C6,SETUP!$A$9:$D$24,3,0),"⚠ Check SETUP"))</f>
        <v>1476</v>
      </c>
      <c r="X6" s="22" t="str">
        <f>IF(C6="","",IFERROR(VLOOKUP(C6,SETUP!$A$9:$D$24,4,0),"⚠ Check SETUP"))</f>
        <v>Over</v>
      </c>
      <c r="Y6" s="24">
        <f t="shared" si="8"/>
        <v>3.1167108753315648E-2</v>
      </c>
      <c r="Z6" s="24">
        <f t="shared" si="9"/>
        <v>6.4323607427055701E-2</v>
      </c>
      <c r="AA6" s="24">
        <f t="shared" si="10"/>
        <v>8.0901856763925736E-2</v>
      </c>
      <c r="AB6" s="24" t="str">
        <f t="shared" si="11"/>
        <v/>
      </c>
    </row>
    <row r="7" spans="1:28" ht="19.5" customHeight="1" x14ac:dyDescent="0.25">
      <c r="A7" s="6" t="s">
        <v>549</v>
      </c>
      <c r="B7" s="60" t="s">
        <v>565</v>
      </c>
      <c r="C7" s="4" t="s">
        <v>96</v>
      </c>
      <c r="D7" s="19">
        <v>46366</v>
      </c>
      <c r="E7" s="20">
        <f t="shared" si="0"/>
        <v>46276</v>
      </c>
      <c r="F7" s="20">
        <f t="shared" si="1"/>
        <v>46306</v>
      </c>
      <c r="G7" s="20">
        <f t="shared" si="2"/>
        <v>46336</v>
      </c>
      <c r="H7" s="21">
        <v>0</v>
      </c>
      <c r="I7" s="5">
        <v>1361</v>
      </c>
      <c r="J7" s="22" t="str">
        <f t="shared" si="3"/>
        <v>Offer 3</v>
      </c>
      <c r="K7" s="59"/>
      <c r="L7" s="23" t="str">
        <f t="shared" si="4"/>
        <v/>
      </c>
      <c r="M7" s="23">
        <f t="shared" si="5"/>
        <v>1435</v>
      </c>
      <c r="N7" s="23">
        <f t="shared" si="6"/>
        <v>1605</v>
      </c>
      <c r="O7" s="23">
        <f t="shared" si="7"/>
        <v>1510</v>
      </c>
      <c r="P7" s="4"/>
      <c r="Q7" s="4"/>
      <c r="R7" s="4"/>
      <c r="S7" s="4"/>
      <c r="T7" s="4" t="s">
        <v>581</v>
      </c>
      <c r="U7" s="4"/>
      <c r="V7" s="23">
        <f>IF(C7="","",IFERROR(VLOOKUP(C7,SETUP!$A$9:$D$24,2,0),"⚠ Check SETUP"))</f>
        <v>1795</v>
      </c>
      <c r="W7" s="23">
        <f>IF(C7="","",IFERROR(VLOOKUP(C7,SETUP!$A$9:$D$24,3,0),"⚠ Check SETUP"))</f>
        <v>1476</v>
      </c>
      <c r="X7" s="22" t="str">
        <f>IF(C7="","",IFERROR(VLOOKUP(C7,SETUP!$A$9:$D$24,4,0),"⚠ Check SETUP"))</f>
        <v>Over</v>
      </c>
      <c r="Y7" s="24">
        <f t="shared" si="8"/>
        <v>5.4371785451873621E-2</v>
      </c>
      <c r="Z7" s="24">
        <f t="shared" si="9"/>
        <v>0.1792799412196914</v>
      </c>
      <c r="AA7" s="24">
        <f t="shared" si="10"/>
        <v>0.10947832476120499</v>
      </c>
      <c r="AB7" s="24" t="str">
        <f t="shared" si="11"/>
        <v/>
      </c>
    </row>
    <row r="8" spans="1:28" ht="19.5" customHeight="1" x14ac:dyDescent="0.25">
      <c r="A8" s="6" t="s">
        <v>550</v>
      </c>
      <c r="B8" s="60" t="s">
        <v>566</v>
      </c>
      <c r="C8" s="4" t="s">
        <v>95</v>
      </c>
      <c r="D8" s="19">
        <v>46367</v>
      </c>
      <c r="E8" s="20">
        <f t="shared" si="0"/>
        <v>46277</v>
      </c>
      <c r="F8" s="20">
        <f t="shared" si="1"/>
        <v>46307</v>
      </c>
      <c r="G8" s="20">
        <f t="shared" si="2"/>
        <v>46337</v>
      </c>
      <c r="H8" s="21">
        <v>0</v>
      </c>
      <c r="I8" s="5">
        <v>1385</v>
      </c>
      <c r="J8" s="22" t="str">
        <f t="shared" si="3"/>
        <v>Offer 2</v>
      </c>
      <c r="K8" s="59"/>
      <c r="L8" s="23" t="str">
        <f t="shared" si="4"/>
        <v/>
      </c>
      <c r="M8" s="23">
        <f t="shared" si="5"/>
        <v>1430</v>
      </c>
      <c r="N8" s="23">
        <f t="shared" si="6"/>
        <v>1490</v>
      </c>
      <c r="O8" s="23">
        <f t="shared" si="7"/>
        <v>1520</v>
      </c>
      <c r="P8" s="4"/>
      <c r="Q8" s="4"/>
      <c r="R8" s="4"/>
      <c r="S8" s="4"/>
      <c r="T8" s="4" t="s">
        <v>582</v>
      </c>
      <c r="U8" s="4"/>
      <c r="V8" s="23">
        <f>IF(C8="","",IFERROR(VLOOKUP(C8,SETUP!$A$9:$D$24,2,0),"⚠ Check SETUP"))</f>
        <v>1595</v>
      </c>
      <c r="W8" s="23">
        <f>IF(C8="","",IFERROR(VLOOKUP(C8,SETUP!$A$9:$D$24,3,0),"⚠ Check SETUP"))</f>
        <v>1504</v>
      </c>
      <c r="X8" s="22" t="str">
        <f>IF(C8="","",IFERROR(VLOOKUP(C8,SETUP!$A$9:$D$24,4,0),"⚠ Check SETUP"))</f>
        <v>Under</v>
      </c>
      <c r="Y8" s="24">
        <f t="shared" si="8"/>
        <v>3.2490974729241874E-2</v>
      </c>
      <c r="Z8" s="24">
        <f t="shared" si="9"/>
        <v>7.5812274368231042E-2</v>
      </c>
      <c r="AA8" s="24">
        <f t="shared" si="10"/>
        <v>9.7472924187725629E-2</v>
      </c>
      <c r="AB8" s="24" t="str">
        <f t="shared" si="11"/>
        <v/>
      </c>
    </row>
    <row r="9" spans="1:28" ht="19.5" customHeight="1" x14ac:dyDescent="0.25">
      <c r="A9" s="6" t="s">
        <v>551</v>
      </c>
      <c r="B9" s="60" t="s">
        <v>567</v>
      </c>
      <c r="C9" s="4" t="s">
        <v>96</v>
      </c>
      <c r="D9" s="19">
        <v>46370</v>
      </c>
      <c r="E9" s="20">
        <f t="shared" si="0"/>
        <v>46280</v>
      </c>
      <c r="F9" s="20">
        <f t="shared" si="1"/>
        <v>46310</v>
      </c>
      <c r="G9" s="20">
        <f t="shared" si="2"/>
        <v>46340</v>
      </c>
      <c r="H9" s="21">
        <v>0</v>
      </c>
      <c r="I9" s="5">
        <v>1409</v>
      </c>
      <c r="J9" s="22" t="str">
        <f t="shared" si="3"/>
        <v>Offer 1</v>
      </c>
      <c r="K9" s="59"/>
      <c r="L9" s="23" t="str">
        <f t="shared" si="4"/>
        <v/>
      </c>
      <c r="M9" s="23">
        <f t="shared" si="5"/>
        <v>1455</v>
      </c>
      <c r="N9" s="23">
        <f t="shared" si="6"/>
        <v>1605</v>
      </c>
      <c r="O9" s="23">
        <f t="shared" si="7"/>
        <v>1525</v>
      </c>
      <c r="P9" s="4"/>
      <c r="Q9" s="4"/>
      <c r="R9" s="4"/>
      <c r="S9" s="4"/>
      <c r="T9" s="4" t="s">
        <v>583</v>
      </c>
      <c r="U9" s="4"/>
      <c r="V9" s="23">
        <f>IF(C9="","",IFERROR(VLOOKUP(C9,SETUP!$A$9:$D$24,2,0),"⚠ Check SETUP"))</f>
        <v>1795</v>
      </c>
      <c r="W9" s="23">
        <f>IF(C9="","",IFERROR(VLOOKUP(C9,SETUP!$A$9:$D$24,3,0),"⚠ Check SETUP"))</f>
        <v>1476</v>
      </c>
      <c r="X9" s="22" t="str">
        <f>IF(C9="","",IFERROR(VLOOKUP(C9,SETUP!$A$9:$D$24,4,0),"⚠ Check SETUP"))</f>
        <v>Over</v>
      </c>
      <c r="Y9" s="24">
        <f t="shared" si="8"/>
        <v>3.2647267565649396E-2</v>
      </c>
      <c r="Z9" s="24">
        <f t="shared" si="9"/>
        <v>0.1391057487579844</v>
      </c>
      <c r="AA9" s="24">
        <f t="shared" si="10"/>
        <v>8.2327892122072394E-2</v>
      </c>
      <c r="AB9" s="24" t="str">
        <f t="shared" si="11"/>
        <v/>
      </c>
    </row>
    <row r="10" spans="1:28" ht="19.5" customHeight="1" x14ac:dyDescent="0.25">
      <c r="A10" s="6" t="s">
        <v>552</v>
      </c>
      <c r="B10" s="60" t="s">
        <v>568</v>
      </c>
      <c r="C10" s="4" t="s">
        <v>100</v>
      </c>
      <c r="D10" s="19">
        <v>46373</v>
      </c>
      <c r="E10" s="20">
        <f t="shared" si="0"/>
        <v>46283</v>
      </c>
      <c r="F10" s="20">
        <f t="shared" si="1"/>
        <v>46313</v>
      </c>
      <c r="G10" s="20">
        <f t="shared" si="2"/>
        <v>46343</v>
      </c>
      <c r="H10" s="21">
        <v>0</v>
      </c>
      <c r="I10" s="5">
        <v>1683</v>
      </c>
      <c r="J10" s="22" t="str">
        <f t="shared" si="3"/>
        <v>Offer 3</v>
      </c>
      <c r="K10" s="59"/>
      <c r="L10" s="23" t="str">
        <f t="shared" si="4"/>
        <v/>
      </c>
      <c r="M10" s="23">
        <f t="shared" si="5"/>
        <v>1720</v>
      </c>
      <c r="N10" s="23">
        <f t="shared" si="6"/>
        <v>1735</v>
      </c>
      <c r="O10" s="23">
        <f t="shared" si="7"/>
        <v>1770</v>
      </c>
      <c r="P10" s="4"/>
      <c r="Q10" s="4"/>
      <c r="R10" s="4"/>
      <c r="S10" s="4"/>
      <c r="T10" s="4" t="s">
        <v>584</v>
      </c>
      <c r="U10" s="4"/>
      <c r="V10" s="23">
        <f>IF(C10="","",IFERROR(VLOOKUP(C10,SETUP!$A$9:$D$24,2,0),"⚠ Check SETUP"))</f>
        <v>1595</v>
      </c>
      <c r="W10" s="23">
        <f>IF(C10="","",IFERROR(VLOOKUP(C10,SETUP!$A$9:$D$24,3,0),"⚠ Check SETUP"))</f>
        <v>1806</v>
      </c>
      <c r="X10" s="22" t="str">
        <f>IF(C10="","",IFERROR(VLOOKUP(C10,SETUP!$A$9:$D$24,4,0),"⚠ Check SETUP"))</f>
        <v>Under</v>
      </c>
      <c r="Y10" s="24">
        <f t="shared" si="8"/>
        <v>2.1984551396316103E-2</v>
      </c>
      <c r="Z10" s="24">
        <f t="shared" si="9"/>
        <v>3.0897207367795602E-2</v>
      </c>
      <c r="AA10" s="24">
        <f t="shared" si="10"/>
        <v>5.1693404634581108E-2</v>
      </c>
      <c r="AB10" s="24" t="str">
        <f t="shared" si="11"/>
        <v/>
      </c>
    </row>
    <row r="11" spans="1:28" ht="19.5" customHeight="1" x14ac:dyDescent="0.25">
      <c r="A11" s="6" t="s">
        <v>553</v>
      </c>
      <c r="B11" s="60" t="s">
        <v>569</v>
      </c>
      <c r="C11" s="4" t="s">
        <v>96</v>
      </c>
      <c r="D11" s="19">
        <v>46375</v>
      </c>
      <c r="E11" s="20">
        <f t="shared" si="0"/>
        <v>46285</v>
      </c>
      <c r="F11" s="20">
        <f t="shared" si="1"/>
        <v>46315</v>
      </c>
      <c r="G11" s="20">
        <f t="shared" si="2"/>
        <v>46345</v>
      </c>
      <c r="H11" s="21">
        <v>0</v>
      </c>
      <c r="I11" s="5">
        <v>1393</v>
      </c>
      <c r="J11" s="22" t="str">
        <f t="shared" si="3"/>
        <v>Offer 3</v>
      </c>
      <c r="K11" s="59"/>
      <c r="L11" s="23" t="str">
        <f t="shared" si="4"/>
        <v/>
      </c>
      <c r="M11" s="23">
        <f t="shared" si="5"/>
        <v>1435</v>
      </c>
      <c r="N11" s="23">
        <f t="shared" si="6"/>
        <v>1605</v>
      </c>
      <c r="O11" s="23">
        <f t="shared" si="7"/>
        <v>1510</v>
      </c>
      <c r="P11" s="4"/>
      <c r="Q11" s="4"/>
      <c r="R11" s="4"/>
      <c r="S11" s="4"/>
      <c r="T11" s="4" t="s">
        <v>585</v>
      </c>
      <c r="U11" s="4"/>
      <c r="V11" s="23">
        <f>IF(C11="","",IFERROR(VLOOKUP(C11,SETUP!$A$9:$D$24,2,0),"⚠ Check SETUP"))</f>
        <v>1795</v>
      </c>
      <c r="W11" s="23">
        <f>IF(C11="","",IFERROR(VLOOKUP(C11,SETUP!$A$9:$D$24,3,0),"⚠ Check SETUP"))</f>
        <v>1476</v>
      </c>
      <c r="X11" s="22" t="str">
        <f>IF(C11="","",IFERROR(VLOOKUP(C11,SETUP!$A$9:$D$24,4,0),"⚠ Check SETUP"))</f>
        <v>Over</v>
      </c>
      <c r="Y11" s="24">
        <f t="shared" si="8"/>
        <v>3.015075376884422E-2</v>
      </c>
      <c r="Z11" s="24">
        <f t="shared" si="9"/>
        <v>0.15218951902368988</v>
      </c>
      <c r="AA11" s="24">
        <f t="shared" si="10"/>
        <v>8.3991385498923182E-2</v>
      </c>
      <c r="AB11" s="24" t="str">
        <f t="shared" si="11"/>
        <v/>
      </c>
    </row>
    <row r="12" spans="1:28" ht="19.5" customHeight="1" x14ac:dyDescent="0.25">
      <c r="A12" s="6" t="s">
        <v>554</v>
      </c>
      <c r="B12" s="60" t="s">
        <v>570</v>
      </c>
      <c r="C12" s="4" t="s">
        <v>106</v>
      </c>
      <c r="D12" s="19">
        <v>46375</v>
      </c>
      <c r="E12" s="20">
        <f t="shared" si="0"/>
        <v>46285</v>
      </c>
      <c r="F12" s="20">
        <f t="shared" si="1"/>
        <v>46315</v>
      </c>
      <c r="G12" s="20">
        <f t="shared" si="2"/>
        <v>46345</v>
      </c>
      <c r="H12" s="21">
        <v>0</v>
      </c>
      <c r="I12" s="5">
        <v>1892</v>
      </c>
      <c r="J12" s="22" t="str">
        <f t="shared" si="3"/>
        <v>Offer 1</v>
      </c>
      <c r="K12" s="59"/>
      <c r="L12" s="23" t="str">
        <f t="shared" si="4"/>
        <v/>
      </c>
      <c r="M12" s="23">
        <f t="shared" si="5"/>
        <v>1950</v>
      </c>
      <c r="N12" s="23">
        <f t="shared" si="6"/>
        <v>1990</v>
      </c>
      <c r="O12" s="23">
        <f t="shared" si="7"/>
        <v>2045</v>
      </c>
      <c r="P12" s="4"/>
      <c r="Q12" s="4"/>
      <c r="R12" s="4"/>
      <c r="S12" s="4"/>
      <c r="T12" s="4" t="s">
        <v>586</v>
      </c>
      <c r="U12" s="4"/>
      <c r="V12" s="23">
        <f>IF(C12="","",IFERROR(VLOOKUP(C12,SETUP!$A$9:$D$24,2,0),"⚠ Check SETUP"))</f>
        <v>1969</v>
      </c>
      <c r="W12" s="23">
        <f>IF(C12="","",IFERROR(VLOOKUP(C12,SETUP!$A$9:$D$24,3,0),"⚠ Check SETUP"))</f>
        <v>1617</v>
      </c>
      <c r="X12" s="22" t="str">
        <f>IF(C12="","",IFERROR(VLOOKUP(C12,SETUP!$A$9:$D$24,4,0),"⚠ Check SETUP"))</f>
        <v>Over</v>
      </c>
      <c r="Y12" s="24">
        <f t="shared" si="8"/>
        <v>3.06553911205074E-2</v>
      </c>
      <c r="Z12" s="24">
        <f t="shared" si="9"/>
        <v>5.1797040169133189E-2</v>
      </c>
      <c r="AA12" s="24">
        <f t="shared" si="10"/>
        <v>8.0866807610993657E-2</v>
      </c>
      <c r="AB12" s="24" t="str">
        <f t="shared" si="11"/>
        <v/>
      </c>
    </row>
    <row r="13" spans="1:28" ht="19.5" customHeight="1" x14ac:dyDescent="0.25">
      <c r="A13" s="6" t="s">
        <v>555</v>
      </c>
      <c r="B13" s="60" t="s">
        <v>571</v>
      </c>
      <c r="C13" s="4" t="s">
        <v>98</v>
      </c>
      <c r="D13" s="19">
        <v>46379</v>
      </c>
      <c r="E13" s="20">
        <f t="shared" si="0"/>
        <v>46289</v>
      </c>
      <c r="F13" s="20">
        <f t="shared" si="1"/>
        <v>46319</v>
      </c>
      <c r="G13" s="20">
        <f t="shared" si="2"/>
        <v>46349</v>
      </c>
      <c r="H13" s="21">
        <v>0</v>
      </c>
      <c r="I13" s="5">
        <v>1339</v>
      </c>
      <c r="J13" s="22" t="str">
        <f t="shared" si="3"/>
        <v>Offer 2</v>
      </c>
      <c r="K13" s="59"/>
      <c r="L13" s="23" t="str">
        <f t="shared" si="4"/>
        <v/>
      </c>
      <c r="M13" s="23">
        <f t="shared" si="5"/>
        <v>1380</v>
      </c>
      <c r="N13" s="23">
        <f t="shared" si="6"/>
        <v>1410</v>
      </c>
      <c r="O13" s="23">
        <f t="shared" si="7"/>
        <v>1450</v>
      </c>
      <c r="P13" s="4"/>
      <c r="Q13" s="4"/>
      <c r="R13" s="4"/>
      <c r="S13" s="4"/>
      <c r="T13" s="4" t="s">
        <v>587</v>
      </c>
      <c r="U13" s="4"/>
      <c r="V13" s="23">
        <f>IF(C13="","",IFERROR(VLOOKUP(C13,SETUP!$A$9:$D$24,2,0),"⚠ Check SETUP"))</f>
        <v>1421</v>
      </c>
      <c r="W13" s="23">
        <f>IF(C13="","",IFERROR(VLOOKUP(C13,SETUP!$A$9:$D$24,3,0),"⚠ Check SETUP"))</f>
        <v>1424</v>
      </c>
      <c r="X13" s="22" t="str">
        <f>IF(C13="","",IFERROR(VLOOKUP(C13,SETUP!$A$9:$D$24,4,0),"⚠ Check SETUP"))</f>
        <v>Over</v>
      </c>
      <c r="Y13" s="24">
        <f t="shared" si="8"/>
        <v>3.0619865571321882E-2</v>
      </c>
      <c r="Z13" s="24">
        <f t="shared" si="9"/>
        <v>5.3024645257654969E-2</v>
      </c>
      <c r="AA13" s="24">
        <f t="shared" si="10"/>
        <v>8.2897684839432412E-2</v>
      </c>
      <c r="AB13" s="24" t="str">
        <f t="shared" si="11"/>
        <v/>
      </c>
    </row>
    <row r="14" spans="1:28" ht="19.5" customHeight="1" x14ac:dyDescent="0.25">
      <c r="A14" s="6" t="s">
        <v>556</v>
      </c>
      <c r="B14" s="60" t="s">
        <v>572</v>
      </c>
      <c r="C14" s="4" t="s">
        <v>95</v>
      </c>
      <c r="D14" s="19">
        <v>46379</v>
      </c>
      <c r="E14" s="20">
        <f t="shared" si="0"/>
        <v>46289</v>
      </c>
      <c r="F14" s="20">
        <f t="shared" si="1"/>
        <v>46319</v>
      </c>
      <c r="G14" s="20">
        <f t="shared" si="2"/>
        <v>46349</v>
      </c>
      <c r="H14" s="21">
        <v>0</v>
      </c>
      <c r="I14" s="5">
        <v>1596</v>
      </c>
      <c r="J14" s="22" t="str">
        <f t="shared" si="3"/>
        <v>Offer 1</v>
      </c>
      <c r="K14" s="59"/>
      <c r="L14" s="23" t="str">
        <f t="shared" si="4"/>
        <v/>
      </c>
      <c r="M14" s="23">
        <f t="shared" si="5"/>
        <v>1630</v>
      </c>
      <c r="N14" s="23">
        <f t="shared" si="6"/>
        <v>1645</v>
      </c>
      <c r="O14" s="23">
        <f t="shared" si="7"/>
        <v>1680</v>
      </c>
      <c r="P14" s="4"/>
      <c r="Q14" s="4"/>
      <c r="R14" s="4"/>
      <c r="S14" s="4"/>
      <c r="T14" s="4" t="s">
        <v>588</v>
      </c>
      <c r="U14" s="4"/>
      <c r="V14" s="23">
        <f>IF(C14="","",IFERROR(VLOOKUP(C14,SETUP!$A$9:$D$24,2,0),"⚠ Check SETUP"))</f>
        <v>1595</v>
      </c>
      <c r="W14" s="23">
        <f>IF(C14="","",IFERROR(VLOOKUP(C14,SETUP!$A$9:$D$24,3,0),"⚠ Check SETUP"))</f>
        <v>1504</v>
      </c>
      <c r="X14" s="22" t="str">
        <f>IF(C14="","",IFERROR(VLOOKUP(C14,SETUP!$A$9:$D$24,4,0),"⚠ Check SETUP"))</f>
        <v>Under</v>
      </c>
      <c r="Y14" s="24">
        <f t="shared" si="8"/>
        <v>2.1303258145363407E-2</v>
      </c>
      <c r="Z14" s="24">
        <f t="shared" si="9"/>
        <v>3.0701754385964911E-2</v>
      </c>
      <c r="AA14" s="24">
        <f t="shared" si="10"/>
        <v>5.2631578947368418E-2</v>
      </c>
      <c r="AB14" s="24" t="str">
        <f t="shared" si="11"/>
        <v/>
      </c>
    </row>
    <row r="15" spans="1:28" ht="19.5" customHeight="1" x14ac:dyDescent="0.25">
      <c r="A15" s="6" t="s">
        <v>557</v>
      </c>
      <c r="B15" s="60" t="s">
        <v>573</v>
      </c>
      <c r="C15" s="4" t="s">
        <v>106</v>
      </c>
      <c r="D15" s="19">
        <v>46380</v>
      </c>
      <c r="E15" s="20">
        <f t="shared" si="0"/>
        <v>46290</v>
      </c>
      <c r="F15" s="20">
        <f t="shared" si="1"/>
        <v>46320</v>
      </c>
      <c r="G15" s="20">
        <f t="shared" si="2"/>
        <v>46350</v>
      </c>
      <c r="H15" s="21">
        <v>0</v>
      </c>
      <c r="I15" s="5">
        <v>2041</v>
      </c>
      <c r="J15" s="22" t="str">
        <f t="shared" si="3"/>
        <v>Offer 1</v>
      </c>
      <c r="K15" s="59"/>
      <c r="L15" s="23" t="str">
        <f t="shared" si="4"/>
        <v/>
      </c>
      <c r="M15" s="23">
        <f t="shared" si="5"/>
        <v>2105</v>
      </c>
      <c r="N15" s="23">
        <f t="shared" si="6"/>
        <v>2145</v>
      </c>
      <c r="O15" s="23">
        <f t="shared" si="7"/>
        <v>2205</v>
      </c>
      <c r="P15" s="4"/>
      <c r="Q15" s="4"/>
      <c r="R15" s="4"/>
      <c r="S15" s="4"/>
      <c r="T15" s="4" t="s">
        <v>589</v>
      </c>
      <c r="U15" s="4"/>
      <c r="V15" s="23">
        <f>IF(C15="","",IFERROR(VLOOKUP(C15,SETUP!$A$9:$D$24,2,0),"⚠ Check SETUP"))</f>
        <v>1969</v>
      </c>
      <c r="W15" s="23">
        <f>IF(C15="","",IFERROR(VLOOKUP(C15,SETUP!$A$9:$D$24,3,0),"⚠ Check SETUP"))</f>
        <v>1617</v>
      </c>
      <c r="X15" s="22" t="str">
        <f>IF(C15="","",IFERROR(VLOOKUP(C15,SETUP!$A$9:$D$24,4,0),"⚠ Check SETUP"))</f>
        <v>Over</v>
      </c>
      <c r="Y15" s="24">
        <f t="shared" si="8"/>
        <v>3.135717785399314E-2</v>
      </c>
      <c r="Z15" s="24">
        <f t="shared" si="9"/>
        <v>5.0955414012738856E-2</v>
      </c>
      <c r="AA15" s="24">
        <f t="shared" si="10"/>
        <v>8.0352768250857423E-2</v>
      </c>
      <c r="AB15" s="24" t="str">
        <f t="shared" si="11"/>
        <v/>
      </c>
    </row>
    <row r="16" spans="1:28" ht="19.5" customHeight="1" x14ac:dyDescent="0.25">
      <c r="A16" s="6" t="s">
        <v>558</v>
      </c>
      <c r="B16" s="60" t="s">
        <v>574</v>
      </c>
      <c r="C16" s="4" t="s">
        <v>95</v>
      </c>
      <c r="D16" s="19">
        <v>46382</v>
      </c>
      <c r="E16" s="20">
        <f t="shared" si="0"/>
        <v>46292</v>
      </c>
      <c r="F16" s="20">
        <f t="shared" si="1"/>
        <v>46322</v>
      </c>
      <c r="G16" s="20">
        <f t="shared" si="2"/>
        <v>46352</v>
      </c>
      <c r="H16" s="21">
        <v>0</v>
      </c>
      <c r="I16" s="5">
        <v>1424</v>
      </c>
      <c r="J16" s="22" t="str">
        <f t="shared" si="3"/>
        <v>Offer 2</v>
      </c>
      <c r="K16" s="59"/>
      <c r="L16" s="23" t="str">
        <f t="shared" si="4"/>
        <v/>
      </c>
      <c r="M16" s="23">
        <f t="shared" si="5"/>
        <v>1455</v>
      </c>
      <c r="N16" s="23">
        <f t="shared" si="6"/>
        <v>1490</v>
      </c>
      <c r="O16" s="23">
        <f t="shared" si="7"/>
        <v>1520</v>
      </c>
      <c r="P16" s="4"/>
      <c r="Q16" s="4"/>
      <c r="R16" s="4"/>
      <c r="S16" s="4"/>
      <c r="T16" s="4" t="s">
        <v>590</v>
      </c>
      <c r="U16" s="4"/>
      <c r="V16" s="23">
        <f>IF(C16="","",IFERROR(VLOOKUP(C16,SETUP!$A$9:$D$24,2,0),"⚠ Check SETUP"))</f>
        <v>1595</v>
      </c>
      <c r="W16" s="23">
        <f>IF(C16="","",IFERROR(VLOOKUP(C16,SETUP!$A$9:$D$24,3,0),"⚠ Check SETUP"))</f>
        <v>1504</v>
      </c>
      <c r="X16" s="22" t="str">
        <f>IF(C16="","",IFERROR(VLOOKUP(C16,SETUP!$A$9:$D$24,4,0),"⚠ Check SETUP"))</f>
        <v>Under</v>
      </c>
      <c r="Y16" s="24">
        <f t="shared" si="8"/>
        <v>2.1769662921348316E-2</v>
      </c>
      <c r="Z16" s="24">
        <f t="shared" si="9"/>
        <v>4.6348314606741575E-2</v>
      </c>
      <c r="AA16" s="24">
        <f t="shared" si="10"/>
        <v>6.741573033707865E-2</v>
      </c>
      <c r="AB16" s="24" t="str">
        <f t="shared" si="11"/>
        <v/>
      </c>
    </row>
    <row r="17" spans="1:28" ht="19.5" customHeight="1" x14ac:dyDescent="0.25">
      <c r="A17" s="6" t="s">
        <v>559</v>
      </c>
      <c r="B17" s="60" t="s">
        <v>575</v>
      </c>
      <c r="C17" s="4" t="s">
        <v>96</v>
      </c>
      <c r="D17" s="19">
        <v>46385</v>
      </c>
      <c r="E17" s="20">
        <f t="shared" si="0"/>
        <v>46295</v>
      </c>
      <c r="F17" s="20">
        <f t="shared" si="1"/>
        <v>46325</v>
      </c>
      <c r="G17" s="20">
        <f t="shared" si="2"/>
        <v>46355</v>
      </c>
      <c r="H17" s="21">
        <v>500</v>
      </c>
      <c r="I17" s="5">
        <v>1410</v>
      </c>
      <c r="J17" s="22" t="str">
        <f t="shared" si="3"/>
        <v>Offer 1</v>
      </c>
      <c r="K17" s="59"/>
      <c r="L17" s="23" t="str">
        <f t="shared" si="4"/>
        <v/>
      </c>
      <c r="M17" s="23">
        <f t="shared" si="5"/>
        <v>1455</v>
      </c>
      <c r="N17" s="23">
        <f t="shared" si="6"/>
        <v>1605</v>
      </c>
      <c r="O17" s="23">
        <f t="shared" si="7"/>
        <v>1525</v>
      </c>
      <c r="P17" s="4"/>
      <c r="Q17" s="4"/>
      <c r="R17" s="4"/>
      <c r="S17" s="4"/>
      <c r="T17" s="4" t="s">
        <v>591</v>
      </c>
      <c r="U17" s="4"/>
      <c r="V17" s="23">
        <f>IF(C17="","",IFERROR(VLOOKUP(C17,SETUP!$A$9:$D$24,2,0),"⚠ Check SETUP"))</f>
        <v>1795</v>
      </c>
      <c r="W17" s="23">
        <f>IF(C17="","",IFERROR(VLOOKUP(C17,SETUP!$A$9:$D$24,3,0),"⚠ Check SETUP"))</f>
        <v>1476</v>
      </c>
      <c r="X17" s="22" t="str">
        <f>IF(C17="","",IFERROR(VLOOKUP(C17,SETUP!$A$9:$D$24,4,0),"⚠ Check SETUP"))</f>
        <v>Over</v>
      </c>
      <c r="Y17" s="24">
        <f t="shared" si="8"/>
        <v>3.1914893617021274E-2</v>
      </c>
      <c r="Z17" s="24">
        <f t="shared" si="9"/>
        <v>0.13829787234042554</v>
      </c>
      <c r="AA17" s="24">
        <f t="shared" si="10"/>
        <v>8.1560283687943269E-2</v>
      </c>
      <c r="AB17" s="24" t="str">
        <f t="shared" si="11"/>
        <v/>
      </c>
    </row>
    <row r="18" spans="1:28" ht="19.5" customHeight="1" x14ac:dyDescent="0.25">
      <c r="A18" s="6" t="s">
        <v>560</v>
      </c>
      <c r="B18" s="60" t="s">
        <v>576</v>
      </c>
      <c r="C18" s="4" t="s">
        <v>16</v>
      </c>
      <c r="D18" s="19">
        <v>46385</v>
      </c>
      <c r="E18" s="20">
        <f t="shared" si="0"/>
        <v>46295</v>
      </c>
      <c r="F18" s="20">
        <f t="shared" si="1"/>
        <v>46325</v>
      </c>
      <c r="G18" s="20">
        <f t="shared" si="2"/>
        <v>46355</v>
      </c>
      <c r="H18" s="21">
        <v>2440</v>
      </c>
      <c r="I18" s="5">
        <v>2440</v>
      </c>
      <c r="J18" s="22" t="str">
        <f t="shared" si="3"/>
        <v>Offer 1</v>
      </c>
      <c r="K18" s="59"/>
      <c r="L18" s="23" t="str">
        <f t="shared" si="4"/>
        <v/>
      </c>
      <c r="M18" s="23">
        <f t="shared" si="5"/>
        <v>2490</v>
      </c>
      <c r="N18" s="23">
        <f t="shared" si="6"/>
        <v>2515</v>
      </c>
      <c r="O18" s="23">
        <f t="shared" si="7"/>
        <v>2565</v>
      </c>
      <c r="P18" s="4"/>
      <c r="Q18" s="4"/>
      <c r="R18" s="4"/>
      <c r="S18" s="4"/>
      <c r="T18" s="4" t="s">
        <v>592</v>
      </c>
      <c r="U18" s="4"/>
      <c r="V18" s="23">
        <f>IF(C18="","",IFERROR(VLOOKUP(C18,SETUP!$A$9:$D$24,2,0),"⚠ Check SETUP"))</f>
        <v>2406</v>
      </c>
      <c r="W18" s="23">
        <f>IF(C18="","",IFERROR(VLOOKUP(C18,SETUP!$A$9:$D$24,3,0),"⚠ Check SETUP"))</f>
        <v>2361</v>
      </c>
      <c r="X18" s="22" t="str">
        <f>IF(C18="","",IFERROR(VLOOKUP(C18,SETUP!$A$9:$D$24,4,0),"⚠ Check SETUP"))</f>
        <v>Under</v>
      </c>
      <c r="Y18" s="24">
        <f t="shared" si="8"/>
        <v>2.0491803278688523E-2</v>
      </c>
      <c r="Z18" s="24">
        <f t="shared" si="9"/>
        <v>3.0737704918032786E-2</v>
      </c>
      <c r="AA18" s="24">
        <f t="shared" si="10"/>
        <v>5.1229508196721313E-2</v>
      </c>
      <c r="AB18" s="24" t="str">
        <f t="shared" si="11"/>
        <v/>
      </c>
    </row>
    <row r="19" spans="1:28" ht="19.5" customHeight="1" x14ac:dyDescent="0.25">
      <c r="A19" s="6" t="s">
        <v>561</v>
      </c>
      <c r="B19" s="60" t="s">
        <v>577</v>
      </c>
      <c r="C19" s="4" t="s">
        <v>101</v>
      </c>
      <c r="D19" s="19">
        <v>46387</v>
      </c>
      <c r="E19" s="20">
        <f t="shared" si="0"/>
        <v>46297</v>
      </c>
      <c r="F19" s="20">
        <f t="shared" si="1"/>
        <v>46327</v>
      </c>
      <c r="G19" s="20">
        <f t="shared" si="2"/>
        <v>46357</v>
      </c>
      <c r="H19" s="21">
        <v>0</v>
      </c>
      <c r="I19" s="5">
        <v>1970</v>
      </c>
      <c r="J19" s="22" t="str">
        <f t="shared" si="3"/>
        <v>Offer 1</v>
      </c>
      <c r="K19" s="59"/>
      <c r="L19" s="23" t="str">
        <f t="shared" si="4"/>
        <v/>
      </c>
      <c r="M19" s="23">
        <f t="shared" si="5"/>
        <v>2010</v>
      </c>
      <c r="N19" s="23">
        <f t="shared" si="6"/>
        <v>2030</v>
      </c>
      <c r="O19" s="23">
        <f t="shared" si="7"/>
        <v>2070</v>
      </c>
      <c r="P19" s="4"/>
      <c r="Q19" s="4"/>
      <c r="R19" s="4"/>
      <c r="S19" s="4"/>
      <c r="T19" s="4" t="s">
        <v>593</v>
      </c>
      <c r="U19" s="4"/>
      <c r="V19" s="23">
        <f>IF(C19="","",IFERROR(VLOOKUP(C19,SETUP!$A$9:$D$24,2,0),"⚠ Check SETUP"))</f>
        <v>1880</v>
      </c>
      <c r="W19" s="23">
        <f>IF(C19="","",IFERROR(VLOOKUP(C19,SETUP!$A$9:$D$24,3,0),"⚠ Check SETUP"))</f>
        <v>1976</v>
      </c>
      <c r="X19" s="22" t="str">
        <f>IF(C19="","",IFERROR(VLOOKUP(C19,SETUP!$A$9:$D$24,4,0),"⚠ Check SETUP"))</f>
        <v>Under</v>
      </c>
      <c r="Y19" s="24">
        <f t="shared" si="8"/>
        <v>2.030456852791878E-2</v>
      </c>
      <c r="Z19" s="24">
        <f t="shared" si="9"/>
        <v>3.0456852791878174E-2</v>
      </c>
      <c r="AA19" s="24">
        <f t="shared" si="10"/>
        <v>5.0761421319796954E-2</v>
      </c>
      <c r="AB19" s="24" t="str">
        <f t="shared" si="11"/>
        <v/>
      </c>
    </row>
    <row r="21" spans="1:28" ht="25.5" customHeight="1" x14ac:dyDescent="0.25">
      <c r="A21" s="94" t="s">
        <v>66</v>
      </c>
      <c r="B21" s="94"/>
      <c r="C21" s="94"/>
      <c r="D21" s="94"/>
      <c r="E21" s="94"/>
      <c r="F21" s="94"/>
      <c r="G21" s="94"/>
      <c r="H21" s="27"/>
    </row>
    <row r="22" spans="1:28" ht="21.75" customHeight="1" x14ac:dyDescent="0.25">
      <c r="A22" s="28" t="s">
        <v>67</v>
      </c>
      <c r="B22" s="28" t="s">
        <v>68</v>
      </c>
      <c r="C22" s="28" t="s">
        <v>69</v>
      </c>
      <c r="D22" s="28" t="s">
        <v>70</v>
      </c>
      <c r="E22" s="28" t="s">
        <v>71</v>
      </c>
      <c r="F22" s="27"/>
      <c r="G22" s="27"/>
      <c r="H22" s="27"/>
    </row>
    <row r="23" spans="1:28" ht="21.75" customHeight="1" x14ac:dyDescent="0.25">
      <c r="A23" s="29" t="s">
        <v>72</v>
      </c>
      <c r="B23" s="30">
        <f>COUNTA(A4:A19)</f>
        <v>16</v>
      </c>
      <c r="C23" s="31"/>
      <c r="D23" s="31"/>
      <c r="E23" s="31"/>
      <c r="F23" s="27"/>
      <c r="G23" s="27"/>
      <c r="H23" s="27"/>
    </row>
    <row r="24" spans="1:28" ht="21.75" customHeight="1" x14ac:dyDescent="0.25">
      <c r="A24" s="32" t="s">
        <v>73</v>
      </c>
      <c r="B24" s="33">
        <f>COUNTA(Q4:Q19)</f>
        <v>0</v>
      </c>
      <c r="C24" s="34">
        <f>IFERROR(B24/B23,"-")</f>
        <v>0</v>
      </c>
      <c r="D24" s="34" t="str">
        <f>IFERROR(B24/(B24+B25),"-")</f>
        <v>-</v>
      </c>
      <c r="E24" s="35" t="str">
        <f>IF(B23=0,"Awaiting data",IF(B24/B23&gt;=0.6,"On Track ✓","Needs Attention ⚠"))</f>
        <v>Needs Attention ⚠</v>
      </c>
      <c r="F24" s="27"/>
      <c r="G24" s="27"/>
      <c r="H24" s="27"/>
    </row>
    <row r="25" spans="1:28" ht="21.75" customHeight="1" x14ac:dyDescent="0.25">
      <c r="A25" s="36" t="s">
        <v>74</v>
      </c>
      <c r="B25" s="37">
        <f>COUNTA(S4:S19)</f>
        <v>0</v>
      </c>
      <c r="C25" s="38">
        <f>IFERROR(B25/B23,"-")</f>
        <v>0</v>
      </c>
      <c r="D25" s="38" t="str">
        <f>IFERROR(B25/(B24+B25),"-")</f>
        <v>-</v>
      </c>
      <c r="E25" s="39" t="str">
        <f>IF(B23=0,"Awaiting data",IF(B25/B23&lt;=0.2,"Acceptable","High NTV ⚠"))</f>
        <v>Acceptable</v>
      </c>
      <c r="F25" s="27"/>
      <c r="G25" s="27"/>
      <c r="H25" s="27"/>
    </row>
    <row r="26" spans="1:28" ht="21.75" customHeight="1" x14ac:dyDescent="0.25">
      <c r="A26" s="40" t="s">
        <v>75</v>
      </c>
      <c r="B26" s="41">
        <f>COUNTA(R4:R19)</f>
        <v>0</v>
      </c>
      <c r="C26" s="42">
        <f>IFERROR(B26/B23,"-")</f>
        <v>0</v>
      </c>
      <c r="D26" s="43" t="s">
        <v>76</v>
      </c>
      <c r="E26" s="44" t="s">
        <v>77</v>
      </c>
      <c r="F26" s="27"/>
      <c r="G26" s="27"/>
      <c r="H26" s="27"/>
    </row>
    <row r="27" spans="1:28" ht="21.75" customHeight="1" x14ac:dyDescent="0.25">
      <c r="A27" s="45" t="s">
        <v>78</v>
      </c>
      <c r="B27" s="46">
        <f>MAX(0,B23-B24-B25-B26)</f>
        <v>16</v>
      </c>
      <c r="C27" s="47">
        <f>IFERROR(B27/B23,"-")</f>
        <v>1</v>
      </c>
      <c r="D27" s="48" t="s">
        <v>76</v>
      </c>
      <c r="E27" s="49" t="str">
        <f>IF(B27=0,"All accounted for ✓","Follow up needed")</f>
        <v>Follow up needed</v>
      </c>
      <c r="F27" s="27"/>
      <c r="G27" s="27"/>
      <c r="H27" s="27"/>
    </row>
    <row r="28" spans="1:28" ht="7.5" customHeight="1" thickBot="1" x14ac:dyDescent="0.3">
      <c r="A28" s="27"/>
      <c r="B28" s="27"/>
      <c r="C28" s="27"/>
      <c r="D28" s="27"/>
      <c r="E28" s="27"/>
      <c r="F28" s="27"/>
      <c r="G28" s="27"/>
      <c r="H28" s="27"/>
    </row>
    <row r="29" spans="1:28" ht="37.5" customHeight="1" thickBot="1" x14ac:dyDescent="0.3">
      <c r="A29" s="95" t="s">
        <v>79</v>
      </c>
      <c r="B29" s="95"/>
      <c r="C29" s="50">
        <f>IFERROR(B24/B23,"-")</f>
        <v>0</v>
      </c>
      <c r="D29" s="96" t="str">
        <f>IF(B23=0,"Enter resident data to calculate",IF(B24/B23&gt;=0.6,"✓ Meeting target retention","⚠ Below target — review offers"))</f>
        <v>⚠ Below target — review offers</v>
      </c>
      <c r="E29" s="96"/>
      <c r="F29" s="96"/>
      <c r="G29" s="96"/>
      <c r="H29" s="27"/>
    </row>
    <row r="30" spans="1:28" ht="25.5" customHeight="1" x14ac:dyDescent="0.25">
      <c r="A30" s="97" t="s">
        <v>80</v>
      </c>
      <c r="B30" s="97"/>
      <c r="C30" s="51" t="str">
        <f>IFERROR(B24/(B24+B25),"-")</f>
        <v>-</v>
      </c>
      <c r="D30" s="98" t="s">
        <v>81</v>
      </c>
      <c r="E30" s="98"/>
      <c r="F30" s="98"/>
      <c r="G30" s="98"/>
      <c r="H30" s="27"/>
    </row>
    <row r="31" spans="1:28" ht="18" customHeight="1" x14ac:dyDescent="0.25">
      <c r="A31" s="27"/>
      <c r="B31" s="27"/>
      <c r="C31" s="27"/>
      <c r="D31" s="27"/>
      <c r="E31" s="27"/>
      <c r="F31" s="27"/>
      <c r="G31" s="27"/>
      <c r="H31" s="27"/>
    </row>
    <row r="32" spans="1:28" ht="7.5" customHeight="1" x14ac:dyDescent="0.25">
      <c r="A32" s="27"/>
      <c r="B32" s="27"/>
      <c r="C32" s="27"/>
      <c r="D32" s="27"/>
      <c r="E32" s="27"/>
      <c r="F32" s="27"/>
      <c r="G32" s="27"/>
      <c r="H32" s="27"/>
    </row>
    <row r="33" spans="1:8" ht="21.75" customHeight="1" x14ac:dyDescent="0.25">
      <c r="A33" s="52" t="s">
        <v>82</v>
      </c>
      <c r="B33" s="27"/>
      <c r="C33" s="27"/>
      <c r="D33" s="27"/>
      <c r="E33" s="27"/>
      <c r="F33" s="27"/>
      <c r="G33" s="27"/>
      <c r="H33" s="27"/>
    </row>
    <row r="34" spans="1:8" ht="18" customHeight="1" x14ac:dyDescent="0.25">
      <c r="A34" s="53" t="s">
        <v>83</v>
      </c>
      <c r="B34" s="27"/>
      <c r="C34" s="27"/>
      <c r="D34" s="27"/>
      <c r="E34" s="27"/>
      <c r="F34" s="27"/>
      <c r="G34" s="27"/>
      <c r="H34" s="27"/>
    </row>
    <row r="35" spans="1:8" ht="18" customHeight="1" x14ac:dyDescent="0.25">
      <c r="A35" s="54" t="s">
        <v>84</v>
      </c>
      <c r="B35" s="27"/>
      <c r="C35" s="27"/>
      <c r="D35" s="27"/>
      <c r="E35" s="27"/>
      <c r="F35" s="27"/>
      <c r="G35" s="27"/>
      <c r="H35" s="27"/>
    </row>
    <row r="36" spans="1:8" ht="18" customHeight="1" x14ac:dyDescent="0.25">
      <c r="A36" s="55" t="s">
        <v>85</v>
      </c>
      <c r="B36" s="27"/>
      <c r="C36" s="27"/>
      <c r="D36" s="27"/>
      <c r="E36" s="27"/>
      <c r="F36" s="27"/>
      <c r="G36" s="27"/>
      <c r="H36" s="27"/>
    </row>
    <row r="37" spans="1:8" ht="18" customHeight="1" x14ac:dyDescent="0.25">
      <c r="A37" s="56" t="s">
        <v>86</v>
      </c>
      <c r="B37" s="27"/>
      <c r="C37" s="27"/>
      <c r="D37" s="27"/>
      <c r="E37" s="27"/>
      <c r="F37" s="27"/>
      <c r="G37" s="27"/>
      <c r="H37" s="27"/>
    </row>
    <row r="38" spans="1:8" ht="18" customHeight="1" x14ac:dyDescent="0.25">
      <c r="A38" s="57" t="s">
        <v>87</v>
      </c>
      <c r="B38" s="27"/>
      <c r="C38" s="27"/>
      <c r="D38" s="27"/>
      <c r="E38" s="27"/>
      <c r="F38" s="27"/>
      <c r="G38" s="27"/>
      <c r="H38" s="27"/>
    </row>
    <row r="39" spans="1:8" ht="15" customHeight="1" x14ac:dyDescent="0.25">
      <c r="A39" s="27"/>
      <c r="B39" s="27"/>
      <c r="C39" s="27"/>
      <c r="D39" s="27"/>
      <c r="E39" s="27"/>
      <c r="F39" s="27"/>
      <c r="G39" s="27"/>
      <c r="H39" s="27"/>
    </row>
    <row r="40" spans="1:8" ht="15" customHeight="1" x14ac:dyDescent="0.25">
      <c r="A40" s="27"/>
      <c r="B40" s="27"/>
      <c r="C40" s="27"/>
      <c r="D40" s="27"/>
      <c r="E40" s="27"/>
      <c r="F40" s="27"/>
      <c r="G40" s="27"/>
      <c r="H40" s="27"/>
    </row>
    <row r="41" spans="1:8" ht="15" customHeight="1" x14ac:dyDescent="0.25">
      <c r="A41" s="27"/>
      <c r="B41" s="27"/>
      <c r="C41" s="27"/>
      <c r="D41" s="27"/>
      <c r="E41" s="27"/>
      <c r="F41" s="27"/>
      <c r="G41" s="27"/>
      <c r="H41" s="27"/>
    </row>
    <row r="42" spans="1:8" ht="15" customHeight="1" x14ac:dyDescent="0.25">
      <c r="A42" s="27"/>
      <c r="B42" s="27"/>
      <c r="C42" s="27"/>
      <c r="D42" s="27"/>
      <c r="E42" s="27"/>
      <c r="F42" s="27"/>
      <c r="G42" s="27"/>
      <c r="H42" s="27"/>
    </row>
    <row r="43" spans="1:8" ht="15" customHeight="1" x14ac:dyDescent="0.25">
      <c r="A43" s="27"/>
      <c r="B43" s="27"/>
      <c r="C43" s="27"/>
      <c r="D43" s="27"/>
      <c r="E43" s="27"/>
      <c r="F43" s="27"/>
      <c r="G43" s="27"/>
      <c r="H43" s="27"/>
    </row>
    <row r="44" spans="1:8" ht="15" customHeight="1" x14ac:dyDescent="0.25">
      <c r="A44" s="27"/>
      <c r="B44" s="27"/>
      <c r="C44" s="27"/>
      <c r="D44" s="27"/>
      <c r="E44" s="27"/>
      <c r="F44" s="27"/>
      <c r="G44" s="27"/>
      <c r="H44" s="27"/>
    </row>
    <row r="45" spans="1:8" ht="15" customHeight="1" x14ac:dyDescent="0.25">
      <c r="A45" s="27"/>
      <c r="B45" s="27"/>
      <c r="C45" s="27"/>
      <c r="D45" s="27"/>
      <c r="E45" s="27"/>
      <c r="F45" s="27"/>
      <c r="G45" s="27"/>
      <c r="H45" s="27"/>
    </row>
  </sheetData>
  <mergeCells count="6">
    <mergeCell ref="A1:AB1"/>
    <mergeCell ref="A21:G21"/>
    <mergeCell ref="A29:B29"/>
    <mergeCell ref="D29:G29"/>
    <mergeCell ref="A30:B30"/>
    <mergeCell ref="D30:G30"/>
  </mergeCells>
  <conditionalFormatting sqref="A4:U19">
    <cfRule type="expression" dxfId="5" priority="1">
      <formula>$S4&lt;&gt;""</formula>
    </cfRule>
    <cfRule type="expression" dxfId="4" priority="2">
      <formula>$R4&lt;&gt;""</formula>
    </cfRule>
    <cfRule type="expression" dxfId="3" priority="3">
      <formula>$Q4&lt;&gt;""</formula>
    </cfRule>
  </conditionalFormatting>
  <dataValidations count="1">
    <dataValidation type="list" allowBlank="1" showInputMessage="1" showErrorMessage="1" sqref="P4:P19" xr:uid="{DFDC7831-CEB0-413B-A534-6BFC6422B8D6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0"/>
  <sheetViews>
    <sheetView zoomScaleNormal="100" workbookViewId="0">
      <pane ySplit="3" topLeftCell="A4" activePane="bottomLeft" state="frozen"/>
      <selection pane="bottomLeft" sqref="A1:AB1"/>
    </sheetView>
  </sheetViews>
  <sheetFormatPr defaultColWidth="8.5703125" defaultRowHeight="15" customHeight="1" x14ac:dyDescent="0.25"/>
  <cols>
    <col min="1" max="1" width="23" customWidth="1"/>
    <col min="2" max="3" width="10" customWidth="1"/>
    <col min="4" max="4" width="14" customWidth="1"/>
    <col min="5" max="7" width="12" customWidth="1"/>
    <col min="8" max="9" width="13" customWidth="1"/>
    <col min="10" max="10" width="17" customWidth="1"/>
    <col min="11" max="11" width="16" customWidth="1"/>
    <col min="12" max="12" width="15" customWidth="1"/>
    <col min="13" max="13" width="21" customWidth="1"/>
    <col min="14" max="14" width="19" customWidth="1"/>
    <col min="15" max="15" width="21" customWidth="1"/>
    <col min="16" max="16" width="16" customWidth="1"/>
    <col min="17" max="17" width="14" customWidth="1"/>
    <col min="18" max="19" width="12" customWidth="1"/>
    <col min="20" max="20" width="13" customWidth="1"/>
    <col min="21" max="21" width="22" customWidth="1"/>
    <col min="22" max="22" width="14" customWidth="1"/>
    <col min="23" max="23" width="12" customWidth="1"/>
    <col min="24" max="27" width="20" customWidth="1"/>
    <col min="28" max="28" width="18" customWidth="1"/>
  </cols>
  <sheetData>
    <row r="1" spans="1:28" ht="34.5" customHeight="1" x14ac:dyDescent="0.25">
      <c r="A1" s="92" t="str">
        <f>SETUP!B3&amp;" - "&amp;SETUP!B4&amp;" Renewals"</f>
        <v>RISE Bartram Park  - April 2026 Renewals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93"/>
      <c r="AA1" s="93"/>
      <c r="AB1" s="93"/>
    </row>
    <row r="2" spans="1:28" ht="49.5" customHeight="1" x14ac:dyDescent="0.25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6" t="s">
        <v>49</v>
      </c>
      <c r="J2" s="16" t="s">
        <v>50</v>
      </c>
      <c r="K2" s="16" t="s">
        <v>88</v>
      </c>
      <c r="L2" s="16" t="s">
        <v>89</v>
      </c>
      <c r="M2" s="16" t="s">
        <v>51</v>
      </c>
      <c r="N2" s="16" t="s">
        <v>52</v>
      </c>
      <c r="O2" s="16" t="s">
        <v>53</v>
      </c>
      <c r="P2" s="16" t="s">
        <v>90</v>
      </c>
      <c r="Q2" s="16" t="s">
        <v>54</v>
      </c>
      <c r="R2" s="16" t="s">
        <v>35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60</v>
      </c>
      <c r="Y2" s="16" t="s">
        <v>61</v>
      </c>
      <c r="Z2" s="16" t="s">
        <v>62</v>
      </c>
      <c r="AA2" s="16" t="s">
        <v>63</v>
      </c>
      <c r="AB2" s="16" t="s">
        <v>91</v>
      </c>
    </row>
    <row r="3" spans="1:28" ht="12.75" customHeight="1" x14ac:dyDescent="0.25">
      <c r="A3" s="17" t="s">
        <v>64</v>
      </c>
      <c r="B3" s="17" t="s">
        <v>64</v>
      </c>
      <c r="C3" s="17" t="s">
        <v>64</v>
      </c>
      <c r="D3" s="17" t="s">
        <v>64</v>
      </c>
      <c r="E3" s="18" t="s">
        <v>65</v>
      </c>
      <c r="F3" s="18" t="s">
        <v>65</v>
      </c>
      <c r="G3" s="18" t="s">
        <v>65</v>
      </c>
      <c r="H3" s="17" t="s">
        <v>64</v>
      </c>
      <c r="I3" s="17" t="s">
        <v>64</v>
      </c>
      <c r="J3" s="18" t="s">
        <v>65</v>
      </c>
      <c r="K3" s="17" t="s">
        <v>64</v>
      </c>
      <c r="L3" s="18" t="s">
        <v>65</v>
      </c>
      <c r="M3" s="18" t="s">
        <v>65</v>
      </c>
      <c r="N3" s="18" t="s">
        <v>65</v>
      </c>
      <c r="O3" s="18" t="s">
        <v>65</v>
      </c>
      <c r="P3" s="17" t="s">
        <v>92</v>
      </c>
      <c r="Q3" s="17" t="s">
        <v>64</v>
      </c>
      <c r="R3" s="17" t="s">
        <v>64</v>
      </c>
      <c r="S3" s="17" t="s">
        <v>64</v>
      </c>
      <c r="T3" s="17" t="s">
        <v>64</v>
      </c>
      <c r="U3" s="17" t="s">
        <v>64</v>
      </c>
      <c r="V3" s="18" t="s">
        <v>65</v>
      </c>
      <c r="W3" s="18" t="s">
        <v>65</v>
      </c>
      <c r="X3" s="18" t="s">
        <v>65</v>
      </c>
      <c r="Y3" s="18" t="s">
        <v>65</v>
      </c>
      <c r="Z3" s="18" t="s">
        <v>65</v>
      </c>
      <c r="AA3" s="18" t="s">
        <v>65</v>
      </c>
      <c r="AB3" s="18" t="s">
        <v>65</v>
      </c>
    </row>
    <row r="4" spans="1:28" ht="19.5" customHeight="1" x14ac:dyDescent="0.25">
      <c r="A4" s="6"/>
      <c r="B4" s="4"/>
      <c r="C4" s="4"/>
      <c r="D4" s="19"/>
      <c r="E4" s="20" t="str">
        <f t="shared" ref="E4:E33" si="0">IF(D4="","",D4-90)</f>
        <v/>
      </c>
      <c r="F4" s="20" t="str">
        <f t="shared" ref="F4:F33" si="1">IF(D4="","",D4-60)</f>
        <v/>
      </c>
      <c r="G4" s="20" t="str">
        <f t="shared" ref="G4:G33" si="2">IF(D4="","",D4-30)</f>
        <v/>
      </c>
      <c r="H4" s="21"/>
      <c r="I4" s="5"/>
      <c r="J4" s="22" t="str">
        <f t="shared" ref="J4:J33" si="3">IF(I4="","",IF(ABS(N4-W4)&lt;=ABS(M4-W4),IF(ABS(N4-W4)&lt;=ABS(O4-W4),"Offer 2","Offer 3"),IF(ABS(M4-W4)&lt;=ABS(O4-W4),"Offer 1","Offer 3")))</f>
        <v/>
      </c>
      <c r="K4" s="59"/>
      <c r="L4" s="23" t="str">
        <f t="shared" ref="L4:L33" si="4">IF(OR(I4="",K4=""),"",CEILING(I4*(1+K4),5))</f>
        <v/>
      </c>
      <c r="M4" s="23" t="str">
        <f t="shared" ref="M4:M33" si="5">IF(I4="","",IF(X4="Under",CEILING(MAX(I4*1.02,MIN(V4,W4)*0.95),5),CEILING(MAX(I4*1.03,MIN(V4,W4)*0.97),5)))</f>
        <v/>
      </c>
      <c r="N4" s="23" t="str">
        <f t="shared" ref="N4:N33" si="6">IF(I4="","",IF(X4="Under",CEILING(MAX(I4*1.03,(V4+W4)/2*0.96),5),CEILING(MAX(I4*1.05,(V4+W4)/2*0.98),5)))</f>
        <v/>
      </c>
      <c r="O4" s="23" t="str">
        <f t="shared" ref="O4:O33" si="7">IF(I4="","",IF(X4="Under",CEILING(MAX(I4*1.05,MIN(V4,W4*1.01)),5),CEILING(MAX(I4*1.08,MIN(V4,W4*1.02)),5)))</f>
        <v/>
      </c>
      <c r="P4" s="4"/>
      <c r="Q4" s="4"/>
      <c r="R4" s="4"/>
      <c r="S4" s="4"/>
      <c r="T4" s="4"/>
      <c r="U4" s="4"/>
      <c r="V4" s="23" t="str">
        <f>IF(C4="","",IFERROR(VLOOKUP(C4,SETUP!$A$9:$D$24,2,0),"⚠ Check SETUP"))</f>
        <v/>
      </c>
      <c r="W4" s="23" t="str">
        <f>IF(C4="","",IFERROR(VLOOKUP(C4,SETUP!$A$9:$D$24,3,0),"⚠ Check SETUP"))</f>
        <v/>
      </c>
      <c r="X4" s="22" t="str">
        <f>IF(C4="","",IFERROR(VLOOKUP(C4,SETUP!$A$9:$D$24,4,0),"⚠ Check SETUP"))</f>
        <v/>
      </c>
      <c r="Y4" s="24" t="str">
        <f t="shared" ref="Y4:Y33" si="8">IF(OR(I4="",M4=""),"",(M4-I4)/I4)</f>
        <v/>
      </c>
      <c r="Z4" s="24" t="str">
        <f t="shared" ref="Z4:Z33" si="9">IF(OR(I4="",N4=""),"",(N4-I4)/I4)</f>
        <v/>
      </c>
      <c r="AA4" s="24" t="str">
        <f t="shared" ref="AA4:AA33" si="10">IF(OR(I4="",O4=""),"",(O4-I4)/I4)</f>
        <v/>
      </c>
      <c r="AB4" s="24" t="str">
        <f t="shared" ref="AB4:AB33" si="11">IF(OR(Q4="",S4&lt;&gt;"",P4="",I4=""),"",IF(P4="Investor Override",IF(L4="","",(L4-I4)/I4),IF(P4="Offer 1",IF(M4="","",(M4-I4)/I4),IF(P4="Offer 2",IF(N4="","",(N4-I4)/I4),IF(P4="Offer 3",IF(O4="","",(O4-I4)/I4),"")))))</f>
        <v/>
      </c>
    </row>
    <row r="5" spans="1:28" ht="19.5" customHeight="1" x14ac:dyDescent="0.25">
      <c r="A5" s="6"/>
      <c r="B5" s="4"/>
      <c r="C5" s="4"/>
      <c r="D5" s="19"/>
      <c r="E5" s="20" t="str">
        <f t="shared" si="0"/>
        <v/>
      </c>
      <c r="F5" s="20" t="str">
        <f t="shared" si="1"/>
        <v/>
      </c>
      <c r="G5" s="20" t="str">
        <f t="shared" si="2"/>
        <v/>
      </c>
      <c r="H5" s="21"/>
      <c r="I5" s="5"/>
      <c r="J5" s="22" t="str">
        <f t="shared" si="3"/>
        <v/>
      </c>
      <c r="K5" s="59"/>
      <c r="L5" s="23" t="str">
        <f t="shared" si="4"/>
        <v/>
      </c>
      <c r="M5" s="23" t="str">
        <f t="shared" si="5"/>
        <v/>
      </c>
      <c r="N5" s="23" t="str">
        <f t="shared" si="6"/>
        <v/>
      </c>
      <c r="O5" s="23" t="str">
        <f t="shared" si="7"/>
        <v/>
      </c>
      <c r="P5" s="4"/>
      <c r="Q5" s="4"/>
      <c r="R5" s="4"/>
      <c r="S5" s="4"/>
      <c r="T5" s="4"/>
      <c r="U5" s="4"/>
      <c r="V5" s="23" t="str">
        <f>IF(C5="","",IFERROR(VLOOKUP(C5,SETUP!$A$9:$D$24,2,0),"⚠ Check SETUP"))</f>
        <v/>
      </c>
      <c r="W5" s="23" t="str">
        <f>IF(C5="","",IFERROR(VLOOKUP(C5,SETUP!$A$9:$D$24,3,0),"⚠ Check SETUP"))</f>
        <v/>
      </c>
      <c r="X5" s="22" t="str">
        <f>IF(C5="","",IFERROR(VLOOKUP(C5,SETUP!$A$9:$D$24,4,0),"⚠ Check SETUP"))</f>
        <v/>
      </c>
      <c r="Y5" s="24" t="str">
        <f t="shared" si="8"/>
        <v/>
      </c>
      <c r="Z5" s="24" t="str">
        <f t="shared" si="9"/>
        <v/>
      </c>
      <c r="AA5" s="24" t="str">
        <f t="shared" si="10"/>
        <v/>
      </c>
      <c r="AB5" s="24" t="str">
        <f t="shared" si="11"/>
        <v/>
      </c>
    </row>
    <row r="6" spans="1:28" ht="19.5" customHeight="1" x14ac:dyDescent="0.25">
      <c r="A6" s="6"/>
      <c r="B6" s="4"/>
      <c r="C6" s="4"/>
      <c r="D6" s="19"/>
      <c r="E6" s="20" t="str">
        <f t="shared" si="0"/>
        <v/>
      </c>
      <c r="F6" s="20" t="str">
        <f t="shared" si="1"/>
        <v/>
      </c>
      <c r="G6" s="20" t="str">
        <f t="shared" si="2"/>
        <v/>
      </c>
      <c r="H6" s="21"/>
      <c r="I6" s="5"/>
      <c r="J6" s="22" t="str">
        <f t="shared" si="3"/>
        <v/>
      </c>
      <c r="K6" s="59"/>
      <c r="L6" s="23" t="str">
        <f t="shared" si="4"/>
        <v/>
      </c>
      <c r="M6" s="23" t="str">
        <f t="shared" si="5"/>
        <v/>
      </c>
      <c r="N6" s="23" t="str">
        <f t="shared" si="6"/>
        <v/>
      </c>
      <c r="O6" s="23" t="str">
        <f t="shared" si="7"/>
        <v/>
      </c>
      <c r="P6" s="4"/>
      <c r="Q6" s="4"/>
      <c r="R6" s="4"/>
      <c r="S6" s="4"/>
      <c r="T6" s="4"/>
      <c r="U6" s="4"/>
      <c r="V6" s="23" t="str">
        <f>IF(C6="","",IFERROR(VLOOKUP(C6,SETUP!$A$9:$D$24,2,0),"⚠ Check SETUP"))</f>
        <v/>
      </c>
      <c r="W6" s="23" t="str">
        <f>IF(C6="","",IFERROR(VLOOKUP(C6,SETUP!$A$9:$D$24,3,0),"⚠ Check SETUP"))</f>
        <v/>
      </c>
      <c r="X6" s="22" t="str">
        <f>IF(C6="","",IFERROR(VLOOKUP(C6,SETUP!$A$9:$D$24,4,0),"⚠ Check SETUP"))</f>
        <v/>
      </c>
      <c r="Y6" s="24" t="str">
        <f t="shared" si="8"/>
        <v/>
      </c>
      <c r="Z6" s="24" t="str">
        <f t="shared" si="9"/>
        <v/>
      </c>
      <c r="AA6" s="24" t="str">
        <f t="shared" si="10"/>
        <v/>
      </c>
      <c r="AB6" s="24" t="str">
        <f t="shared" si="11"/>
        <v/>
      </c>
    </row>
    <row r="7" spans="1:28" ht="19.5" customHeight="1" x14ac:dyDescent="0.25">
      <c r="A7" s="6"/>
      <c r="B7" s="4"/>
      <c r="C7" s="4"/>
      <c r="D7" s="19"/>
      <c r="E7" s="20" t="str">
        <f t="shared" si="0"/>
        <v/>
      </c>
      <c r="F7" s="20" t="str">
        <f t="shared" si="1"/>
        <v/>
      </c>
      <c r="G7" s="20" t="str">
        <f t="shared" si="2"/>
        <v/>
      </c>
      <c r="H7" s="21"/>
      <c r="I7" s="5"/>
      <c r="J7" s="22" t="str">
        <f t="shared" si="3"/>
        <v/>
      </c>
      <c r="K7" s="59"/>
      <c r="L7" s="23" t="str">
        <f t="shared" si="4"/>
        <v/>
      </c>
      <c r="M7" s="23" t="str">
        <f t="shared" si="5"/>
        <v/>
      </c>
      <c r="N7" s="23" t="str">
        <f t="shared" si="6"/>
        <v/>
      </c>
      <c r="O7" s="23" t="str">
        <f t="shared" si="7"/>
        <v/>
      </c>
      <c r="P7" s="4"/>
      <c r="Q7" s="4"/>
      <c r="R7" s="4"/>
      <c r="S7" s="4"/>
      <c r="T7" s="4"/>
      <c r="U7" s="4"/>
      <c r="V7" s="23" t="str">
        <f>IF(C7="","",IFERROR(VLOOKUP(C7,SETUP!$A$9:$D$24,2,0),"⚠ Check SETUP"))</f>
        <v/>
      </c>
      <c r="W7" s="23" t="str">
        <f>IF(C7="","",IFERROR(VLOOKUP(C7,SETUP!$A$9:$D$24,3,0),"⚠ Check SETUP"))</f>
        <v/>
      </c>
      <c r="X7" s="22" t="str">
        <f>IF(C7="","",IFERROR(VLOOKUP(C7,SETUP!$A$9:$D$24,4,0),"⚠ Check SETUP"))</f>
        <v/>
      </c>
      <c r="Y7" s="24" t="str">
        <f t="shared" si="8"/>
        <v/>
      </c>
      <c r="Z7" s="24" t="str">
        <f t="shared" si="9"/>
        <v/>
      </c>
      <c r="AA7" s="24" t="str">
        <f t="shared" si="10"/>
        <v/>
      </c>
      <c r="AB7" s="24" t="str">
        <f t="shared" si="11"/>
        <v/>
      </c>
    </row>
    <row r="8" spans="1:28" ht="19.5" customHeight="1" x14ac:dyDescent="0.25">
      <c r="A8" s="6"/>
      <c r="B8" s="4"/>
      <c r="C8" s="4"/>
      <c r="D8" s="19"/>
      <c r="E8" s="20" t="str">
        <f t="shared" si="0"/>
        <v/>
      </c>
      <c r="F8" s="20" t="str">
        <f t="shared" si="1"/>
        <v/>
      </c>
      <c r="G8" s="20" t="str">
        <f t="shared" si="2"/>
        <v/>
      </c>
      <c r="H8" s="21"/>
      <c r="I8" s="5"/>
      <c r="J8" s="22" t="str">
        <f t="shared" si="3"/>
        <v/>
      </c>
      <c r="K8" s="59"/>
      <c r="L8" s="23" t="str">
        <f t="shared" si="4"/>
        <v/>
      </c>
      <c r="M8" s="23" t="str">
        <f t="shared" si="5"/>
        <v/>
      </c>
      <c r="N8" s="23" t="str">
        <f t="shared" si="6"/>
        <v/>
      </c>
      <c r="O8" s="23" t="str">
        <f t="shared" si="7"/>
        <v/>
      </c>
      <c r="P8" s="4"/>
      <c r="Q8" s="4"/>
      <c r="R8" s="4"/>
      <c r="S8" s="4"/>
      <c r="T8" s="4"/>
      <c r="U8" s="4"/>
      <c r="V8" s="23" t="str">
        <f>IF(C8="","",IFERROR(VLOOKUP(C8,SETUP!$A$9:$D$24,2,0),"⚠ Check SETUP"))</f>
        <v/>
      </c>
      <c r="W8" s="23" t="str">
        <f>IF(C8="","",IFERROR(VLOOKUP(C8,SETUP!$A$9:$D$24,3,0),"⚠ Check SETUP"))</f>
        <v/>
      </c>
      <c r="X8" s="22" t="str">
        <f>IF(C8="","",IFERROR(VLOOKUP(C8,SETUP!$A$9:$D$24,4,0),"⚠ Check SETUP"))</f>
        <v/>
      </c>
      <c r="Y8" s="24" t="str">
        <f t="shared" si="8"/>
        <v/>
      </c>
      <c r="Z8" s="24" t="str">
        <f t="shared" si="9"/>
        <v/>
      </c>
      <c r="AA8" s="24" t="str">
        <f t="shared" si="10"/>
        <v/>
      </c>
      <c r="AB8" s="24" t="str">
        <f t="shared" si="11"/>
        <v/>
      </c>
    </row>
    <row r="9" spans="1:28" ht="19.5" customHeight="1" x14ac:dyDescent="0.25">
      <c r="A9" s="6"/>
      <c r="B9" s="4"/>
      <c r="C9" s="4"/>
      <c r="D9" s="19"/>
      <c r="E9" s="20" t="str">
        <f t="shared" si="0"/>
        <v/>
      </c>
      <c r="F9" s="20" t="str">
        <f t="shared" si="1"/>
        <v/>
      </c>
      <c r="G9" s="20" t="str">
        <f t="shared" si="2"/>
        <v/>
      </c>
      <c r="H9" s="21"/>
      <c r="I9" s="5"/>
      <c r="J9" s="22" t="str">
        <f t="shared" si="3"/>
        <v/>
      </c>
      <c r="K9" s="59"/>
      <c r="L9" s="23" t="str">
        <f t="shared" si="4"/>
        <v/>
      </c>
      <c r="M9" s="23" t="str">
        <f t="shared" si="5"/>
        <v/>
      </c>
      <c r="N9" s="23" t="str">
        <f t="shared" si="6"/>
        <v/>
      </c>
      <c r="O9" s="23" t="str">
        <f t="shared" si="7"/>
        <v/>
      </c>
      <c r="P9" s="4"/>
      <c r="Q9" s="4"/>
      <c r="R9" s="4"/>
      <c r="S9" s="4"/>
      <c r="T9" s="4"/>
      <c r="U9" s="4"/>
      <c r="V9" s="23" t="str">
        <f>IF(C9="","",IFERROR(VLOOKUP(C9,SETUP!$A$9:$D$24,2,0),"⚠ Check SETUP"))</f>
        <v/>
      </c>
      <c r="W9" s="23" t="str">
        <f>IF(C9="","",IFERROR(VLOOKUP(C9,SETUP!$A$9:$D$24,3,0),"⚠ Check SETUP"))</f>
        <v/>
      </c>
      <c r="X9" s="22" t="str">
        <f>IF(C9="","",IFERROR(VLOOKUP(C9,SETUP!$A$9:$D$24,4,0),"⚠ Check SETUP"))</f>
        <v/>
      </c>
      <c r="Y9" s="24" t="str">
        <f t="shared" si="8"/>
        <v/>
      </c>
      <c r="Z9" s="24" t="str">
        <f t="shared" si="9"/>
        <v/>
      </c>
      <c r="AA9" s="24" t="str">
        <f t="shared" si="10"/>
        <v/>
      </c>
      <c r="AB9" s="24" t="str">
        <f t="shared" si="11"/>
        <v/>
      </c>
    </row>
    <row r="10" spans="1:28" ht="19.5" customHeight="1" x14ac:dyDescent="0.25">
      <c r="A10" s="6"/>
      <c r="B10" s="4"/>
      <c r="C10" s="4"/>
      <c r="D10" s="19"/>
      <c r="E10" s="20" t="str">
        <f t="shared" si="0"/>
        <v/>
      </c>
      <c r="F10" s="20" t="str">
        <f t="shared" si="1"/>
        <v/>
      </c>
      <c r="G10" s="20" t="str">
        <f t="shared" si="2"/>
        <v/>
      </c>
      <c r="H10" s="21"/>
      <c r="I10" s="5"/>
      <c r="J10" s="22" t="str">
        <f t="shared" si="3"/>
        <v/>
      </c>
      <c r="K10" s="59"/>
      <c r="L10" s="23" t="str">
        <f t="shared" si="4"/>
        <v/>
      </c>
      <c r="M10" s="23" t="str">
        <f t="shared" si="5"/>
        <v/>
      </c>
      <c r="N10" s="23" t="str">
        <f t="shared" si="6"/>
        <v/>
      </c>
      <c r="O10" s="23" t="str">
        <f t="shared" si="7"/>
        <v/>
      </c>
      <c r="P10" s="4"/>
      <c r="Q10" s="4"/>
      <c r="R10" s="4"/>
      <c r="S10" s="4"/>
      <c r="T10" s="4"/>
      <c r="U10" s="4"/>
      <c r="V10" s="23" t="str">
        <f>IF(C10="","",IFERROR(VLOOKUP(C10,SETUP!$A$9:$D$24,2,0),"⚠ Check SETUP"))</f>
        <v/>
      </c>
      <c r="W10" s="23" t="str">
        <f>IF(C10="","",IFERROR(VLOOKUP(C10,SETUP!$A$9:$D$24,3,0),"⚠ Check SETUP"))</f>
        <v/>
      </c>
      <c r="X10" s="22" t="str">
        <f>IF(C10="","",IFERROR(VLOOKUP(C10,SETUP!$A$9:$D$24,4,0),"⚠ Check SETUP"))</f>
        <v/>
      </c>
      <c r="Y10" s="24" t="str">
        <f t="shared" si="8"/>
        <v/>
      </c>
      <c r="Z10" s="24" t="str">
        <f t="shared" si="9"/>
        <v/>
      </c>
      <c r="AA10" s="24" t="str">
        <f t="shared" si="10"/>
        <v/>
      </c>
      <c r="AB10" s="24" t="str">
        <f t="shared" si="11"/>
        <v/>
      </c>
    </row>
    <row r="11" spans="1:28" ht="19.5" customHeight="1" x14ac:dyDescent="0.25">
      <c r="A11" s="6"/>
      <c r="B11" s="4"/>
      <c r="C11" s="4"/>
      <c r="D11" s="19"/>
      <c r="E11" s="20" t="str">
        <f t="shared" si="0"/>
        <v/>
      </c>
      <c r="F11" s="20" t="str">
        <f t="shared" si="1"/>
        <v/>
      </c>
      <c r="G11" s="20" t="str">
        <f t="shared" si="2"/>
        <v/>
      </c>
      <c r="H11" s="21"/>
      <c r="I11" s="5"/>
      <c r="J11" s="22" t="str">
        <f t="shared" si="3"/>
        <v/>
      </c>
      <c r="K11" s="59"/>
      <c r="L11" s="23" t="str">
        <f t="shared" si="4"/>
        <v/>
      </c>
      <c r="M11" s="23" t="str">
        <f t="shared" si="5"/>
        <v/>
      </c>
      <c r="N11" s="23" t="str">
        <f t="shared" si="6"/>
        <v/>
      </c>
      <c r="O11" s="23" t="str">
        <f t="shared" si="7"/>
        <v/>
      </c>
      <c r="P11" s="4"/>
      <c r="Q11" s="4"/>
      <c r="R11" s="4"/>
      <c r="S11" s="4"/>
      <c r="T11" s="4"/>
      <c r="U11" s="4"/>
      <c r="V11" s="23" t="str">
        <f>IF(C11="","",IFERROR(VLOOKUP(C11,SETUP!$A$9:$D$24,2,0),"⚠ Check SETUP"))</f>
        <v/>
      </c>
      <c r="W11" s="23" t="str">
        <f>IF(C11="","",IFERROR(VLOOKUP(C11,SETUP!$A$9:$D$24,3,0),"⚠ Check SETUP"))</f>
        <v/>
      </c>
      <c r="X11" s="22" t="str">
        <f>IF(C11="","",IFERROR(VLOOKUP(C11,SETUP!$A$9:$D$24,4,0),"⚠ Check SETUP"))</f>
        <v/>
      </c>
      <c r="Y11" s="24" t="str">
        <f t="shared" si="8"/>
        <v/>
      </c>
      <c r="Z11" s="24" t="str">
        <f t="shared" si="9"/>
        <v/>
      </c>
      <c r="AA11" s="24" t="str">
        <f t="shared" si="10"/>
        <v/>
      </c>
      <c r="AB11" s="24" t="str">
        <f t="shared" si="11"/>
        <v/>
      </c>
    </row>
    <row r="12" spans="1:28" ht="19.5" customHeight="1" x14ac:dyDescent="0.25">
      <c r="A12" s="6"/>
      <c r="B12" s="4"/>
      <c r="C12" s="4"/>
      <c r="D12" s="19"/>
      <c r="E12" s="20" t="str">
        <f t="shared" si="0"/>
        <v/>
      </c>
      <c r="F12" s="20" t="str">
        <f t="shared" si="1"/>
        <v/>
      </c>
      <c r="G12" s="20" t="str">
        <f t="shared" si="2"/>
        <v/>
      </c>
      <c r="H12" s="21"/>
      <c r="I12" s="5"/>
      <c r="J12" s="22" t="str">
        <f t="shared" si="3"/>
        <v/>
      </c>
      <c r="K12" s="59"/>
      <c r="L12" s="23" t="str">
        <f t="shared" si="4"/>
        <v/>
      </c>
      <c r="M12" s="23" t="str">
        <f t="shared" si="5"/>
        <v/>
      </c>
      <c r="N12" s="23" t="str">
        <f t="shared" si="6"/>
        <v/>
      </c>
      <c r="O12" s="23" t="str">
        <f t="shared" si="7"/>
        <v/>
      </c>
      <c r="P12" s="4"/>
      <c r="Q12" s="4"/>
      <c r="R12" s="4"/>
      <c r="S12" s="4"/>
      <c r="T12" s="4"/>
      <c r="U12" s="4"/>
      <c r="V12" s="23" t="str">
        <f>IF(C12="","",IFERROR(VLOOKUP(C12,SETUP!$A$9:$D$24,2,0),"⚠ Check SETUP"))</f>
        <v/>
      </c>
      <c r="W12" s="23" t="str">
        <f>IF(C12="","",IFERROR(VLOOKUP(C12,SETUP!$A$9:$D$24,3,0),"⚠ Check SETUP"))</f>
        <v/>
      </c>
      <c r="X12" s="22" t="str">
        <f>IF(C12="","",IFERROR(VLOOKUP(C12,SETUP!$A$9:$D$24,4,0),"⚠ Check SETUP"))</f>
        <v/>
      </c>
      <c r="Y12" s="24" t="str">
        <f t="shared" si="8"/>
        <v/>
      </c>
      <c r="Z12" s="24" t="str">
        <f t="shared" si="9"/>
        <v/>
      </c>
      <c r="AA12" s="24" t="str">
        <f t="shared" si="10"/>
        <v/>
      </c>
      <c r="AB12" s="24" t="str">
        <f t="shared" si="11"/>
        <v/>
      </c>
    </row>
    <row r="13" spans="1:28" ht="19.5" customHeight="1" x14ac:dyDescent="0.25">
      <c r="A13" s="6"/>
      <c r="B13" s="4"/>
      <c r="C13" s="4"/>
      <c r="D13" s="19"/>
      <c r="E13" s="20" t="str">
        <f t="shared" si="0"/>
        <v/>
      </c>
      <c r="F13" s="20" t="str">
        <f t="shared" si="1"/>
        <v/>
      </c>
      <c r="G13" s="20" t="str">
        <f t="shared" si="2"/>
        <v/>
      </c>
      <c r="H13" s="21"/>
      <c r="I13" s="5"/>
      <c r="J13" s="22" t="str">
        <f t="shared" si="3"/>
        <v/>
      </c>
      <c r="K13" s="59"/>
      <c r="L13" s="23" t="str">
        <f t="shared" si="4"/>
        <v/>
      </c>
      <c r="M13" s="23" t="str">
        <f t="shared" si="5"/>
        <v/>
      </c>
      <c r="N13" s="23" t="str">
        <f t="shared" si="6"/>
        <v/>
      </c>
      <c r="O13" s="23" t="str">
        <f t="shared" si="7"/>
        <v/>
      </c>
      <c r="P13" s="4"/>
      <c r="Q13" s="4"/>
      <c r="R13" s="4"/>
      <c r="S13" s="4"/>
      <c r="T13" s="4"/>
      <c r="U13" s="4"/>
      <c r="V13" s="23" t="str">
        <f>IF(C13="","",IFERROR(VLOOKUP(C13,SETUP!$A$9:$D$24,2,0),"⚠ Check SETUP"))</f>
        <v/>
      </c>
      <c r="W13" s="23" t="str">
        <f>IF(C13="","",IFERROR(VLOOKUP(C13,SETUP!$A$9:$D$24,3,0),"⚠ Check SETUP"))</f>
        <v/>
      </c>
      <c r="X13" s="22" t="str">
        <f>IF(C13="","",IFERROR(VLOOKUP(C13,SETUP!$A$9:$D$24,4,0),"⚠ Check SETUP"))</f>
        <v/>
      </c>
      <c r="Y13" s="24" t="str">
        <f t="shared" si="8"/>
        <v/>
      </c>
      <c r="Z13" s="24" t="str">
        <f t="shared" si="9"/>
        <v/>
      </c>
      <c r="AA13" s="24" t="str">
        <f t="shared" si="10"/>
        <v/>
      </c>
      <c r="AB13" s="24" t="str">
        <f t="shared" si="11"/>
        <v/>
      </c>
    </row>
    <row r="14" spans="1:28" ht="19.5" customHeight="1" x14ac:dyDescent="0.25">
      <c r="A14" s="6"/>
      <c r="B14" s="4"/>
      <c r="C14" s="4"/>
      <c r="D14" s="19"/>
      <c r="E14" s="20" t="str">
        <f t="shared" si="0"/>
        <v/>
      </c>
      <c r="F14" s="20" t="str">
        <f t="shared" si="1"/>
        <v/>
      </c>
      <c r="G14" s="20" t="str">
        <f t="shared" si="2"/>
        <v/>
      </c>
      <c r="H14" s="21"/>
      <c r="I14" s="5"/>
      <c r="J14" s="22" t="str">
        <f t="shared" si="3"/>
        <v/>
      </c>
      <c r="K14" s="59"/>
      <c r="L14" s="23" t="str">
        <f t="shared" si="4"/>
        <v/>
      </c>
      <c r="M14" s="23" t="str">
        <f t="shared" si="5"/>
        <v/>
      </c>
      <c r="N14" s="23" t="str">
        <f t="shared" si="6"/>
        <v/>
      </c>
      <c r="O14" s="23" t="str">
        <f t="shared" si="7"/>
        <v/>
      </c>
      <c r="P14" s="4"/>
      <c r="Q14" s="4"/>
      <c r="R14" s="4"/>
      <c r="S14" s="4"/>
      <c r="T14" s="4"/>
      <c r="U14" s="4"/>
      <c r="V14" s="23" t="str">
        <f>IF(C14="","",IFERROR(VLOOKUP(C14,SETUP!$A$9:$D$24,2,0),"⚠ Check SETUP"))</f>
        <v/>
      </c>
      <c r="W14" s="23" t="str">
        <f>IF(C14="","",IFERROR(VLOOKUP(C14,SETUP!$A$9:$D$24,3,0),"⚠ Check SETUP"))</f>
        <v/>
      </c>
      <c r="X14" s="22" t="str">
        <f>IF(C14="","",IFERROR(VLOOKUP(C14,SETUP!$A$9:$D$24,4,0),"⚠ Check SETUP"))</f>
        <v/>
      </c>
      <c r="Y14" s="24" t="str">
        <f t="shared" si="8"/>
        <v/>
      </c>
      <c r="Z14" s="24" t="str">
        <f t="shared" si="9"/>
        <v/>
      </c>
      <c r="AA14" s="24" t="str">
        <f t="shared" si="10"/>
        <v/>
      </c>
      <c r="AB14" s="24" t="str">
        <f t="shared" si="11"/>
        <v/>
      </c>
    </row>
    <row r="15" spans="1:28" ht="19.5" customHeight="1" x14ac:dyDescent="0.25">
      <c r="A15" s="6"/>
      <c r="B15" s="4"/>
      <c r="C15" s="4"/>
      <c r="D15" s="19"/>
      <c r="E15" s="20" t="str">
        <f t="shared" si="0"/>
        <v/>
      </c>
      <c r="F15" s="20" t="str">
        <f t="shared" si="1"/>
        <v/>
      </c>
      <c r="G15" s="20" t="str">
        <f t="shared" si="2"/>
        <v/>
      </c>
      <c r="H15" s="21"/>
      <c r="I15" s="5"/>
      <c r="J15" s="22" t="str">
        <f t="shared" si="3"/>
        <v/>
      </c>
      <c r="K15" s="59"/>
      <c r="L15" s="23" t="str">
        <f t="shared" si="4"/>
        <v/>
      </c>
      <c r="M15" s="23" t="str">
        <f t="shared" si="5"/>
        <v/>
      </c>
      <c r="N15" s="23" t="str">
        <f t="shared" si="6"/>
        <v/>
      </c>
      <c r="O15" s="23" t="str">
        <f t="shared" si="7"/>
        <v/>
      </c>
      <c r="P15" s="4"/>
      <c r="Q15" s="4"/>
      <c r="R15" s="4"/>
      <c r="S15" s="4"/>
      <c r="T15" s="4"/>
      <c r="U15" s="4"/>
      <c r="V15" s="23" t="str">
        <f>IF(C15="","",IFERROR(VLOOKUP(C15,SETUP!$A$9:$D$24,2,0),"⚠ Check SETUP"))</f>
        <v/>
      </c>
      <c r="W15" s="23" t="str">
        <f>IF(C15="","",IFERROR(VLOOKUP(C15,SETUP!$A$9:$D$24,3,0),"⚠ Check SETUP"))</f>
        <v/>
      </c>
      <c r="X15" s="22" t="str">
        <f>IF(C15="","",IFERROR(VLOOKUP(C15,SETUP!$A$9:$D$24,4,0),"⚠ Check SETUP"))</f>
        <v/>
      </c>
      <c r="Y15" s="24" t="str">
        <f t="shared" si="8"/>
        <v/>
      </c>
      <c r="Z15" s="24" t="str">
        <f t="shared" si="9"/>
        <v/>
      </c>
      <c r="AA15" s="24" t="str">
        <f t="shared" si="10"/>
        <v/>
      </c>
      <c r="AB15" s="24" t="str">
        <f t="shared" si="11"/>
        <v/>
      </c>
    </row>
    <row r="16" spans="1:28" ht="19.5" customHeight="1" x14ac:dyDescent="0.25">
      <c r="A16" s="6"/>
      <c r="B16" s="4"/>
      <c r="C16" s="4"/>
      <c r="D16" s="19"/>
      <c r="E16" s="20" t="str">
        <f t="shared" si="0"/>
        <v/>
      </c>
      <c r="F16" s="20" t="str">
        <f t="shared" si="1"/>
        <v/>
      </c>
      <c r="G16" s="20" t="str">
        <f t="shared" si="2"/>
        <v/>
      </c>
      <c r="H16" s="21"/>
      <c r="I16" s="5"/>
      <c r="J16" s="22" t="str">
        <f t="shared" si="3"/>
        <v/>
      </c>
      <c r="K16" s="59"/>
      <c r="L16" s="23" t="str">
        <f t="shared" si="4"/>
        <v/>
      </c>
      <c r="M16" s="23" t="str">
        <f t="shared" si="5"/>
        <v/>
      </c>
      <c r="N16" s="23" t="str">
        <f t="shared" si="6"/>
        <v/>
      </c>
      <c r="O16" s="23" t="str">
        <f t="shared" si="7"/>
        <v/>
      </c>
      <c r="P16" s="4"/>
      <c r="Q16" s="4"/>
      <c r="R16" s="4"/>
      <c r="S16" s="4"/>
      <c r="T16" s="4"/>
      <c r="U16" s="4"/>
      <c r="V16" s="23" t="str">
        <f>IF(C16="","",IFERROR(VLOOKUP(C16,SETUP!$A$9:$D$24,2,0),"⚠ Check SETUP"))</f>
        <v/>
      </c>
      <c r="W16" s="23" t="str">
        <f>IF(C16="","",IFERROR(VLOOKUP(C16,SETUP!$A$9:$D$24,3,0),"⚠ Check SETUP"))</f>
        <v/>
      </c>
      <c r="X16" s="22" t="str">
        <f>IF(C16="","",IFERROR(VLOOKUP(C16,SETUP!$A$9:$D$24,4,0),"⚠ Check SETUP"))</f>
        <v/>
      </c>
      <c r="Y16" s="24" t="str">
        <f t="shared" si="8"/>
        <v/>
      </c>
      <c r="Z16" s="24" t="str">
        <f t="shared" si="9"/>
        <v/>
      </c>
      <c r="AA16" s="24" t="str">
        <f t="shared" si="10"/>
        <v/>
      </c>
      <c r="AB16" s="24" t="str">
        <f t="shared" si="11"/>
        <v/>
      </c>
    </row>
    <row r="17" spans="1:28" ht="19.5" customHeight="1" x14ac:dyDescent="0.25">
      <c r="A17" s="6"/>
      <c r="B17" s="4"/>
      <c r="C17" s="4"/>
      <c r="D17" s="19"/>
      <c r="E17" s="20" t="str">
        <f t="shared" si="0"/>
        <v/>
      </c>
      <c r="F17" s="20" t="str">
        <f t="shared" si="1"/>
        <v/>
      </c>
      <c r="G17" s="20" t="str">
        <f t="shared" si="2"/>
        <v/>
      </c>
      <c r="H17" s="21"/>
      <c r="I17" s="5"/>
      <c r="J17" s="22" t="str">
        <f t="shared" si="3"/>
        <v/>
      </c>
      <c r="K17" s="59"/>
      <c r="L17" s="23" t="str">
        <f t="shared" si="4"/>
        <v/>
      </c>
      <c r="M17" s="23" t="str">
        <f t="shared" si="5"/>
        <v/>
      </c>
      <c r="N17" s="23" t="str">
        <f t="shared" si="6"/>
        <v/>
      </c>
      <c r="O17" s="23" t="str">
        <f t="shared" si="7"/>
        <v/>
      </c>
      <c r="P17" s="4"/>
      <c r="Q17" s="4"/>
      <c r="R17" s="4"/>
      <c r="S17" s="4"/>
      <c r="T17" s="4"/>
      <c r="U17" s="4"/>
      <c r="V17" s="23" t="str">
        <f>IF(C17="","",IFERROR(VLOOKUP(C17,SETUP!$A$9:$D$24,2,0),"⚠ Check SETUP"))</f>
        <v/>
      </c>
      <c r="W17" s="23" t="str">
        <f>IF(C17="","",IFERROR(VLOOKUP(C17,SETUP!$A$9:$D$24,3,0),"⚠ Check SETUP"))</f>
        <v/>
      </c>
      <c r="X17" s="22" t="str">
        <f>IF(C17="","",IFERROR(VLOOKUP(C17,SETUP!$A$9:$D$24,4,0),"⚠ Check SETUP"))</f>
        <v/>
      </c>
      <c r="Y17" s="24" t="str">
        <f t="shared" si="8"/>
        <v/>
      </c>
      <c r="Z17" s="24" t="str">
        <f t="shared" si="9"/>
        <v/>
      </c>
      <c r="AA17" s="24" t="str">
        <f t="shared" si="10"/>
        <v/>
      </c>
      <c r="AB17" s="24" t="str">
        <f t="shared" si="11"/>
        <v/>
      </c>
    </row>
    <row r="18" spans="1:28" ht="19.5" customHeight="1" x14ac:dyDescent="0.25">
      <c r="A18" s="6"/>
      <c r="B18" s="4"/>
      <c r="C18" s="4"/>
      <c r="D18" s="19"/>
      <c r="E18" s="20" t="str">
        <f t="shared" si="0"/>
        <v/>
      </c>
      <c r="F18" s="20" t="str">
        <f t="shared" si="1"/>
        <v/>
      </c>
      <c r="G18" s="20" t="str">
        <f t="shared" si="2"/>
        <v/>
      </c>
      <c r="H18" s="21"/>
      <c r="I18" s="5"/>
      <c r="J18" s="22" t="str">
        <f t="shared" si="3"/>
        <v/>
      </c>
      <c r="K18" s="59"/>
      <c r="L18" s="23" t="str">
        <f t="shared" si="4"/>
        <v/>
      </c>
      <c r="M18" s="23" t="str">
        <f t="shared" si="5"/>
        <v/>
      </c>
      <c r="N18" s="23" t="str">
        <f t="shared" si="6"/>
        <v/>
      </c>
      <c r="O18" s="23" t="str">
        <f t="shared" si="7"/>
        <v/>
      </c>
      <c r="P18" s="4"/>
      <c r="Q18" s="4"/>
      <c r="R18" s="4"/>
      <c r="S18" s="4"/>
      <c r="T18" s="4"/>
      <c r="U18" s="4"/>
      <c r="V18" s="23" t="str">
        <f>IF(C18="","",IFERROR(VLOOKUP(C18,SETUP!$A$9:$D$24,2,0),"⚠ Check SETUP"))</f>
        <v/>
      </c>
      <c r="W18" s="23" t="str">
        <f>IF(C18="","",IFERROR(VLOOKUP(C18,SETUP!$A$9:$D$24,3,0),"⚠ Check SETUP"))</f>
        <v/>
      </c>
      <c r="X18" s="22" t="str">
        <f>IF(C18="","",IFERROR(VLOOKUP(C18,SETUP!$A$9:$D$24,4,0),"⚠ Check SETUP"))</f>
        <v/>
      </c>
      <c r="Y18" s="24" t="str">
        <f t="shared" si="8"/>
        <v/>
      </c>
      <c r="Z18" s="24" t="str">
        <f t="shared" si="9"/>
        <v/>
      </c>
      <c r="AA18" s="24" t="str">
        <f t="shared" si="10"/>
        <v/>
      </c>
      <c r="AB18" s="24" t="str">
        <f t="shared" si="11"/>
        <v/>
      </c>
    </row>
    <row r="19" spans="1:28" ht="19.5" customHeight="1" x14ac:dyDescent="0.25">
      <c r="A19" s="6"/>
      <c r="B19" s="4"/>
      <c r="C19" s="4"/>
      <c r="D19" s="19"/>
      <c r="E19" s="20" t="str">
        <f t="shared" si="0"/>
        <v/>
      </c>
      <c r="F19" s="20" t="str">
        <f t="shared" si="1"/>
        <v/>
      </c>
      <c r="G19" s="20" t="str">
        <f t="shared" si="2"/>
        <v/>
      </c>
      <c r="H19" s="21"/>
      <c r="I19" s="5"/>
      <c r="J19" s="22" t="str">
        <f t="shared" si="3"/>
        <v/>
      </c>
      <c r="K19" s="59"/>
      <c r="L19" s="23" t="str">
        <f t="shared" si="4"/>
        <v/>
      </c>
      <c r="M19" s="23" t="str">
        <f t="shared" si="5"/>
        <v/>
      </c>
      <c r="N19" s="23" t="str">
        <f t="shared" si="6"/>
        <v/>
      </c>
      <c r="O19" s="23" t="str">
        <f t="shared" si="7"/>
        <v/>
      </c>
      <c r="P19" s="4"/>
      <c r="Q19" s="4"/>
      <c r="R19" s="4"/>
      <c r="S19" s="4"/>
      <c r="T19" s="4"/>
      <c r="U19" s="4"/>
      <c r="V19" s="23" t="str">
        <f>IF(C19="","",IFERROR(VLOOKUP(C19,SETUP!$A$9:$D$24,2,0),"⚠ Check SETUP"))</f>
        <v/>
      </c>
      <c r="W19" s="23" t="str">
        <f>IF(C19="","",IFERROR(VLOOKUP(C19,SETUP!$A$9:$D$24,3,0),"⚠ Check SETUP"))</f>
        <v/>
      </c>
      <c r="X19" s="22" t="str">
        <f>IF(C19="","",IFERROR(VLOOKUP(C19,SETUP!$A$9:$D$24,4,0),"⚠ Check SETUP"))</f>
        <v/>
      </c>
      <c r="Y19" s="24" t="str">
        <f t="shared" si="8"/>
        <v/>
      </c>
      <c r="Z19" s="24" t="str">
        <f t="shared" si="9"/>
        <v/>
      </c>
      <c r="AA19" s="24" t="str">
        <f t="shared" si="10"/>
        <v/>
      </c>
      <c r="AB19" s="24" t="str">
        <f t="shared" si="11"/>
        <v/>
      </c>
    </row>
    <row r="20" spans="1:28" ht="19.5" customHeight="1" x14ac:dyDescent="0.25">
      <c r="A20" s="6"/>
      <c r="B20" s="4"/>
      <c r="C20" s="4"/>
      <c r="D20" s="19"/>
      <c r="E20" s="20" t="str">
        <f t="shared" si="0"/>
        <v/>
      </c>
      <c r="F20" s="20" t="str">
        <f t="shared" si="1"/>
        <v/>
      </c>
      <c r="G20" s="20" t="str">
        <f t="shared" si="2"/>
        <v/>
      </c>
      <c r="H20" s="21"/>
      <c r="I20" s="5"/>
      <c r="J20" s="22" t="str">
        <f t="shared" si="3"/>
        <v/>
      </c>
      <c r="K20" s="59"/>
      <c r="L20" s="23" t="str">
        <f t="shared" si="4"/>
        <v/>
      </c>
      <c r="M20" s="23" t="str">
        <f t="shared" si="5"/>
        <v/>
      </c>
      <c r="N20" s="23" t="str">
        <f t="shared" si="6"/>
        <v/>
      </c>
      <c r="O20" s="23" t="str">
        <f t="shared" si="7"/>
        <v/>
      </c>
      <c r="P20" s="4"/>
      <c r="Q20" s="4"/>
      <c r="R20" s="4"/>
      <c r="S20" s="4"/>
      <c r="T20" s="4"/>
      <c r="U20" s="4"/>
      <c r="V20" s="23" t="str">
        <f>IF(C20="","",IFERROR(VLOOKUP(C20,SETUP!$A$9:$D$24,2,0),"⚠ Check SETUP"))</f>
        <v/>
      </c>
      <c r="W20" s="23" t="str">
        <f>IF(C20="","",IFERROR(VLOOKUP(C20,SETUP!$A$9:$D$24,3,0),"⚠ Check SETUP"))</f>
        <v/>
      </c>
      <c r="X20" s="22" t="str">
        <f>IF(C20="","",IFERROR(VLOOKUP(C20,SETUP!$A$9:$D$24,4,0),"⚠ Check SETUP"))</f>
        <v/>
      </c>
      <c r="Y20" s="24" t="str">
        <f t="shared" si="8"/>
        <v/>
      </c>
      <c r="Z20" s="24" t="str">
        <f t="shared" si="9"/>
        <v/>
      </c>
      <c r="AA20" s="24" t="str">
        <f t="shared" si="10"/>
        <v/>
      </c>
      <c r="AB20" s="24" t="str">
        <f t="shared" si="11"/>
        <v/>
      </c>
    </row>
    <row r="21" spans="1:28" ht="19.5" customHeight="1" x14ac:dyDescent="0.25">
      <c r="A21" s="6"/>
      <c r="B21" s="4"/>
      <c r="C21" s="4"/>
      <c r="D21" s="19"/>
      <c r="E21" s="20" t="str">
        <f t="shared" si="0"/>
        <v/>
      </c>
      <c r="F21" s="20" t="str">
        <f t="shared" si="1"/>
        <v/>
      </c>
      <c r="G21" s="20" t="str">
        <f t="shared" si="2"/>
        <v/>
      </c>
      <c r="H21" s="21"/>
      <c r="I21" s="5"/>
      <c r="J21" s="22" t="str">
        <f t="shared" si="3"/>
        <v/>
      </c>
      <c r="K21" s="59"/>
      <c r="L21" s="23" t="str">
        <f t="shared" si="4"/>
        <v/>
      </c>
      <c r="M21" s="23" t="str">
        <f t="shared" si="5"/>
        <v/>
      </c>
      <c r="N21" s="23" t="str">
        <f t="shared" si="6"/>
        <v/>
      </c>
      <c r="O21" s="23" t="str">
        <f t="shared" si="7"/>
        <v/>
      </c>
      <c r="P21" s="4"/>
      <c r="Q21" s="4"/>
      <c r="R21" s="4"/>
      <c r="S21" s="4"/>
      <c r="T21" s="4"/>
      <c r="U21" s="4"/>
      <c r="V21" s="23" t="str">
        <f>IF(C21="","",IFERROR(VLOOKUP(C21,SETUP!$A$9:$D$24,2,0),"⚠ Check SETUP"))</f>
        <v/>
      </c>
      <c r="W21" s="23" t="str">
        <f>IF(C21="","",IFERROR(VLOOKUP(C21,SETUP!$A$9:$D$24,3,0),"⚠ Check SETUP"))</f>
        <v/>
      </c>
      <c r="X21" s="22" t="str">
        <f>IF(C21="","",IFERROR(VLOOKUP(C21,SETUP!$A$9:$D$24,4,0),"⚠ Check SETUP"))</f>
        <v/>
      </c>
      <c r="Y21" s="24" t="str">
        <f t="shared" si="8"/>
        <v/>
      </c>
      <c r="Z21" s="24" t="str">
        <f t="shared" si="9"/>
        <v/>
      </c>
      <c r="AA21" s="24" t="str">
        <f t="shared" si="10"/>
        <v/>
      </c>
      <c r="AB21" s="24" t="str">
        <f t="shared" si="11"/>
        <v/>
      </c>
    </row>
    <row r="22" spans="1:28" ht="19.5" customHeight="1" x14ac:dyDescent="0.25">
      <c r="A22" s="6"/>
      <c r="B22" s="4"/>
      <c r="C22" s="4"/>
      <c r="D22" s="19"/>
      <c r="E22" s="20" t="str">
        <f t="shared" si="0"/>
        <v/>
      </c>
      <c r="F22" s="20" t="str">
        <f t="shared" si="1"/>
        <v/>
      </c>
      <c r="G22" s="20" t="str">
        <f t="shared" si="2"/>
        <v/>
      </c>
      <c r="H22" s="21"/>
      <c r="I22" s="5"/>
      <c r="J22" s="22" t="str">
        <f t="shared" si="3"/>
        <v/>
      </c>
      <c r="K22" s="59"/>
      <c r="L22" s="23" t="str">
        <f t="shared" si="4"/>
        <v/>
      </c>
      <c r="M22" s="23" t="str">
        <f t="shared" si="5"/>
        <v/>
      </c>
      <c r="N22" s="23" t="str">
        <f t="shared" si="6"/>
        <v/>
      </c>
      <c r="O22" s="23" t="str">
        <f t="shared" si="7"/>
        <v/>
      </c>
      <c r="P22" s="4"/>
      <c r="Q22" s="4"/>
      <c r="R22" s="4"/>
      <c r="S22" s="4"/>
      <c r="T22" s="4"/>
      <c r="U22" s="4"/>
      <c r="V22" s="23" t="str">
        <f>IF(C22="","",IFERROR(VLOOKUP(C22,SETUP!$A$9:$D$24,2,0),"⚠ Check SETUP"))</f>
        <v/>
      </c>
      <c r="W22" s="23" t="str">
        <f>IF(C22="","",IFERROR(VLOOKUP(C22,SETUP!$A$9:$D$24,3,0),"⚠ Check SETUP"))</f>
        <v/>
      </c>
      <c r="X22" s="22" t="str">
        <f>IF(C22="","",IFERROR(VLOOKUP(C22,SETUP!$A$9:$D$24,4,0),"⚠ Check SETUP"))</f>
        <v/>
      </c>
      <c r="Y22" s="24" t="str">
        <f t="shared" si="8"/>
        <v/>
      </c>
      <c r="Z22" s="24" t="str">
        <f t="shared" si="9"/>
        <v/>
      </c>
      <c r="AA22" s="24" t="str">
        <f t="shared" si="10"/>
        <v/>
      </c>
      <c r="AB22" s="24" t="str">
        <f t="shared" si="11"/>
        <v/>
      </c>
    </row>
    <row r="23" spans="1:28" ht="19.5" customHeight="1" x14ac:dyDescent="0.25">
      <c r="A23" s="6"/>
      <c r="B23" s="4"/>
      <c r="C23" s="4"/>
      <c r="D23" s="19"/>
      <c r="E23" s="20" t="str">
        <f t="shared" si="0"/>
        <v/>
      </c>
      <c r="F23" s="20" t="str">
        <f t="shared" si="1"/>
        <v/>
      </c>
      <c r="G23" s="20" t="str">
        <f t="shared" si="2"/>
        <v/>
      </c>
      <c r="H23" s="21"/>
      <c r="I23" s="5"/>
      <c r="J23" s="22" t="str">
        <f t="shared" si="3"/>
        <v/>
      </c>
      <c r="K23" s="59"/>
      <c r="L23" s="23" t="str">
        <f t="shared" si="4"/>
        <v/>
      </c>
      <c r="M23" s="23" t="str">
        <f t="shared" si="5"/>
        <v/>
      </c>
      <c r="N23" s="23" t="str">
        <f t="shared" si="6"/>
        <v/>
      </c>
      <c r="O23" s="23" t="str">
        <f t="shared" si="7"/>
        <v/>
      </c>
      <c r="P23" s="4"/>
      <c r="Q23" s="4"/>
      <c r="R23" s="4"/>
      <c r="S23" s="4"/>
      <c r="T23" s="4"/>
      <c r="U23" s="4"/>
      <c r="V23" s="23" t="str">
        <f>IF(C23="","",IFERROR(VLOOKUP(C23,SETUP!$A$9:$D$24,2,0),"⚠ Check SETUP"))</f>
        <v/>
      </c>
      <c r="W23" s="23" t="str">
        <f>IF(C23="","",IFERROR(VLOOKUP(C23,SETUP!$A$9:$D$24,3,0),"⚠ Check SETUP"))</f>
        <v/>
      </c>
      <c r="X23" s="22" t="str">
        <f>IF(C23="","",IFERROR(VLOOKUP(C23,SETUP!$A$9:$D$24,4,0),"⚠ Check SETUP"))</f>
        <v/>
      </c>
      <c r="Y23" s="24" t="str">
        <f t="shared" si="8"/>
        <v/>
      </c>
      <c r="Z23" s="24" t="str">
        <f t="shared" si="9"/>
        <v/>
      </c>
      <c r="AA23" s="24" t="str">
        <f t="shared" si="10"/>
        <v/>
      </c>
      <c r="AB23" s="24" t="str">
        <f t="shared" si="11"/>
        <v/>
      </c>
    </row>
    <row r="24" spans="1:28" ht="19.5" customHeight="1" x14ac:dyDescent="0.25">
      <c r="A24" s="6"/>
      <c r="B24" s="4"/>
      <c r="C24" s="4"/>
      <c r="D24" s="19"/>
      <c r="E24" s="20" t="str">
        <f t="shared" si="0"/>
        <v/>
      </c>
      <c r="F24" s="20" t="str">
        <f t="shared" si="1"/>
        <v/>
      </c>
      <c r="G24" s="20" t="str">
        <f t="shared" si="2"/>
        <v/>
      </c>
      <c r="H24" s="21"/>
      <c r="I24" s="5"/>
      <c r="J24" s="22" t="str">
        <f t="shared" si="3"/>
        <v/>
      </c>
      <c r="K24" s="59"/>
      <c r="L24" s="23" t="str">
        <f t="shared" si="4"/>
        <v/>
      </c>
      <c r="M24" s="23" t="str">
        <f t="shared" si="5"/>
        <v/>
      </c>
      <c r="N24" s="23" t="str">
        <f t="shared" si="6"/>
        <v/>
      </c>
      <c r="O24" s="23" t="str">
        <f t="shared" si="7"/>
        <v/>
      </c>
      <c r="P24" s="4"/>
      <c r="Q24" s="4"/>
      <c r="R24" s="4"/>
      <c r="S24" s="4"/>
      <c r="T24" s="4"/>
      <c r="U24" s="4"/>
      <c r="V24" s="23" t="str">
        <f>IF(C24="","",IFERROR(VLOOKUP(C24,SETUP!$A$9:$D$24,2,0),"⚠ Check SETUP"))</f>
        <v/>
      </c>
      <c r="W24" s="23" t="str">
        <f>IF(C24="","",IFERROR(VLOOKUP(C24,SETUP!$A$9:$D$24,3,0),"⚠ Check SETUP"))</f>
        <v/>
      </c>
      <c r="X24" s="22" t="str">
        <f>IF(C24="","",IFERROR(VLOOKUP(C24,SETUP!$A$9:$D$24,4,0),"⚠ Check SETUP"))</f>
        <v/>
      </c>
      <c r="Y24" s="24" t="str">
        <f t="shared" si="8"/>
        <v/>
      </c>
      <c r="Z24" s="24" t="str">
        <f t="shared" si="9"/>
        <v/>
      </c>
      <c r="AA24" s="24" t="str">
        <f t="shared" si="10"/>
        <v/>
      </c>
      <c r="AB24" s="24" t="str">
        <f t="shared" si="11"/>
        <v/>
      </c>
    </row>
    <row r="25" spans="1:28" ht="19.5" customHeight="1" x14ac:dyDescent="0.25">
      <c r="A25" s="6"/>
      <c r="B25" s="4"/>
      <c r="C25" s="4"/>
      <c r="D25" s="19"/>
      <c r="E25" s="20" t="str">
        <f t="shared" si="0"/>
        <v/>
      </c>
      <c r="F25" s="20" t="str">
        <f t="shared" si="1"/>
        <v/>
      </c>
      <c r="G25" s="20" t="str">
        <f t="shared" si="2"/>
        <v/>
      </c>
      <c r="H25" s="21"/>
      <c r="I25" s="5"/>
      <c r="J25" s="22" t="str">
        <f t="shared" si="3"/>
        <v/>
      </c>
      <c r="K25" s="59"/>
      <c r="L25" s="23" t="str">
        <f t="shared" si="4"/>
        <v/>
      </c>
      <c r="M25" s="23" t="str">
        <f t="shared" si="5"/>
        <v/>
      </c>
      <c r="N25" s="23" t="str">
        <f t="shared" si="6"/>
        <v/>
      </c>
      <c r="O25" s="23" t="str">
        <f t="shared" si="7"/>
        <v/>
      </c>
      <c r="P25" s="4"/>
      <c r="Q25" s="4"/>
      <c r="R25" s="4"/>
      <c r="S25" s="4"/>
      <c r="T25" s="4"/>
      <c r="U25" s="4"/>
      <c r="V25" s="23" t="str">
        <f>IF(C25="","",IFERROR(VLOOKUP(C25,SETUP!$A$9:$D$24,2,0),"⚠ Check SETUP"))</f>
        <v/>
      </c>
      <c r="W25" s="23" t="str">
        <f>IF(C25="","",IFERROR(VLOOKUP(C25,SETUP!$A$9:$D$24,3,0),"⚠ Check SETUP"))</f>
        <v/>
      </c>
      <c r="X25" s="22" t="str">
        <f>IF(C25="","",IFERROR(VLOOKUP(C25,SETUP!$A$9:$D$24,4,0),"⚠ Check SETUP"))</f>
        <v/>
      </c>
      <c r="Y25" s="24" t="str">
        <f t="shared" si="8"/>
        <v/>
      </c>
      <c r="Z25" s="24" t="str">
        <f t="shared" si="9"/>
        <v/>
      </c>
      <c r="AA25" s="24" t="str">
        <f t="shared" si="10"/>
        <v/>
      </c>
      <c r="AB25" s="24" t="str">
        <f t="shared" si="11"/>
        <v/>
      </c>
    </row>
    <row r="26" spans="1:28" ht="19.5" customHeight="1" x14ac:dyDescent="0.25">
      <c r="A26" s="6"/>
      <c r="B26" s="4"/>
      <c r="C26" s="4"/>
      <c r="D26" s="19"/>
      <c r="E26" s="20" t="str">
        <f t="shared" si="0"/>
        <v/>
      </c>
      <c r="F26" s="20" t="str">
        <f t="shared" si="1"/>
        <v/>
      </c>
      <c r="G26" s="20" t="str">
        <f t="shared" si="2"/>
        <v/>
      </c>
      <c r="H26" s="21"/>
      <c r="I26" s="5"/>
      <c r="J26" s="22" t="str">
        <f t="shared" si="3"/>
        <v/>
      </c>
      <c r="K26" s="59"/>
      <c r="L26" s="23" t="str">
        <f t="shared" si="4"/>
        <v/>
      </c>
      <c r="M26" s="23" t="str">
        <f t="shared" si="5"/>
        <v/>
      </c>
      <c r="N26" s="23" t="str">
        <f t="shared" si="6"/>
        <v/>
      </c>
      <c r="O26" s="23" t="str">
        <f t="shared" si="7"/>
        <v/>
      </c>
      <c r="P26" s="4"/>
      <c r="Q26" s="4"/>
      <c r="R26" s="4"/>
      <c r="S26" s="4"/>
      <c r="T26" s="4"/>
      <c r="U26" s="4"/>
      <c r="V26" s="23" t="str">
        <f>IF(C26="","",IFERROR(VLOOKUP(C26,SETUP!$A$9:$D$24,2,0),"⚠ Check SETUP"))</f>
        <v/>
      </c>
      <c r="W26" s="23" t="str">
        <f>IF(C26="","",IFERROR(VLOOKUP(C26,SETUP!$A$9:$D$24,3,0),"⚠ Check SETUP"))</f>
        <v/>
      </c>
      <c r="X26" s="22" t="str">
        <f>IF(C26="","",IFERROR(VLOOKUP(C26,SETUP!$A$9:$D$24,4,0),"⚠ Check SETUP"))</f>
        <v/>
      </c>
      <c r="Y26" s="24" t="str">
        <f t="shared" si="8"/>
        <v/>
      </c>
      <c r="Z26" s="24" t="str">
        <f t="shared" si="9"/>
        <v/>
      </c>
      <c r="AA26" s="24" t="str">
        <f t="shared" si="10"/>
        <v/>
      </c>
      <c r="AB26" s="24" t="str">
        <f t="shared" si="11"/>
        <v/>
      </c>
    </row>
    <row r="27" spans="1:28" ht="19.5" customHeight="1" x14ac:dyDescent="0.25">
      <c r="A27" s="6"/>
      <c r="B27" s="4"/>
      <c r="C27" s="4"/>
      <c r="D27" s="19"/>
      <c r="E27" s="20" t="str">
        <f t="shared" si="0"/>
        <v/>
      </c>
      <c r="F27" s="20" t="str">
        <f t="shared" si="1"/>
        <v/>
      </c>
      <c r="G27" s="20" t="str">
        <f t="shared" si="2"/>
        <v/>
      </c>
      <c r="H27" s="21"/>
      <c r="I27" s="5"/>
      <c r="J27" s="22" t="str">
        <f t="shared" si="3"/>
        <v/>
      </c>
      <c r="K27" s="59"/>
      <c r="L27" s="23" t="str">
        <f t="shared" si="4"/>
        <v/>
      </c>
      <c r="M27" s="23" t="str">
        <f t="shared" si="5"/>
        <v/>
      </c>
      <c r="N27" s="23" t="str">
        <f t="shared" si="6"/>
        <v/>
      </c>
      <c r="O27" s="23" t="str">
        <f t="shared" si="7"/>
        <v/>
      </c>
      <c r="P27" s="4"/>
      <c r="Q27" s="4"/>
      <c r="R27" s="4"/>
      <c r="S27" s="4"/>
      <c r="T27" s="4"/>
      <c r="U27" s="4"/>
      <c r="V27" s="23" t="str">
        <f>IF(C27="","",IFERROR(VLOOKUP(C27,SETUP!$A$9:$D$24,2,0),"⚠ Check SETUP"))</f>
        <v/>
      </c>
      <c r="W27" s="23" t="str">
        <f>IF(C27="","",IFERROR(VLOOKUP(C27,SETUP!$A$9:$D$24,3,0),"⚠ Check SETUP"))</f>
        <v/>
      </c>
      <c r="X27" s="22" t="str">
        <f>IF(C27="","",IFERROR(VLOOKUP(C27,SETUP!$A$9:$D$24,4,0),"⚠ Check SETUP"))</f>
        <v/>
      </c>
      <c r="Y27" s="24" t="str">
        <f t="shared" si="8"/>
        <v/>
      </c>
      <c r="Z27" s="24" t="str">
        <f t="shared" si="9"/>
        <v/>
      </c>
      <c r="AA27" s="24" t="str">
        <f t="shared" si="10"/>
        <v/>
      </c>
      <c r="AB27" s="24" t="str">
        <f t="shared" si="11"/>
        <v/>
      </c>
    </row>
    <row r="28" spans="1:28" ht="19.5" customHeight="1" x14ac:dyDescent="0.25">
      <c r="A28" s="6"/>
      <c r="B28" s="4"/>
      <c r="C28" s="4"/>
      <c r="D28" s="19"/>
      <c r="E28" s="20" t="str">
        <f t="shared" si="0"/>
        <v/>
      </c>
      <c r="F28" s="20" t="str">
        <f t="shared" si="1"/>
        <v/>
      </c>
      <c r="G28" s="20" t="str">
        <f t="shared" si="2"/>
        <v/>
      </c>
      <c r="H28" s="21"/>
      <c r="I28" s="5"/>
      <c r="J28" s="22" t="str">
        <f t="shared" si="3"/>
        <v/>
      </c>
      <c r="K28" s="59"/>
      <c r="L28" s="23" t="str">
        <f t="shared" si="4"/>
        <v/>
      </c>
      <c r="M28" s="23" t="str">
        <f t="shared" si="5"/>
        <v/>
      </c>
      <c r="N28" s="23" t="str">
        <f t="shared" si="6"/>
        <v/>
      </c>
      <c r="O28" s="23" t="str">
        <f t="shared" si="7"/>
        <v/>
      </c>
      <c r="P28" s="4"/>
      <c r="Q28" s="4"/>
      <c r="R28" s="4"/>
      <c r="S28" s="4"/>
      <c r="T28" s="4"/>
      <c r="U28" s="4"/>
      <c r="V28" s="23" t="str">
        <f>IF(C28="","",IFERROR(VLOOKUP(C28,SETUP!$A$9:$D$24,2,0),"⚠ Check SETUP"))</f>
        <v/>
      </c>
      <c r="W28" s="23" t="str">
        <f>IF(C28="","",IFERROR(VLOOKUP(C28,SETUP!$A$9:$D$24,3,0),"⚠ Check SETUP"))</f>
        <v/>
      </c>
      <c r="X28" s="22" t="str">
        <f>IF(C28="","",IFERROR(VLOOKUP(C28,SETUP!$A$9:$D$24,4,0),"⚠ Check SETUP"))</f>
        <v/>
      </c>
      <c r="Y28" s="24" t="str">
        <f t="shared" si="8"/>
        <v/>
      </c>
      <c r="Z28" s="24" t="str">
        <f t="shared" si="9"/>
        <v/>
      </c>
      <c r="AA28" s="24" t="str">
        <f t="shared" si="10"/>
        <v/>
      </c>
      <c r="AB28" s="24" t="str">
        <f t="shared" si="11"/>
        <v/>
      </c>
    </row>
    <row r="29" spans="1:28" ht="19.5" customHeight="1" x14ac:dyDescent="0.25">
      <c r="A29" s="6"/>
      <c r="B29" s="4"/>
      <c r="C29" s="4"/>
      <c r="D29" s="19"/>
      <c r="E29" s="20" t="str">
        <f t="shared" si="0"/>
        <v/>
      </c>
      <c r="F29" s="20" t="str">
        <f t="shared" si="1"/>
        <v/>
      </c>
      <c r="G29" s="20" t="str">
        <f t="shared" si="2"/>
        <v/>
      </c>
      <c r="H29" s="21"/>
      <c r="I29" s="5"/>
      <c r="J29" s="22" t="str">
        <f t="shared" si="3"/>
        <v/>
      </c>
      <c r="K29" s="59"/>
      <c r="L29" s="23" t="str">
        <f t="shared" si="4"/>
        <v/>
      </c>
      <c r="M29" s="23" t="str">
        <f t="shared" si="5"/>
        <v/>
      </c>
      <c r="N29" s="23" t="str">
        <f t="shared" si="6"/>
        <v/>
      </c>
      <c r="O29" s="23" t="str">
        <f t="shared" si="7"/>
        <v/>
      </c>
      <c r="P29" s="4"/>
      <c r="Q29" s="4"/>
      <c r="R29" s="4"/>
      <c r="S29" s="4"/>
      <c r="T29" s="4"/>
      <c r="U29" s="4"/>
      <c r="V29" s="23" t="str">
        <f>IF(C29="","",IFERROR(VLOOKUP(C29,SETUP!$A$9:$D$24,2,0),"⚠ Check SETUP"))</f>
        <v/>
      </c>
      <c r="W29" s="23" t="str">
        <f>IF(C29="","",IFERROR(VLOOKUP(C29,SETUP!$A$9:$D$24,3,0),"⚠ Check SETUP"))</f>
        <v/>
      </c>
      <c r="X29" s="22" t="str">
        <f>IF(C29="","",IFERROR(VLOOKUP(C29,SETUP!$A$9:$D$24,4,0),"⚠ Check SETUP"))</f>
        <v/>
      </c>
      <c r="Y29" s="24" t="str">
        <f t="shared" si="8"/>
        <v/>
      </c>
      <c r="Z29" s="24" t="str">
        <f t="shared" si="9"/>
        <v/>
      </c>
      <c r="AA29" s="24" t="str">
        <f t="shared" si="10"/>
        <v/>
      </c>
      <c r="AB29" s="24" t="str">
        <f t="shared" si="11"/>
        <v/>
      </c>
    </row>
    <row r="30" spans="1:28" ht="19.5" customHeight="1" x14ac:dyDescent="0.25">
      <c r="A30" s="6"/>
      <c r="B30" s="4"/>
      <c r="C30" s="4"/>
      <c r="D30" s="19"/>
      <c r="E30" s="20" t="str">
        <f t="shared" si="0"/>
        <v/>
      </c>
      <c r="F30" s="20" t="str">
        <f t="shared" si="1"/>
        <v/>
      </c>
      <c r="G30" s="20" t="str">
        <f t="shared" si="2"/>
        <v/>
      </c>
      <c r="H30" s="21"/>
      <c r="I30" s="5"/>
      <c r="J30" s="22" t="str">
        <f t="shared" si="3"/>
        <v/>
      </c>
      <c r="K30" s="59"/>
      <c r="L30" s="23" t="str">
        <f t="shared" si="4"/>
        <v/>
      </c>
      <c r="M30" s="23" t="str">
        <f t="shared" si="5"/>
        <v/>
      </c>
      <c r="N30" s="23" t="str">
        <f t="shared" si="6"/>
        <v/>
      </c>
      <c r="O30" s="23" t="str">
        <f t="shared" si="7"/>
        <v/>
      </c>
      <c r="P30" s="4"/>
      <c r="Q30" s="4"/>
      <c r="R30" s="4"/>
      <c r="S30" s="4"/>
      <c r="T30" s="4"/>
      <c r="U30" s="4"/>
      <c r="V30" s="23" t="str">
        <f>IF(C30="","",IFERROR(VLOOKUP(C30,SETUP!$A$9:$D$24,2,0),"⚠ Check SETUP"))</f>
        <v/>
      </c>
      <c r="W30" s="23" t="str">
        <f>IF(C30="","",IFERROR(VLOOKUP(C30,SETUP!$A$9:$D$24,3,0),"⚠ Check SETUP"))</f>
        <v/>
      </c>
      <c r="X30" s="22" t="str">
        <f>IF(C30="","",IFERROR(VLOOKUP(C30,SETUP!$A$9:$D$24,4,0),"⚠ Check SETUP"))</f>
        <v/>
      </c>
      <c r="Y30" s="24" t="str">
        <f t="shared" si="8"/>
        <v/>
      </c>
      <c r="Z30" s="24" t="str">
        <f t="shared" si="9"/>
        <v/>
      </c>
      <c r="AA30" s="24" t="str">
        <f t="shared" si="10"/>
        <v/>
      </c>
      <c r="AB30" s="24" t="str">
        <f t="shared" si="11"/>
        <v/>
      </c>
    </row>
    <row r="31" spans="1:28" ht="19.5" customHeight="1" x14ac:dyDescent="0.25">
      <c r="A31" s="6"/>
      <c r="B31" s="4"/>
      <c r="C31" s="4"/>
      <c r="D31" s="19"/>
      <c r="E31" s="20" t="str">
        <f t="shared" si="0"/>
        <v/>
      </c>
      <c r="F31" s="20" t="str">
        <f t="shared" si="1"/>
        <v/>
      </c>
      <c r="G31" s="20" t="str">
        <f t="shared" si="2"/>
        <v/>
      </c>
      <c r="H31" s="21"/>
      <c r="I31" s="5"/>
      <c r="J31" s="22" t="str">
        <f t="shared" si="3"/>
        <v/>
      </c>
      <c r="K31" s="59"/>
      <c r="L31" s="23" t="str">
        <f t="shared" si="4"/>
        <v/>
      </c>
      <c r="M31" s="23" t="str">
        <f t="shared" si="5"/>
        <v/>
      </c>
      <c r="N31" s="23" t="str">
        <f t="shared" si="6"/>
        <v/>
      </c>
      <c r="O31" s="23" t="str">
        <f t="shared" si="7"/>
        <v/>
      </c>
      <c r="P31" s="4"/>
      <c r="Q31" s="4"/>
      <c r="R31" s="4"/>
      <c r="S31" s="4"/>
      <c r="T31" s="4"/>
      <c r="U31" s="4"/>
      <c r="V31" s="23" t="str">
        <f>IF(C31="","",IFERROR(VLOOKUP(C31,SETUP!$A$9:$D$24,2,0),"⚠ Check SETUP"))</f>
        <v/>
      </c>
      <c r="W31" s="23" t="str">
        <f>IF(C31="","",IFERROR(VLOOKUP(C31,SETUP!$A$9:$D$24,3,0),"⚠ Check SETUP"))</f>
        <v/>
      </c>
      <c r="X31" s="22" t="str">
        <f>IF(C31="","",IFERROR(VLOOKUP(C31,SETUP!$A$9:$D$24,4,0),"⚠ Check SETUP"))</f>
        <v/>
      </c>
      <c r="Y31" s="24" t="str">
        <f t="shared" si="8"/>
        <v/>
      </c>
      <c r="Z31" s="24" t="str">
        <f t="shared" si="9"/>
        <v/>
      </c>
      <c r="AA31" s="24" t="str">
        <f t="shared" si="10"/>
        <v/>
      </c>
      <c r="AB31" s="24" t="str">
        <f t="shared" si="11"/>
        <v/>
      </c>
    </row>
    <row r="32" spans="1:28" ht="19.5" customHeight="1" x14ac:dyDescent="0.25">
      <c r="A32" s="6"/>
      <c r="B32" s="4"/>
      <c r="C32" s="4"/>
      <c r="D32" s="19"/>
      <c r="E32" s="20" t="str">
        <f t="shared" si="0"/>
        <v/>
      </c>
      <c r="F32" s="20" t="str">
        <f t="shared" si="1"/>
        <v/>
      </c>
      <c r="G32" s="20" t="str">
        <f t="shared" si="2"/>
        <v/>
      </c>
      <c r="H32" s="21"/>
      <c r="I32" s="5"/>
      <c r="J32" s="22" t="str">
        <f t="shared" si="3"/>
        <v/>
      </c>
      <c r="K32" s="59"/>
      <c r="L32" s="23" t="str">
        <f t="shared" si="4"/>
        <v/>
      </c>
      <c r="M32" s="23" t="str">
        <f t="shared" si="5"/>
        <v/>
      </c>
      <c r="N32" s="23" t="str">
        <f t="shared" si="6"/>
        <v/>
      </c>
      <c r="O32" s="23" t="str">
        <f t="shared" si="7"/>
        <v/>
      </c>
      <c r="P32" s="4"/>
      <c r="Q32" s="4"/>
      <c r="R32" s="4"/>
      <c r="S32" s="4"/>
      <c r="T32" s="4"/>
      <c r="U32" s="4"/>
      <c r="V32" s="23" t="str">
        <f>IF(C32="","",IFERROR(VLOOKUP(C32,SETUP!$A$9:$D$24,2,0),"⚠ Check SETUP"))</f>
        <v/>
      </c>
      <c r="W32" s="23" t="str">
        <f>IF(C32="","",IFERROR(VLOOKUP(C32,SETUP!$A$9:$D$24,3,0),"⚠ Check SETUP"))</f>
        <v/>
      </c>
      <c r="X32" s="22" t="str">
        <f>IF(C32="","",IFERROR(VLOOKUP(C32,SETUP!$A$9:$D$24,4,0),"⚠ Check SETUP"))</f>
        <v/>
      </c>
      <c r="Y32" s="24" t="str">
        <f t="shared" si="8"/>
        <v/>
      </c>
      <c r="Z32" s="24" t="str">
        <f t="shared" si="9"/>
        <v/>
      </c>
      <c r="AA32" s="24" t="str">
        <f t="shared" si="10"/>
        <v/>
      </c>
      <c r="AB32" s="24" t="str">
        <f t="shared" si="11"/>
        <v/>
      </c>
    </row>
    <row r="33" spans="1:28" ht="19.5" customHeight="1" x14ac:dyDescent="0.25">
      <c r="A33" s="6"/>
      <c r="B33" s="4"/>
      <c r="C33" s="4"/>
      <c r="D33" s="19"/>
      <c r="E33" s="20" t="str">
        <f t="shared" si="0"/>
        <v/>
      </c>
      <c r="F33" s="20" t="str">
        <f t="shared" si="1"/>
        <v/>
      </c>
      <c r="G33" s="20" t="str">
        <f t="shared" si="2"/>
        <v/>
      </c>
      <c r="H33" s="21"/>
      <c r="I33" s="5"/>
      <c r="J33" s="22" t="str">
        <f t="shared" si="3"/>
        <v/>
      </c>
      <c r="K33" s="59"/>
      <c r="L33" s="23" t="str">
        <f t="shared" si="4"/>
        <v/>
      </c>
      <c r="M33" s="23" t="str">
        <f t="shared" si="5"/>
        <v/>
      </c>
      <c r="N33" s="23" t="str">
        <f t="shared" si="6"/>
        <v/>
      </c>
      <c r="O33" s="23" t="str">
        <f t="shared" si="7"/>
        <v/>
      </c>
      <c r="P33" s="4"/>
      <c r="Q33" s="4"/>
      <c r="R33" s="4"/>
      <c r="S33" s="4"/>
      <c r="T33" s="4"/>
      <c r="U33" s="4"/>
      <c r="V33" s="23" t="str">
        <f>IF(C33="","",IFERROR(VLOOKUP(C33,SETUP!$A$9:$D$24,2,0),"⚠ Check SETUP"))</f>
        <v/>
      </c>
      <c r="W33" s="23" t="str">
        <f>IF(C33="","",IFERROR(VLOOKUP(C33,SETUP!$A$9:$D$24,3,0),"⚠ Check SETUP"))</f>
        <v/>
      </c>
      <c r="X33" s="22" t="str">
        <f>IF(C33="","",IFERROR(VLOOKUP(C33,SETUP!$A$9:$D$24,4,0),"⚠ Check SETUP"))</f>
        <v/>
      </c>
      <c r="Y33" s="24" t="str">
        <f t="shared" si="8"/>
        <v/>
      </c>
      <c r="Z33" s="24" t="str">
        <f t="shared" si="9"/>
        <v/>
      </c>
      <c r="AA33" s="24" t="str">
        <f t="shared" si="10"/>
        <v/>
      </c>
      <c r="AB33" s="24" t="str">
        <f t="shared" si="11"/>
        <v/>
      </c>
    </row>
    <row r="34" spans="1:28" ht="21.75" customHeight="1" x14ac:dyDescent="0.25">
      <c r="X34" s="25" t="s">
        <v>93</v>
      </c>
      <c r="Y34" s="26" t="str">
        <f>IFERROR(AVERAGEIFS(Y4:Y33,S4:S33,""),"")</f>
        <v/>
      </c>
      <c r="Z34" s="26" t="str">
        <f>IFERROR(AVERAGEIFS(Z4:Z33,S4:S33,""),"")</f>
        <v/>
      </c>
      <c r="AA34" s="26" t="str">
        <f>IFERROR(AVERAGEIFS(AA4:AA33,S4:S33,""),"")</f>
        <v/>
      </c>
      <c r="AB34" s="26" t="str">
        <f>IFERROR(AVERAGEIF(AB4:AB33,"&lt;&gt;"),"")</f>
        <v/>
      </c>
    </row>
    <row r="36" spans="1:28" ht="25.5" customHeight="1" x14ac:dyDescent="0.25">
      <c r="A36" s="94" t="s">
        <v>66</v>
      </c>
      <c r="B36" s="94"/>
      <c r="C36" s="94"/>
      <c r="D36" s="94"/>
      <c r="E36" s="94"/>
      <c r="F36" s="94"/>
      <c r="G36" s="94"/>
      <c r="H36" s="27"/>
    </row>
    <row r="37" spans="1:28" ht="21.75" customHeight="1" x14ac:dyDescent="0.25">
      <c r="A37" s="28" t="s">
        <v>67</v>
      </c>
      <c r="B37" s="28" t="s">
        <v>68</v>
      </c>
      <c r="C37" s="28" t="s">
        <v>69</v>
      </c>
      <c r="D37" s="28" t="s">
        <v>70</v>
      </c>
      <c r="E37" s="28" t="s">
        <v>71</v>
      </c>
      <c r="F37" s="27"/>
      <c r="G37" s="27"/>
      <c r="H37" s="27"/>
    </row>
    <row r="38" spans="1:28" ht="21.75" customHeight="1" x14ac:dyDescent="0.25">
      <c r="A38" s="29" t="s">
        <v>72</v>
      </c>
      <c r="B38" s="30">
        <f>COUNTA(A4:A33)</f>
        <v>0</v>
      </c>
      <c r="C38" s="31"/>
      <c r="D38" s="31"/>
      <c r="E38" s="31"/>
      <c r="F38" s="27"/>
      <c r="G38" s="27"/>
      <c r="H38" s="27"/>
    </row>
    <row r="39" spans="1:28" ht="21.75" customHeight="1" x14ac:dyDescent="0.25">
      <c r="A39" s="32" t="s">
        <v>73</v>
      </c>
      <c r="B39" s="33">
        <f>COUNTA(Q4:Q33)</f>
        <v>0</v>
      </c>
      <c r="C39" s="34" t="str">
        <f>IFERROR(B39/B38,"-")</f>
        <v>-</v>
      </c>
      <c r="D39" s="34" t="str">
        <f>IFERROR(B39/(B39+B40),"-")</f>
        <v>-</v>
      </c>
      <c r="E39" s="35" t="str">
        <f>IF(B38=0,"Awaiting data",IF(B39/B38&gt;=0.6,"On Track ✓","Needs Attention ⚠"))</f>
        <v>Awaiting data</v>
      </c>
      <c r="F39" s="27"/>
      <c r="G39" s="27"/>
      <c r="H39" s="27"/>
    </row>
    <row r="40" spans="1:28" ht="21.75" customHeight="1" x14ac:dyDescent="0.25">
      <c r="A40" s="36" t="s">
        <v>74</v>
      </c>
      <c r="B40" s="37">
        <f>COUNTA(S4:S33)</f>
        <v>0</v>
      </c>
      <c r="C40" s="38" t="str">
        <f>IFERROR(B40/B38,"-")</f>
        <v>-</v>
      </c>
      <c r="D40" s="38" t="str">
        <f>IFERROR(B40/(B39+B40),"-")</f>
        <v>-</v>
      </c>
      <c r="E40" s="39" t="str">
        <f>IF(B38=0,"Awaiting data",IF(B40/B38&lt;=0.2,"Acceptable","High NTV ⚠"))</f>
        <v>Awaiting data</v>
      </c>
      <c r="F40" s="27"/>
      <c r="G40" s="27"/>
      <c r="H40" s="27"/>
    </row>
    <row r="41" spans="1:28" ht="21.75" customHeight="1" x14ac:dyDescent="0.25">
      <c r="A41" s="40" t="s">
        <v>75</v>
      </c>
      <c r="B41" s="41">
        <f>COUNTA(R4:R33)</f>
        <v>0</v>
      </c>
      <c r="C41" s="42" t="str">
        <f>IFERROR(B41/B38,"-")</f>
        <v>-</v>
      </c>
      <c r="D41" s="43" t="s">
        <v>76</v>
      </c>
      <c r="E41" s="44" t="s">
        <v>77</v>
      </c>
      <c r="F41" s="27"/>
      <c r="G41" s="27"/>
      <c r="H41" s="27"/>
    </row>
    <row r="42" spans="1:28" ht="21.75" customHeight="1" x14ac:dyDescent="0.25">
      <c r="A42" s="45" t="s">
        <v>78</v>
      </c>
      <c r="B42" s="46">
        <f>MAX(0,B38-B39-B40-B41)</f>
        <v>0</v>
      </c>
      <c r="C42" s="47" t="str">
        <f>IFERROR(B42/B38,"-")</f>
        <v>-</v>
      </c>
      <c r="D42" s="48" t="s">
        <v>76</v>
      </c>
      <c r="E42" s="49" t="str">
        <f>IF(B42=0,"All accounted for ✓","Follow up needed")</f>
        <v>All accounted for ✓</v>
      </c>
      <c r="F42" s="27"/>
      <c r="G42" s="27"/>
      <c r="H42" s="27"/>
    </row>
    <row r="43" spans="1:28" ht="7.5" customHeight="1" x14ac:dyDescent="0.25">
      <c r="A43" s="27"/>
      <c r="B43" s="27"/>
      <c r="C43" s="27"/>
      <c r="D43" s="27"/>
      <c r="E43" s="27"/>
      <c r="F43" s="27"/>
      <c r="G43" s="27"/>
      <c r="H43" s="27"/>
    </row>
    <row r="44" spans="1:28" ht="37.5" customHeight="1" x14ac:dyDescent="0.25">
      <c r="A44" s="95" t="s">
        <v>79</v>
      </c>
      <c r="B44" s="95"/>
      <c r="C44" s="50" t="str">
        <f>IFERROR(B39/B38,"-")</f>
        <v>-</v>
      </c>
      <c r="D44" s="96" t="str">
        <f>IF(B38=0,"Enter resident data to calculate",IF(B39/B38&gt;=0.6,"✓ Meeting target retention","⚠ Below target — review offers"))</f>
        <v>Enter resident data to calculate</v>
      </c>
      <c r="E44" s="96"/>
      <c r="F44" s="96"/>
      <c r="G44" s="96"/>
      <c r="H44" s="27"/>
    </row>
    <row r="45" spans="1:28" ht="25.5" customHeight="1" x14ac:dyDescent="0.25">
      <c r="A45" s="97" t="s">
        <v>80</v>
      </c>
      <c r="B45" s="97"/>
      <c r="C45" s="51" t="str">
        <f>IFERROR(B39/(B39+B40),"-")</f>
        <v>-</v>
      </c>
      <c r="D45" s="98" t="s">
        <v>81</v>
      </c>
      <c r="E45" s="98"/>
      <c r="F45" s="98"/>
      <c r="G45" s="98"/>
      <c r="H45" s="27"/>
    </row>
    <row r="46" spans="1:28" ht="18" customHeight="1" x14ac:dyDescent="0.25">
      <c r="A46" s="27"/>
      <c r="B46" s="27"/>
      <c r="C46" s="27"/>
      <c r="D46" s="27"/>
      <c r="E46" s="27"/>
      <c r="F46" s="27"/>
      <c r="G46" s="27"/>
      <c r="H46" s="27"/>
    </row>
    <row r="47" spans="1:28" ht="7.5" customHeight="1" x14ac:dyDescent="0.25">
      <c r="A47" s="27"/>
      <c r="B47" s="27"/>
      <c r="C47" s="27"/>
      <c r="D47" s="27"/>
      <c r="E47" s="27"/>
      <c r="F47" s="27"/>
      <c r="G47" s="27"/>
      <c r="H47" s="27"/>
    </row>
    <row r="48" spans="1:28" ht="21.75" customHeight="1" x14ac:dyDescent="0.25">
      <c r="A48" s="52" t="s">
        <v>82</v>
      </c>
      <c r="B48" s="27"/>
      <c r="C48" s="27"/>
      <c r="D48" s="27"/>
      <c r="E48" s="27"/>
      <c r="F48" s="27"/>
      <c r="G48" s="27"/>
      <c r="H48" s="27"/>
    </row>
    <row r="49" spans="1:8" ht="18" customHeight="1" x14ac:dyDescent="0.25">
      <c r="A49" s="53" t="s">
        <v>83</v>
      </c>
      <c r="B49" s="27"/>
      <c r="C49" s="27"/>
      <c r="D49" s="27"/>
      <c r="E49" s="27"/>
      <c r="F49" s="27"/>
      <c r="G49" s="27"/>
      <c r="H49" s="27"/>
    </row>
    <row r="50" spans="1:8" ht="18" customHeight="1" x14ac:dyDescent="0.25">
      <c r="A50" s="54" t="s">
        <v>84</v>
      </c>
      <c r="B50" s="27"/>
      <c r="C50" s="27"/>
      <c r="D50" s="27"/>
      <c r="E50" s="27"/>
      <c r="F50" s="27"/>
      <c r="G50" s="27"/>
      <c r="H50" s="27"/>
    </row>
    <row r="51" spans="1:8" ht="18" customHeight="1" x14ac:dyDescent="0.25">
      <c r="A51" s="55" t="s">
        <v>85</v>
      </c>
      <c r="B51" s="27"/>
      <c r="C51" s="27"/>
      <c r="D51" s="27"/>
      <c r="E51" s="27"/>
      <c r="F51" s="27"/>
      <c r="G51" s="27"/>
      <c r="H51" s="27"/>
    </row>
    <row r="52" spans="1:8" ht="18" customHeight="1" x14ac:dyDescent="0.25">
      <c r="A52" s="56" t="s">
        <v>86</v>
      </c>
      <c r="B52" s="27"/>
      <c r="C52" s="27"/>
      <c r="D52" s="27"/>
      <c r="E52" s="27"/>
      <c r="F52" s="27"/>
      <c r="G52" s="27"/>
      <c r="H52" s="27"/>
    </row>
    <row r="53" spans="1:8" ht="18" customHeight="1" x14ac:dyDescent="0.25">
      <c r="A53" s="57" t="s">
        <v>87</v>
      </c>
      <c r="B53" s="27"/>
      <c r="C53" s="27"/>
      <c r="D53" s="27"/>
      <c r="E53" s="27"/>
      <c r="F53" s="27"/>
      <c r="G53" s="27"/>
      <c r="H53" s="27"/>
    </row>
    <row r="54" spans="1:8" ht="15" customHeight="1" x14ac:dyDescent="0.25">
      <c r="A54" s="27"/>
      <c r="B54" s="27"/>
      <c r="C54" s="27"/>
      <c r="D54" s="27"/>
      <c r="E54" s="27"/>
      <c r="F54" s="27"/>
      <c r="G54" s="27"/>
      <c r="H54" s="27"/>
    </row>
    <row r="55" spans="1:8" ht="15" customHeight="1" x14ac:dyDescent="0.25">
      <c r="A55" s="27"/>
      <c r="B55" s="27"/>
      <c r="C55" s="27"/>
      <c r="D55" s="27"/>
      <c r="E55" s="27"/>
      <c r="F55" s="27"/>
      <c r="G55" s="27"/>
      <c r="H55" s="27"/>
    </row>
    <row r="56" spans="1:8" ht="15" customHeight="1" x14ac:dyDescent="0.25">
      <c r="A56" s="27"/>
      <c r="B56" s="27"/>
      <c r="C56" s="27"/>
      <c r="D56" s="27"/>
      <c r="E56" s="27"/>
      <c r="F56" s="27"/>
      <c r="G56" s="27"/>
      <c r="H56" s="27"/>
    </row>
    <row r="57" spans="1:8" ht="15" customHeight="1" x14ac:dyDescent="0.25">
      <c r="A57" s="27"/>
      <c r="B57" s="27"/>
      <c r="C57" s="27"/>
      <c r="D57" s="27"/>
      <c r="E57" s="27"/>
      <c r="F57" s="27"/>
      <c r="G57" s="27"/>
      <c r="H57" s="27"/>
    </row>
    <row r="58" spans="1:8" ht="15" customHeight="1" x14ac:dyDescent="0.25">
      <c r="A58" s="27"/>
      <c r="B58" s="27"/>
      <c r="C58" s="27"/>
      <c r="D58" s="27"/>
      <c r="E58" s="27"/>
      <c r="F58" s="27"/>
      <c r="G58" s="27"/>
      <c r="H58" s="27"/>
    </row>
    <row r="59" spans="1:8" ht="15" customHeight="1" x14ac:dyDescent="0.25">
      <c r="A59" s="27"/>
      <c r="B59" s="27"/>
      <c r="C59" s="27"/>
      <c r="D59" s="27"/>
      <c r="E59" s="27"/>
      <c r="F59" s="27"/>
      <c r="G59" s="27"/>
      <c r="H59" s="27"/>
    </row>
    <row r="60" spans="1:8" ht="15" customHeight="1" x14ac:dyDescent="0.25">
      <c r="A60" s="27"/>
      <c r="B60" s="27"/>
      <c r="C60" s="27"/>
      <c r="D60" s="27"/>
      <c r="E60" s="27"/>
      <c r="F60" s="27"/>
      <c r="G60" s="27"/>
      <c r="H60" s="27"/>
    </row>
  </sheetData>
  <mergeCells count="6">
    <mergeCell ref="A1:AB1"/>
    <mergeCell ref="A36:G36"/>
    <mergeCell ref="A44:B44"/>
    <mergeCell ref="D44:G44"/>
    <mergeCell ref="A45:B45"/>
    <mergeCell ref="D45:G45"/>
  </mergeCells>
  <conditionalFormatting sqref="A4:U33">
    <cfRule type="expression" dxfId="2" priority="2">
      <formula>$S4&lt;&gt;""</formula>
    </cfRule>
    <cfRule type="expression" dxfId="1" priority="3">
      <formula>$R4&lt;&gt;""</formula>
    </cfRule>
    <cfRule type="expression" dxfId="0" priority="4">
      <formula>$Q4&lt;&gt;""</formula>
    </cfRule>
  </conditionalFormatting>
  <dataValidations count="1">
    <dataValidation type="list" allowBlank="1" showInputMessage="1" showErrorMessage="1" sqref="P4:P33" xr:uid="{00000000-0002-0000-0200-000000000000}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SETUP</vt:lpstr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  <vt:lpstr>November 2026</vt:lpstr>
      <vt:lpstr>December 2026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Elissa Gonzalez</cp:lastModifiedBy>
  <cp:revision>0</cp:revision>
  <dcterms:created xsi:type="dcterms:W3CDTF">2026-03-11T17:52:19Z</dcterms:created>
  <dcterms:modified xsi:type="dcterms:W3CDTF">2026-04-22T14:55:07Z</dcterms:modified>
  <dc:language>en-US</dc:language>
</cp:coreProperties>
</file>