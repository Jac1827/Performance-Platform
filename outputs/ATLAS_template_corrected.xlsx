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00" yWindow="620" windowWidth="30240" windowHeight="189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_Upload" sheetId="2" state="visible" r:id="rId2"/>
    <sheet xmlns:r="http://schemas.openxmlformats.org/officeDocument/2006/relationships" name="Community_Master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Validation_Lists" sheetId="5" state="visible" r:id="rId5"/>
    <sheet xmlns:r="http://schemas.openxmlformats.org/officeDocument/2006/relationships" name="Upload_Checks" sheetId="6" state="visible" r:id="rId6"/>
    <sheet xmlns:r="http://schemas.openxmlformats.org/officeDocument/2006/relationships" name="PowerBI_Schema" sheetId="7" state="visible" r:id="rId7"/>
    <sheet xmlns:r="http://schemas.openxmlformats.org/officeDocument/2006/relationships" name="Agent_Instructions" sheetId="8" state="visible" r:id="rId8"/>
    <sheet xmlns:r="http://schemas.openxmlformats.org/officeDocument/2006/relationships" name="Floorplan_Occupanc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"/>
    <numFmt numFmtId="165" formatCode="0.0%"/>
    <numFmt numFmtId="166" formatCode="&quot;$&quot;#,##0"/>
    <numFmt numFmtId="167" formatCode="0.0"/>
    <numFmt numFmtId="168" formatCode="yyyy\-mm\-dd\ hh:mm"/>
  </numFmts>
  <fonts count="10">
    <font>
      <name val="Carlito"/>
      <sz val="11"/>
    </font>
    <font>
      <name val="Aptos"/>
      <b val="1"/>
      <color rgb="FF0B2233"/>
      <sz val="10"/>
    </font>
    <font>
      <name val="Aptos"/>
      <sz val="10"/>
    </font>
    <font>
      <name val="Aptos Display"/>
      <b val="1"/>
      <color rgb="FF004657"/>
      <sz val="20"/>
    </font>
    <font>
      <name val="Aptos"/>
      <i val="1"/>
      <color rgb="FF55707A"/>
      <sz val="10"/>
    </font>
    <font>
      <name val="Aptos"/>
      <b val="1"/>
      <color rgb="FFFFFFFF"/>
      <sz val="10"/>
    </font>
    <font>
      <name val="Aptos"/>
      <b val="1"/>
      <color rgb="FF004657"/>
      <sz val="16"/>
    </font>
    <font>
      <name val="Aptos"/>
      <i val="1"/>
      <color rgb="FF1478C8"/>
      <sz val="10"/>
    </font>
    <font>
      <name val="Aptos"/>
      <b val="1"/>
      <color rgb="FF004657"/>
      <sz val="1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EAF4F7"/>
      </patternFill>
    </fill>
    <fill>
      <patternFill patternType="solid">
        <fgColor rgb="FF00465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1" fillId="2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1" fillId="2" borderId="0" pivotButton="0" quotePrefix="0" xfId="0"/>
    <xf numFmtId="0" fontId="9" fillId="4" borderId="0" applyAlignment="1" pivotButton="0" quotePrefix="0" xfId="0">
      <alignment wrapText="1"/>
    </xf>
    <xf numFmtId="0" fontId="9" fillId="4" borderId="0" pivotButton="0" quotePrefix="0" xfId="0"/>
  </cellXfs>
  <cellStyles count="1">
    <cellStyle name="Normal" xfId="0" builtinId="0"/>
  </cellStyles>
  <dxfs count="6">
    <dxf>
      <font>
        <b val="1"/>
        <color rgb="FF166534"/>
      </font>
      <fill>
        <patternFill patternType="solid">
          <bgColor rgb="FFDDF6E8"/>
        </patternFill>
      </fill>
    </dxf>
    <dxf>
      <font>
        <b val="1"/>
        <color rgb="FF8A5A00"/>
      </font>
      <fill>
        <patternFill patternType="solid">
          <bgColor rgb="FFFFF3CD"/>
        </patternFill>
      </fill>
    </dxf>
    <dxf>
      <font>
        <b val="1"/>
        <color rgb="FF166534"/>
      </font>
      <fill>
        <patternFill patternType="solid">
          <bgColor rgb="FFDDF6E8"/>
        </patternFill>
      </fill>
    </dxf>
    <dxf>
      <font>
        <b val="1"/>
        <color rgb="FF9B1C1C"/>
      </font>
      <fill>
        <patternFill patternType="solid">
          <bgColor rgb="FFFCE4E4"/>
        </patternFill>
      </fill>
    </dxf>
    <dxf>
      <font>
        <b val="1"/>
        <color rgb="FF166534"/>
      </font>
      <fill>
        <patternFill patternType="solid">
          <bgColor rgb="FFDDF6E8"/>
        </patternFill>
      </fill>
    </dxf>
    <dxf>
      <font>
        <b val="1"/>
        <color rgb="FF9B1C1C"/>
      </font>
      <fill>
        <patternFill patternType="solid">
          <bgColor rgb="FFFCE4E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MonthlyUpload" displayName="tblMonthlyUpload" ref="A1:AR501" headerRowCount="1">
  <tableColumns count="44">
    <tableColumn id="1" name="Report_Month"/>
    <tableColumn id="2" name="Community_ID"/>
    <tableColumn id="3" name="Community_Name"/>
    <tableColumn id="4" name="Region"/>
    <tableColumn id="5" name="Market"/>
    <tableColumn id="6" name="Asset_Type"/>
    <tableColumn id="7" name="PMS_Property_Code"/>
    <tableColumn id="8" name="Total_Units"/>
    <tableColumn id="9" name="Occupied_Units"/>
    <tableColumn id="10" name="Leased_Units"/>
    <tableColumn id="11" name="Preleased_Units"/>
    <tableColumn id="12" name="Vacant_Units"/>
    <tableColumn id="13" name="Physical_Occupancy_%"/>
    <tableColumn id="14" name="Leased_%"/>
    <tableColumn id="15" name="Economic_Occupancy_%"/>
    <tableColumn id="16" name="Avg_Market_Rent"/>
    <tableColumn id="17" name="Actual_Rent"/>
    <tableColumn id="18" name="Concessions_$"/>
    <tableColumn id="19" name="Delinquency_$"/>
    <tableColumn id="20" name="Gross_Potential_Rent_$"/>
    <tableColumn id="21" name="Collected_Rent_$"/>
    <tableColumn id="22" name="Other_Income_$"/>
    <tableColumn id="23" name="Operating_Expenses_$"/>
    <tableColumn id="24" name="NOI_$"/>
    <tableColumn id="25" name="Traffic"/>
    <tableColumn id="26" name="Leads"/>
    <tableColumn id="27" name="Tours"/>
    <tableColumn id="28" name="Applications"/>
    <tableColumn id="29" name="Approved_Applications"/>
    <tableColumn id="30" name="Move_Ins"/>
    <tableColumn id="31" name="Move_Outs"/>
    <tableColumn id="32" name="Renewals_Sent"/>
    <tableColumn id="33" name="Renewals_Signed"/>
    <tableColumn id="34" name="Reviews_Count"/>
    <tableColumn id="35" name="Avg_Review_Rating"/>
    <tableColumn id="36" name="Open_Work_Orders"/>
    <tableColumn id="37" name="Completed_Work_Orders"/>
    <tableColumn id="38" name="Period_Status"/>
    <tableColumn id="39" name="Source_System"/>
    <tableColumn id="40" name="Source_File_Name"/>
    <tableColumn id="41" name="Agent_Notes"/>
    <tableColumn id="42" name="Last_Updated"/>
    <tableColumn id="43" name="Row_Status"/>
    <tableColumn id="44" name="Error_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ommunityMaster" displayName="tblCommunityMaster" ref="A1:K10" headerRowCount="1">
  <tableColumns count="11">
    <tableColumn id="1" name="Community_ID"/>
    <tableColumn id="2" name="Community_Name"/>
    <tableColumn id="3" name="Short_Name"/>
    <tableColumn id="4" name="Region"/>
    <tableColumn id="5" name="Market"/>
    <tableColumn id="6" name="Asset_Type"/>
    <tableColumn id="7" name="Total_Units"/>
    <tableColumn id="8" name="PMS_Property_Code"/>
    <tableColumn id="9" name="Dashboard_Group"/>
    <tableColumn id="10" name="Active_Flag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ataDictionary" displayName="tblDataDictionary" ref="A1:F45" headerRowCount="1">
  <tableColumns count="6">
    <tableColumn id="1" name="Field"/>
    <tableColumn id="2" name="Required"/>
    <tableColumn id="3" name="Type"/>
    <tableColumn id="4" name="Allowed / Formula"/>
    <tableColumn id="5" name="Agent Rule"/>
    <tableColumn id="6" name="Power BI Ro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owerBISchema" displayName="tblPowerBISchema" ref="A1:E56" headerRowCount="1">
  <tableColumns count="5">
    <tableColumn id="1" name="Table"/>
    <tableColumn id="2" name="Column"/>
    <tableColumn id="3" name="Data Type"/>
    <tableColumn id="4" name="Model Use"/>
    <tableColumn id="5" name="Relationship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tabSelected="1" workbookViewId="0">
      <selection activeCell="A1" sqref="A1:H1"/>
    </sheetView>
  </sheetViews>
  <sheetFormatPr baseColWidth="10" defaultColWidth="8.83203125" defaultRowHeight="14"/>
  <cols>
    <col width="18" customWidth="1" min="1" max="1"/>
    <col width="80" customWidth="1" min="2" max="2"/>
    <col width="4" customWidth="1" min="3" max="3"/>
    <col width="18" customWidth="1" min="4" max="8"/>
  </cols>
  <sheetData>
    <row r="1" ht="17" customHeight="1">
      <c r="A1" s="12" t="inlineStr">
        <is>
          <t>ATLAS Monthly Portfolio Upload Template</t>
        </is>
      </c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4" t="inlineStr">
        <is>
          <t>One standardized file to refresh the full monthly ATLAS dashboard across all communities.</t>
        </is>
      </c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3" t="inlineStr">
        <is>
          <t>Workflow Step</t>
        </is>
      </c>
      <c r="B4" s="3" t="inlineStr">
        <is>
          <t>Action</t>
        </is>
      </c>
      <c r="C4" s="15" t="n"/>
      <c r="D4" s="15" t="inlineStr">
        <is>
          <t>Recommended Tagline</t>
        </is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22" customHeight="1">
      <c r="A5" s="15" t="inlineStr">
        <is>
          <t>1</t>
        </is>
      </c>
      <c r="B5" s="15" t="inlineStr">
        <is>
          <t>Update Community_Master only when a community or mapping changes.</t>
        </is>
      </c>
      <c r="C5" s="15" t="n"/>
      <c r="D5" s="16" t="inlineStr">
        <is>
          <t>LOVE. SERVE. CARE.</t>
        </is>
      </c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2</t>
        </is>
      </c>
      <c r="B6" s="15" t="inlineStr">
        <is>
          <t>Paste one row per community per month into Monthly_Upload, including the five lead-source columns on that same row.</t>
        </is>
      </c>
      <c r="C6" s="15" t="n"/>
      <c r="D6" s="17" t="inlineStr">
        <is>
          <t>Powered by better insight, stronger service, and care for every community.</t>
        </is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3</t>
        </is>
      </c>
      <c r="B7" s="15" t="inlineStr">
        <is>
          <t>Use dropdowns and Row_Status / Error_Detail to correct issues.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4</t>
        </is>
      </c>
      <c r="B8" s="15" t="inlineStr">
        <is>
          <t>Review Upload_Checks before loading.</t>
        </is>
      </c>
      <c r="C8" s="15" t="n"/>
      <c r="D8" s="15" t="inlineStr">
        <is>
          <t>Primary Keys</t>
        </is>
      </c>
      <c r="E8" s="15" t="inlineStr">
        <is>
          <t>Report_Month + Community_ID</t>
        </is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5</t>
        </is>
      </c>
      <c r="B9" s="15" t="inlineStr">
        <is>
          <t>Load Monthly_Upload into Power BI / ATLAS as the monthly fact table and use Floorplan_Occupancy for floor-plan occupancy detail.</t>
        </is>
      </c>
      <c r="C9" s="15" t="n"/>
      <c r="D9" s="15" t="inlineStr">
        <is>
          <t>Community Mapping</t>
        </is>
      </c>
      <c r="E9" s="15" t="inlineStr">
        <is>
          <t>Community_ID joins every upload row to dashboard visuals.</t>
        </is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6</t>
        </is>
      </c>
      <c r="B10" s="15" t="inlineStr">
        <is>
          <t>Save as ATLAS_MonthlyUpload_YYYY-MM.xlsx.</t>
        </is>
      </c>
      <c r="C10" s="15" t="n"/>
      <c r="D10" s="15" t="inlineStr">
        <is>
          <t>Power BI Grain</t>
        </is>
      </c>
      <c r="E10" s="15" t="inlineStr">
        <is>
          <t>One row per community per reporting month in Monthly_Upload; one row per floor plan in Floorplan_Occupancy.</t>
        </is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n"/>
      <c r="B11" s="15" t="n"/>
      <c r="C11" s="15" t="n"/>
      <c r="D11" s="15" t="inlineStr">
        <is>
          <t>Do Not Rename</t>
        </is>
      </c>
      <c r="E11" s="15" t="inlineStr">
        <is>
          <t>Monthly_Upload, Community_Master, Data_Dictionary, Upload_Checks</t>
        </is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n"/>
      <c r="B12" s="15" t="n"/>
      <c r="C12" s="15" t="n"/>
      <c r="D12" s="15" t="inlineStr">
        <is>
          <t>Agent Role</t>
        </is>
      </c>
      <c r="E12" s="15" t="inlineStr">
        <is>
          <t>Clean, map, validate, and return this schema with lead-source detail on Monthly_Upload.</t>
        </is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mergeCells count="5">
    <mergeCell ref="D6:H6"/>
    <mergeCell ref="A2:H2"/>
    <mergeCell ref="D5:H5"/>
    <mergeCell ref="A1:H1"/>
    <mergeCell ref="D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01"/>
  <sheetViews>
    <sheetView workbookViewId="0">
      <selection activeCell="F4" sqref="F4"/>
    </sheetView>
  </sheetViews>
  <sheetFormatPr baseColWidth="10" defaultColWidth="8.83203125" defaultRowHeight="14"/>
  <cols>
    <col width="14" customWidth="1" min="1" max="1"/>
    <col width="14" customWidth="1" min="2" max="2"/>
    <col width="16" customWidth="1" min="3" max="3"/>
    <col width="8" customWidth="1" min="4" max="4"/>
    <col width="8" customWidth="1" min="5" max="6"/>
    <col width="12" customWidth="1" min="6" max="6"/>
    <col width="19" customWidth="1" min="7" max="7"/>
    <col width="13" customWidth="1" min="8" max="8"/>
    <col width="16" customWidth="1" min="9" max="9"/>
    <col width="14" customWidth="1" min="10" max="10"/>
    <col width="17" customWidth="1" min="11" max="11"/>
    <col width="14" customWidth="1" min="12" max="12"/>
    <col width="22" customWidth="1" min="13" max="13"/>
    <col width="10" customWidth="1" min="14" max="14"/>
    <col width="22" customWidth="1" min="15" max="15"/>
    <col width="17" customWidth="1" min="16" max="16"/>
    <col width="13" customWidth="1" min="17" max="17"/>
    <col width="15" customWidth="1" min="18" max="19"/>
    <col width="15" customWidth="1" min="19" max="19"/>
    <col width="24" customWidth="1" min="20" max="20"/>
    <col width="18" customWidth="1" min="21" max="21"/>
    <col width="16" customWidth="1" min="22" max="22"/>
    <col width="22" customWidth="1" min="23" max="23"/>
    <col width="7" customWidth="1" min="24" max="24"/>
    <col width="9" customWidth="1" min="25" max="27"/>
    <col width="7" customWidth="1" min="26" max="26"/>
    <col width="15" customWidth="1" min="27" max="27"/>
    <col width="21" customWidth="1" min="28" max="28"/>
    <col width="12" customWidth="1" min="29" max="29"/>
    <col width="20" customWidth="1" min="30" max="30"/>
    <col width="22" customWidth="1" min="31" max="31"/>
    <col width="7" customWidth="1" min="32" max="33"/>
    <col width="14" customWidth="1" min="33" max="33"/>
    <col width="23" customWidth="1" min="34" max="34"/>
    <col width="10" customWidth="1" min="35" max="35"/>
    <col width="11" customWidth="1" min="36" max="36"/>
    <col width="15" customWidth="1" min="37" max="37"/>
    <col width="17" customWidth="1" min="38" max="39"/>
    <col width="15" customWidth="1" min="39" max="39"/>
    <col width="19" customWidth="1" min="40" max="40"/>
    <col width="18" customWidth="1" min="41" max="41"/>
    <col width="23" customWidth="1" min="42" max="42"/>
    <col width="15" customWidth="1" min="43" max="43"/>
    <col width="15" customWidth="1" min="44" max="44"/>
    <col width="18" customWidth="1" min="45" max="45"/>
    <col width="13" customWidth="1" min="46" max="46"/>
    <col width="14" customWidth="1" min="47" max="47"/>
    <col width="12" customWidth="1" min="48" max="48"/>
    <col width="14" customWidth="1" min="49" max="49"/>
  </cols>
  <sheetData>
    <row r="1" ht="48" customHeight="1">
      <c r="A1" s="20" t="inlineStr">
        <is>
          <t>Report_Month</t>
        </is>
      </c>
      <c r="B1" s="20" t="inlineStr">
        <is>
          <t>Community_ID</t>
        </is>
      </c>
      <c r="C1" s="20" t="inlineStr">
        <is>
          <t>Community_Name</t>
        </is>
      </c>
      <c r="D1" s="20" t="inlineStr">
        <is>
          <t>Region</t>
        </is>
      </c>
      <c r="E1" s="20" t="inlineStr">
        <is>
          <t>Market</t>
        </is>
      </c>
      <c r="F1" s="20" t="inlineStr">
        <is>
          <t>Asset_Type</t>
        </is>
      </c>
      <c r="G1" s="20" t="inlineStr">
        <is>
          <t>PMS_Property_Code</t>
        </is>
      </c>
      <c r="H1" s="20" t="inlineStr">
        <is>
          <t>Total_Units</t>
        </is>
      </c>
      <c r="I1" s="20" t="inlineStr">
        <is>
          <t>Occupied_Units</t>
        </is>
      </c>
      <c r="J1" s="20" t="inlineStr">
        <is>
          <t>Leased_Units</t>
        </is>
      </c>
      <c r="K1" s="20" t="inlineStr">
        <is>
          <t>Preleased_Units</t>
        </is>
      </c>
      <c r="L1" s="20" t="inlineStr">
        <is>
          <t>Vacant_Units</t>
        </is>
      </c>
      <c r="M1" s="20" t="inlineStr">
        <is>
          <t>Physical_Occupancy_%</t>
        </is>
      </c>
      <c r="N1" s="20" t="inlineStr">
        <is>
          <t>Leased_%</t>
        </is>
      </c>
      <c r="O1" s="20" t="inlineStr">
        <is>
          <t>Economic_Occupancy_%</t>
        </is>
      </c>
      <c r="P1" s="20" t="inlineStr">
        <is>
          <t>Avg_Market_Rent</t>
        </is>
      </c>
      <c r="Q1" s="20" t="inlineStr">
        <is>
          <t>Actual_Rent</t>
        </is>
      </c>
      <c r="R1" s="20" t="inlineStr">
        <is>
          <t>Concessions_$</t>
        </is>
      </c>
      <c r="S1" s="20" t="inlineStr">
        <is>
          <t>Delinquency_$</t>
        </is>
      </c>
      <c r="T1" s="20" t="inlineStr">
        <is>
          <t>Gross_Potential_Rent_$</t>
        </is>
      </c>
      <c r="U1" s="20" t="inlineStr">
        <is>
          <t>Collected_Rent_$</t>
        </is>
      </c>
      <c r="V1" s="20" t="inlineStr">
        <is>
          <t>Other_Income_$</t>
        </is>
      </c>
      <c r="W1" s="20" t="inlineStr">
        <is>
          <t>Operating_Expenses_$</t>
        </is>
      </c>
      <c r="X1" s="20" t="inlineStr">
        <is>
          <t>NOI_$</t>
        </is>
      </c>
      <c r="Y1" s="20" t="inlineStr">
        <is>
          <t>Traffic</t>
        </is>
      </c>
      <c r="Z1" s="20" t="inlineStr">
        <is>
          <t>Leads</t>
        </is>
      </c>
      <c r="AA1" s="20" t="inlineStr">
        <is>
          <t>Lead_Walk_Ins</t>
        </is>
      </c>
      <c r="AB1" s="20" t="inlineStr">
        <is>
          <t>Lead_Off_Site_Event</t>
        </is>
      </c>
      <c r="AC1" s="20" t="inlineStr">
        <is>
          <t>Lead_Calls</t>
        </is>
      </c>
      <c r="AD1" s="20" t="inlineStr">
        <is>
          <t>Lead_Emails_Online</t>
        </is>
      </c>
      <c r="AE1" s="20" t="inlineStr">
        <is>
          <t>Lead_Chat_Text_Other</t>
        </is>
      </c>
      <c r="AF1" s="20" t="inlineStr">
        <is>
          <t>Tours</t>
        </is>
      </c>
      <c r="AG1" s="20" t="inlineStr">
        <is>
          <t>Applications</t>
        </is>
      </c>
      <c r="AH1" s="20" t="inlineStr">
        <is>
          <t>Approved_Applications</t>
        </is>
      </c>
      <c r="AI1" s="20" t="inlineStr">
        <is>
          <t>Move_Ins</t>
        </is>
      </c>
      <c r="AJ1" s="20" t="inlineStr">
        <is>
          <t>Move_Outs</t>
        </is>
      </c>
      <c r="AK1" s="20" t="inlineStr">
        <is>
          <t>Renewals_Sent</t>
        </is>
      </c>
      <c r="AL1" s="20" t="inlineStr">
        <is>
          <t>Renewals_Signed</t>
        </is>
      </c>
      <c r="AM1" s="20" t="inlineStr">
        <is>
          <t>Reviews_Count</t>
        </is>
      </c>
      <c r="AN1" s="20" t="inlineStr">
        <is>
          <t>Avg_Review_Rating</t>
        </is>
      </c>
      <c r="AO1" s="20" t="inlineStr">
        <is>
          <t>Open_Work_Orders</t>
        </is>
      </c>
      <c r="AP1" s="20" t="inlineStr">
        <is>
          <t>Completed_Work_Orders</t>
        </is>
      </c>
      <c r="AQ1" s="20" t="inlineStr">
        <is>
          <t>Period_Status</t>
        </is>
      </c>
      <c r="AR1" s="20" t="inlineStr">
        <is>
          <t>Source_System</t>
        </is>
      </c>
      <c r="AS1" s="21" t="inlineStr">
        <is>
          <t>Source_File_Name</t>
        </is>
      </c>
      <c r="AT1" s="21" t="inlineStr">
        <is>
          <t>Agent_Notes</t>
        </is>
      </c>
      <c r="AU1" s="21" t="inlineStr">
        <is>
          <t>Last_Updated</t>
        </is>
      </c>
      <c r="AV1" s="21" t="inlineStr">
        <is>
          <t>Row_Status</t>
        </is>
      </c>
      <c r="AW1" s="21" t="inlineStr">
        <is>
          <t>Error_Detail</t>
        </is>
      </c>
    </row>
    <row r="2" ht="15" customHeight="1">
      <c r="A2" s="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6" t="n"/>
      <c r="N2" s="6" t="n"/>
      <c r="O2" s="6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9" t="n"/>
      <c r="AJ2" s="8" t="n"/>
      <c r="AK2" s="8" t="n"/>
      <c r="AL2" s="15" t="n"/>
      <c r="AM2" s="15" t="n"/>
      <c r="AN2" s="15" t="n"/>
      <c r="AO2" s="15" t="n"/>
      <c r="AP2" s="10" t="n"/>
      <c r="AQ2" s="15" t="n"/>
      <c r="AR2" s="15" t="n"/>
    </row>
    <row r="3" ht="15" customHeight="1">
      <c r="A3" s="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6" t="n"/>
      <c r="N3" s="6" t="n"/>
      <c r="O3" s="6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9" t="n"/>
      <c r="AJ3" s="8" t="n"/>
      <c r="AK3" s="8" t="n"/>
      <c r="AL3" s="15" t="n"/>
      <c r="AM3" s="15" t="n"/>
      <c r="AN3" s="15" t="n"/>
      <c r="AO3" s="15" t="n"/>
      <c r="AP3" s="10" t="n"/>
      <c r="AQ3" s="15" t="n"/>
      <c r="AR3" s="15" t="n"/>
    </row>
    <row r="4" ht="15" customHeight="1">
      <c r="A4" s="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6" t="n"/>
      <c r="N4" s="6" t="n"/>
      <c r="O4" s="6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9" t="n"/>
      <c r="AJ4" s="8" t="n"/>
      <c r="AK4" s="8" t="n"/>
      <c r="AL4" s="15" t="n"/>
      <c r="AM4" s="15" t="n"/>
      <c r="AN4" s="15" t="n"/>
      <c r="AO4" s="15" t="n"/>
      <c r="AP4" s="10" t="n"/>
      <c r="AQ4" s="15" t="n"/>
      <c r="AR4" s="15" t="n"/>
    </row>
    <row r="5" ht="15" customHeight="1">
      <c r="A5" s="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6" t="n"/>
      <c r="N5" s="6" t="n"/>
      <c r="O5" s="6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9" t="n"/>
      <c r="AJ5" s="8" t="n"/>
      <c r="AK5" s="8" t="n"/>
      <c r="AL5" s="15" t="n"/>
      <c r="AM5" s="15" t="n"/>
      <c r="AN5" s="15" t="n"/>
      <c r="AO5" s="15" t="n"/>
      <c r="AP5" s="10" t="n"/>
      <c r="AQ5" s="15" t="n"/>
      <c r="AR5" s="15" t="n"/>
    </row>
    <row r="6" ht="15" customHeight="1">
      <c r="A6" s="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6" t="n"/>
      <c r="N6" s="6" t="n"/>
      <c r="O6" s="6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9" t="n"/>
      <c r="AJ6" s="8" t="n"/>
      <c r="AK6" s="8" t="n"/>
      <c r="AL6" s="15" t="n"/>
      <c r="AM6" s="15" t="n"/>
      <c r="AN6" s="15" t="n"/>
      <c r="AO6" s="15" t="n"/>
      <c r="AP6" s="10" t="n"/>
      <c r="AQ6" s="15" t="n"/>
      <c r="AR6" s="15" t="n"/>
    </row>
    <row r="7" ht="15" customHeight="1">
      <c r="A7" s="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6" t="n"/>
      <c r="N7" s="6" t="n"/>
      <c r="O7" s="6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9" t="n"/>
      <c r="AJ7" s="8" t="n"/>
      <c r="AK7" s="8" t="n"/>
      <c r="AL7" s="15" t="n"/>
      <c r="AM7" s="15" t="n"/>
      <c r="AN7" s="15" t="n"/>
      <c r="AO7" s="15" t="n"/>
      <c r="AP7" s="10" t="n"/>
      <c r="AQ7" s="15" t="n"/>
      <c r="AR7" s="15" t="n"/>
    </row>
    <row r="8" ht="15" customHeight="1">
      <c r="A8" s="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6" t="n"/>
      <c r="N8" s="6" t="n"/>
      <c r="O8" s="6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9" t="n"/>
      <c r="AJ8" s="8" t="n"/>
      <c r="AK8" s="8" t="n"/>
      <c r="AL8" s="15" t="n"/>
      <c r="AM8" s="15" t="n"/>
      <c r="AN8" s="15" t="n"/>
      <c r="AO8" s="15" t="n"/>
      <c r="AP8" s="10" t="n"/>
      <c r="AQ8" s="15" t="n"/>
      <c r="AR8" s="15" t="n"/>
    </row>
    <row r="9" ht="15" customHeight="1">
      <c r="A9" s="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6" t="n"/>
      <c r="N9" s="6" t="n"/>
      <c r="O9" s="6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9" t="n"/>
      <c r="AJ9" s="8" t="n"/>
      <c r="AK9" s="8" t="n"/>
      <c r="AL9" s="15" t="n"/>
      <c r="AM9" s="15" t="n"/>
      <c r="AN9" s="15" t="n"/>
      <c r="AO9" s="15" t="n"/>
      <c r="AP9" s="10" t="n"/>
      <c r="AQ9" s="15" t="n"/>
      <c r="AR9" s="15" t="n"/>
    </row>
    <row r="10" ht="15" customHeight="1">
      <c r="A10" s="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6" t="n"/>
      <c r="N10" s="6" t="n"/>
      <c r="O10" s="6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9" t="n"/>
      <c r="AJ10" s="8" t="n"/>
      <c r="AK10" s="8" t="n"/>
      <c r="AL10" s="15" t="n"/>
      <c r="AM10" s="15" t="n"/>
      <c r="AN10" s="15" t="n"/>
      <c r="AO10" s="15" t="n"/>
      <c r="AP10" s="10" t="n"/>
      <c r="AQ10" s="15" t="n"/>
      <c r="AR10" s="15" t="n"/>
    </row>
    <row r="11" ht="15" customHeight="1">
      <c r="A11" s="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6" t="n"/>
      <c r="N11" s="6" t="n"/>
      <c r="O11" s="6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9" t="n"/>
      <c r="AJ11" s="8" t="n"/>
      <c r="AK11" s="8" t="n"/>
      <c r="AL11" s="15" t="n"/>
      <c r="AM11" s="15" t="n"/>
      <c r="AN11" s="15" t="n"/>
      <c r="AO11" s="15" t="n"/>
      <c r="AP11" s="10" t="n"/>
      <c r="AQ11" s="15" t="n"/>
      <c r="AR11" s="15" t="n"/>
    </row>
    <row r="12" ht="15" customHeight="1">
      <c r="A12" s="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6" t="n"/>
      <c r="N12" s="6" t="n"/>
      <c r="O12" s="6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9" t="n"/>
      <c r="AJ12" s="8" t="n"/>
      <c r="AK12" s="8" t="n"/>
      <c r="AL12" s="15" t="n"/>
      <c r="AM12" s="15" t="n"/>
      <c r="AN12" s="15" t="n"/>
      <c r="AO12" s="15" t="n"/>
      <c r="AP12" s="10" t="n"/>
      <c r="AQ12" s="15" t="n"/>
      <c r="AR12" s="15" t="n"/>
    </row>
    <row r="13" ht="15" customHeight="1">
      <c r="A13" s="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6" t="n"/>
      <c r="N13" s="6" t="n"/>
      <c r="O13" s="6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9" t="n"/>
      <c r="AJ13" s="8" t="n"/>
      <c r="AK13" s="8" t="n"/>
      <c r="AL13" s="15" t="n"/>
      <c r="AM13" s="15" t="n"/>
      <c r="AN13" s="15" t="n"/>
      <c r="AO13" s="15" t="n"/>
      <c r="AP13" s="10" t="n"/>
      <c r="AQ13" s="15" t="n"/>
      <c r="AR13" s="15" t="n"/>
    </row>
    <row r="14" ht="15" customHeight="1">
      <c r="A14" s="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6" t="n"/>
      <c r="N14" s="6" t="n"/>
      <c r="O14" s="6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9" t="n"/>
      <c r="AJ14" s="8" t="n"/>
      <c r="AK14" s="8" t="n"/>
      <c r="AL14" s="15" t="n"/>
      <c r="AM14" s="15" t="n"/>
      <c r="AN14" s="15" t="n"/>
      <c r="AO14" s="15" t="n"/>
      <c r="AP14" s="10" t="n"/>
      <c r="AQ14" s="15" t="n"/>
      <c r="AR14" s="15" t="n"/>
    </row>
    <row r="15" ht="15" customHeight="1">
      <c r="A15" s="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6" t="n"/>
      <c r="N15" s="6" t="n"/>
      <c r="O15" s="6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9" t="n"/>
      <c r="AJ15" s="8" t="n"/>
      <c r="AK15" s="8" t="n"/>
      <c r="AL15" s="15" t="n"/>
      <c r="AM15" s="15" t="n"/>
      <c r="AN15" s="15" t="n"/>
      <c r="AO15" s="15" t="n"/>
      <c r="AP15" s="10" t="n"/>
      <c r="AQ15" s="15" t="n"/>
      <c r="AR15" s="15" t="n"/>
    </row>
    <row r="16" ht="15" customHeight="1">
      <c r="A16" s="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6" t="n"/>
      <c r="N16" s="6" t="n"/>
      <c r="O16" s="6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9" t="n"/>
      <c r="AJ16" s="8" t="n"/>
      <c r="AK16" s="8" t="n"/>
      <c r="AL16" s="15" t="n"/>
      <c r="AM16" s="15" t="n"/>
      <c r="AN16" s="15" t="n"/>
      <c r="AO16" s="15" t="n"/>
      <c r="AP16" s="10" t="n"/>
      <c r="AQ16" s="15" t="n"/>
      <c r="AR16" s="15" t="n"/>
    </row>
    <row r="17" ht="15" customHeight="1">
      <c r="A17" s="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6" t="n"/>
      <c r="N17" s="6" t="n"/>
      <c r="O17" s="6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9" t="n"/>
      <c r="AJ17" s="8" t="n"/>
      <c r="AK17" s="8" t="n"/>
      <c r="AL17" s="15" t="n"/>
      <c r="AM17" s="15" t="n"/>
      <c r="AN17" s="15" t="n"/>
      <c r="AO17" s="15" t="n"/>
      <c r="AP17" s="10" t="n"/>
      <c r="AQ17" s="15" t="n"/>
      <c r="AR17" s="15" t="n"/>
    </row>
    <row r="18" ht="15" customHeight="1">
      <c r="A18" s="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6" t="n"/>
      <c r="N18" s="6" t="n"/>
      <c r="O18" s="6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9" t="n"/>
      <c r="AJ18" s="8" t="n"/>
      <c r="AK18" s="8" t="n"/>
      <c r="AL18" s="15" t="n"/>
      <c r="AM18" s="15" t="n"/>
      <c r="AN18" s="15" t="n"/>
      <c r="AO18" s="15" t="n"/>
      <c r="AP18" s="10" t="n"/>
      <c r="AQ18" s="15" t="n"/>
      <c r="AR18" s="15" t="n"/>
    </row>
    <row r="19" ht="15" customHeight="1">
      <c r="A19" s="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6" t="n"/>
      <c r="N19" s="6" t="n"/>
      <c r="O19" s="6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9" t="n"/>
      <c r="AJ19" s="8" t="n"/>
      <c r="AK19" s="8" t="n"/>
      <c r="AL19" s="15" t="n"/>
      <c r="AM19" s="15" t="n"/>
      <c r="AN19" s="15" t="n"/>
      <c r="AO19" s="15" t="n"/>
      <c r="AP19" s="10" t="n"/>
      <c r="AQ19" s="15" t="n"/>
      <c r="AR19" s="15" t="n"/>
    </row>
    <row r="20" ht="15" customHeight="1">
      <c r="A20" s="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6" t="n"/>
      <c r="N20" s="6" t="n"/>
      <c r="O20" s="6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9" t="n"/>
      <c r="AJ20" s="8" t="n"/>
      <c r="AK20" s="8" t="n"/>
      <c r="AL20" s="15" t="n"/>
      <c r="AM20" s="15" t="n"/>
      <c r="AN20" s="15" t="n"/>
      <c r="AO20" s="15" t="n"/>
      <c r="AP20" s="10" t="n"/>
      <c r="AQ20" s="15" t="n"/>
      <c r="AR20" s="15" t="n"/>
    </row>
    <row r="21" ht="15" customHeight="1">
      <c r="A21" s="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6" t="n"/>
      <c r="N21" s="6" t="n"/>
      <c r="O21" s="6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9" t="n"/>
      <c r="AJ21" s="8" t="n"/>
      <c r="AK21" s="8" t="n"/>
      <c r="AL21" s="15" t="n"/>
      <c r="AM21" s="15" t="n"/>
      <c r="AN21" s="15" t="n"/>
      <c r="AO21" s="15" t="n"/>
      <c r="AP21" s="10" t="n"/>
      <c r="AQ21" s="15" t="n"/>
      <c r="AR21" s="15" t="n"/>
    </row>
    <row r="22" ht="15" customHeight="1">
      <c r="A22" s="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6" t="n"/>
      <c r="N22" s="6" t="n"/>
      <c r="O22" s="6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9" t="n"/>
      <c r="AJ22" s="8" t="n"/>
      <c r="AK22" s="8" t="n"/>
      <c r="AL22" s="15" t="n"/>
      <c r="AM22" s="15" t="n"/>
      <c r="AN22" s="15" t="n"/>
      <c r="AO22" s="15" t="n"/>
      <c r="AP22" s="10" t="n"/>
      <c r="AQ22" s="15" t="n"/>
      <c r="AR22" s="15" t="n"/>
    </row>
    <row r="23" ht="15" customHeight="1">
      <c r="A23" s="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6" t="n"/>
      <c r="N23" s="6" t="n"/>
      <c r="O23" s="6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9" t="n"/>
      <c r="AJ23" s="8" t="n"/>
      <c r="AK23" s="8" t="n"/>
      <c r="AL23" s="15" t="n"/>
      <c r="AM23" s="15" t="n"/>
      <c r="AN23" s="15" t="n"/>
      <c r="AO23" s="15" t="n"/>
      <c r="AP23" s="10" t="n"/>
      <c r="AQ23" s="15" t="n"/>
      <c r="AR23" s="15" t="n"/>
    </row>
    <row r="24" ht="15" customHeight="1">
      <c r="A24" s="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6" t="n"/>
      <c r="N24" s="6" t="n"/>
      <c r="O24" s="6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9" t="n"/>
      <c r="AJ24" s="8" t="n"/>
      <c r="AK24" s="8" t="n"/>
      <c r="AL24" s="15" t="n"/>
      <c r="AM24" s="15" t="n"/>
      <c r="AN24" s="15" t="n"/>
      <c r="AO24" s="15" t="n"/>
      <c r="AP24" s="10" t="n"/>
      <c r="AQ24" s="15" t="n"/>
      <c r="AR24" s="15" t="n"/>
    </row>
    <row r="25" ht="15" customHeight="1">
      <c r="A25" s="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6" t="n"/>
      <c r="N25" s="6" t="n"/>
      <c r="O25" s="6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9" t="n"/>
      <c r="AJ25" s="8" t="n"/>
      <c r="AK25" s="8" t="n"/>
      <c r="AL25" s="15" t="n"/>
      <c r="AM25" s="15" t="n"/>
      <c r="AN25" s="15" t="n"/>
      <c r="AO25" s="15" t="n"/>
      <c r="AP25" s="10" t="n"/>
      <c r="AQ25" s="15" t="n"/>
      <c r="AR25" s="15" t="n"/>
    </row>
    <row r="26" ht="15" customHeight="1">
      <c r="A26" s="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6" t="n"/>
      <c r="N26" s="6" t="n"/>
      <c r="O26" s="6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9" t="n"/>
      <c r="AJ26" s="8" t="n"/>
      <c r="AK26" s="8" t="n"/>
      <c r="AL26" s="15" t="n"/>
      <c r="AM26" s="15" t="n"/>
      <c r="AN26" s="15" t="n"/>
      <c r="AO26" s="15" t="n"/>
      <c r="AP26" s="10" t="n"/>
      <c r="AQ26" s="15" t="n"/>
      <c r="AR26" s="15" t="n"/>
    </row>
    <row r="27" ht="15" customHeight="1">
      <c r="A27" s="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6" t="n"/>
      <c r="N27" s="6" t="n"/>
      <c r="O27" s="6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9" t="n"/>
      <c r="AJ27" s="8" t="n"/>
      <c r="AK27" s="8" t="n"/>
      <c r="AL27" s="15" t="n"/>
      <c r="AM27" s="15" t="n"/>
      <c r="AN27" s="15" t="n"/>
      <c r="AO27" s="15" t="n"/>
      <c r="AP27" s="10" t="n"/>
      <c r="AQ27" s="15" t="n"/>
      <c r="AR27" s="15" t="n"/>
    </row>
    <row r="28" ht="15" customHeight="1">
      <c r="A28" s="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6" t="n"/>
      <c r="N28" s="6" t="n"/>
      <c r="O28" s="6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9" t="n"/>
      <c r="AJ28" s="8" t="n"/>
      <c r="AK28" s="8" t="n"/>
      <c r="AL28" s="15" t="n"/>
      <c r="AM28" s="15" t="n"/>
      <c r="AN28" s="15" t="n"/>
      <c r="AO28" s="15" t="n"/>
      <c r="AP28" s="10" t="n"/>
      <c r="AQ28" s="15" t="n"/>
      <c r="AR28" s="15" t="n"/>
    </row>
    <row r="29" ht="15" customHeight="1">
      <c r="A29" s="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6" t="n"/>
      <c r="N29" s="6" t="n"/>
      <c r="O29" s="6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9" t="n"/>
      <c r="AJ29" s="8" t="n"/>
      <c r="AK29" s="8" t="n"/>
      <c r="AL29" s="15" t="n"/>
      <c r="AM29" s="15" t="n"/>
      <c r="AN29" s="15" t="n"/>
      <c r="AO29" s="15" t="n"/>
      <c r="AP29" s="10" t="n"/>
      <c r="AQ29" s="15" t="n"/>
      <c r="AR29" s="15" t="n"/>
    </row>
    <row r="30" ht="15" customHeight="1">
      <c r="A30" s="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6" t="n"/>
      <c r="N30" s="6" t="n"/>
      <c r="O30" s="6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9" t="n"/>
      <c r="AJ30" s="8" t="n"/>
      <c r="AK30" s="8" t="n"/>
      <c r="AL30" s="15" t="n"/>
      <c r="AM30" s="15" t="n"/>
      <c r="AN30" s="15" t="n"/>
      <c r="AO30" s="15" t="n"/>
      <c r="AP30" s="10" t="n"/>
      <c r="AQ30" s="15" t="n"/>
      <c r="AR30" s="15" t="n"/>
    </row>
    <row r="31" ht="15" customHeight="1">
      <c r="A31" s="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6" t="n"/>
      <c r="N31" s="6" t="n"/>
      <c r="O31" s="6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9" t="n"/>
      <c r="AJ31" s="8" t="n"/>
      <c r="AK31" s="8" t="n"/>
      <c r="AL31" s="15" t="n"/>
      <c r="AM31" s="15" t="n"/>
      <c r="AN31" s="15" t="n"/>
      <c r="AO31" s="15" t="n"/>
      <c r="AP31" s="10" t="n"/>
      <c r="AQ31" s="15" t="n"/>
      <c r="AR31" s="15" t="n"/>
    </row>
    <row r="32" ht="15" customHeight="1">
      <c r="A32" s="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6" t="n"/>
      <c r="N32" s="6" t="n"/>
      <c r="O32" s="6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9" t="n"/>
      <c r="AJ32" s="8" t="n"/>
      <c r="AK32" s="8" t="n"/>
      <c r="AL32" s="15" t="n"/>
      <c r="AM32" s="15" t="n"/>
      <c r="AN32" s="15" t="n"/>
      <c r="AO32" s="15" t="n"/>
      <c r="AP32" s="10" t="n"/>
      <c r="AQ32" s="15" t="n"/>
      <c r="AR32" s="15" t="n"/>
    </row>
    <row r="33" ht="15" customHeight="1">
      <c r="A33" s="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6" t="n"/>
      <c r="N33" s="6" t="n"/>
      <c r="O33" s="6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9" t="n"/>
      <c r="AJ33" s="8" t="n"/>
      <c r="AK33" s="8" t="n"/>
      <c r="AL33" s="15" t="n"/>
      <c r="AM33" s="15" t="n"/>
      <c r="AN33" s="15" t="n"/>
      <c r="AO33" s="15" t="n"/>
      <c r="AP33" s="10" t="n"/>
      <c r="AQ33" s="15" t="n"/>
      <c r="AR33" s="15" t="n"/>
    </row>
    <row r="34" ht="15" customHeight="1">
      <c r="A34" s="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6" t="n"/>
      <c r="N34" s="6" t="n"/>
      <c r="O34" s="6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9" t="n"/>
      <c r="AJ34" s="8" t="n"/>
      <c r="AK34" s="8" t="n"/>
      <c r="AL34" s="15" t="n"/>
      <c r="AM34" s="15" t="n"/>
      <c r="AN34" s="15" t="n"/>
      <c r="AO34" s="15" t="n"/>
      <c r="AP34" s="10" t="n"/>
      <c r="AQ34" s="15" t="n"/>
      <c r="AR34" s="15" t="n"/>
    </row>
    <row r="35" ht="15" customHeight="1">
      <c r="A35" s="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6" t="n"/>
      <c r="N35" s="6" t="n"/>
      <c r="O35" s="6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9" t="n"/>
      <c r="AJ35" s="8" t="n"/>
      <c r="AK35" s="8" t="n"/>
      <c r="AL35" s="15" t="n"/>
      <c r="AM35" s="15" t="n"/>
      <c r="AN35" s="15" t="n"/>
      <c r="AO35" s="15" t="n"/>
      <c r="AP35" s="10" t="n"/>
      <c r="AQ35" s="15" t="n"/>
      <c r="AR35" s="15" t="n"/>
    </row>
    <row r="36" ht="15" customHeight="1">
      <c r="A36" s="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6" t="n"/>
      <c r="N36" s="6" t="n"/>
      <c r="O36" s="6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9" t="n"/>
      <c r="AJ36" s="8" t="n"/>
      <c r="AK36" s="8" t="n"/>
      <c r="AL36" s="15" t="n"/>
      <c r="AM36" s="15" t="n"/>
      <c r="AN36" s="15" t="n"/>
      <c r="AO36" s="15" t="n"/>
      <c r="AP36" s="10" t="n"/>
      <c r="AQ36" s="15" t="n"/>
      <c r="AR36" s="15" t="n"/>
    </row>
    <row r="37" ht="15" customHeight="1">
      <c r="A37" s="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6" t="n"/>
      <c r="N37" s="6" t="n"/>
      <c r="O37" s="6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9" t="n"/>
      <c r="AJ37" s="8" t="n"/>
      <c r="AK37" s="8" t="n"/>
      <c r="AL37" s="15" t="n"/>
      <c r="AM37" s="15" t="n"/>
      <c r="AN37" s="15" t="n"/>
      <c r="AO37" s="15" t="n"/>
      <c r="AP37" s="10" t="n"/>
      <c r="AQ37" s="15" t="n"/>
      <c r="AR37" s="15" t="n"/>
    </row>
    <row r="38" ht="15" customHeight="1">
      <c r="A38" s="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6" t="n"/>
      <c r="N38" s="6" t="n"/>
      <c r="O38" s="6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9" t="n"/>
      <c r="AJ38" s="8" t="n"/>
      <c r="AK38" s="8" t="n"/>
      <c r="AL38" s="15" t="n"/>
      <c r="AM38" s="15" t="n"/>
      <c r="AN38" s="15" t="n"/>
      <c r="AO38" s="15" t="n"/>
      <c r="AP38" s="10" t="n"/>
      <c r="AQ38" s="15" t="n"/>
      <c r="AR38" s="15" t="n"/>
    </row>
    <row r="39" ht="15" customHeight="1">
      <c r="A39" s="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6" t="n"/>
      <c r="N39" s="6" t="n"/>
      <c r="O39" s="6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9" t="n"/>
      <c r="AJ39" s="8" t="n"/>
      <c r="AK39" s="8" t="n"/>
      <c r="AL39" s="15" t="n"/>
      <c r="AM39" s="15" t="n"/>
      <c r="AN39" s="15" t="n"/>
      <c r="AO39" s="15" t="n"/>
      <c r="AP39" s="10" t="n"/>
      <c r="AQ39" s="15" t="n"/>
      <c r="AR39" s="15" t="n"/>
    </row>
    <row r="40" ht="15" customHeight="1">
      <c r="A40" s="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6" t="n"/>
      <c r="N40" s="6" t="n"/>
      <c r="O40" s="6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9" t="n"/>
      <c r="AJ40" s="8" t="n"/>
      <c r="AK40" s="8" t="n"/>
      <c r="AL40" s="15" t="n"/>
      <c r="AM40" s="15" t="n"/>
      <c r="AN40" s="15" t="n"/>
      <c r="AO40" s="15" t="n"/>
      <c r="AP40" s="10" t="n"/>
      <c r="AQ40" s="15" t="n"/>
      <c r="AR40" s="15" t="n"/>
    </row>
    <row r="41" ht="15" customHeight="1">
      <c r="A41" s="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6" t="n"/>
      <c r="N41" s="6" t="n"/>
      <c r="O41" s="6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9" t="n"/>
      <c r="AJ41" s="8" t="n"/>
      <c r="AK41" s="8" t="n"/>
      <c r="AL41" s="15" t="n"/>
      <c r="AM41" s="15" t="n"/>
      <c r="AN41" s="15" t="n"/>
      <c r="AO41" s="15" t="n"/>
      <c r="AP41" s="10" t="n"/>
      <c r="AQ41" s="15" t="n"/>
      <c r="AR41" s="15" t="n"/>
    </row>
    <row r="42" ht="15" customHeight="1">
      <c r="A42" s="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6" t="n"/>
      <c r="N42" s="6" t="n"/>
      <c r="O42" s="6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9" t="n"/>
      <c r="AJ42" s="8" t="n"/>
      <c r="AK42" s="8" t="n"/>
      <c r="AL42" s="15" t="n"/>
      <c r="AM42" s="15" t="n"/>
      <c r="AN42" s="15" t="n"/>
      <c r="AO42" s="15" t="n"/>
      <c r="AP42" s="10" t="n"/>
      <c r="AQ42" s="15" t="n"/>
      <c r="AR42" s="15" t="n"/>
    </row>
    <row r="43" ht="15" customHeight="1">
      <c r="A43" s="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6" t="n"/>
      <c r="N43" s="6" t="n"/>
      <c r="O43" s="6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9" t="n"/>
      <c r="AJ43" s="8" t="n"/>
      <c r="AK43" s="8" t="n"/>
      <c r="AL43" s="15" t="n"/>
      <c r="AM43" s="15" t="n"/>
      <c r="AN43" s="15" t="n"/>
      <c r="AO43" s="15" t="n"/>
      <c r="AP43" s="10" t="n"/>
      <c r="AQ43" s="15" t="n"/>
      <c r="AR43" s="15" t="n"/>
    </row>
    <row r="44" ht="15" customHeight="1">
      <c r="A44" s="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6" t="n"/>
      <c r="N44" s="6" t="n"/>
      <c r="O44" s="6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9" t="n"/>
      <c r="AJ44" s="8" t="n"/>
      <c r="AK44" s="8" t="n"/>
      <c r="AL44" s="15" t="n"/>
      <c r="AM44" s="15" t="n"/>
      <c r="AN44" s="15" t="n"/>
      <c r="AO44" s="15" t="n"/>
      <c r="AP44" s="10" t="n"/>
      <c r="AQ44" s="15" t="n"/>
      <c r="AR44" s="15" t="n"/>
    </row>
    <row r="45" ht="15" customHeight="1">
      <c r="A45" s="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6" t="n"/>
      <c r="N45" s="6" t="n"/>
      <c r="O45" s="6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9" t="n"/>
      <c r="AJ45" s="8" t="n"/>
      <c r="AK45" s="8" t="n"/>
      <c r="AL45" s="15" t="n"/>
      <c r="AM45" s="15" t="n"/>
      <c r="AN45" s="15" t="n"/>
      <c r="AO45" s="15" t="n"/>
      <c r="AP45" s="10" t="n"/>
      <c r="AQ45" s="15" t="n"/>
      <c r="AR45" s="15" t="n"/>
    </row>
    <row r="46" ht="15" customHeight="1">
      <c r="A46" s="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6" t="n"/>
      <c r="N46" s="6" t="n"/>
      <c r="O46" s="6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9" t="n"/>
      <c r="AJ46" s="8" t="n"/>
      <c r="AK46" s="8" t="n"/>
      <c r="AL46" s="15" t="n"/>
      <c r="AM46" s="15" t="n"/>
      <c r="AN46" s="15" t="n"/>
      <c r="AO46" s="15" t="n"/>
      <c r="AP46" s="10" t="n"/>
      <c r="AQ46" s="15" t="n"/>
      <c r="AR46" s="15" t="n"/>
    </row>
    <row r="47" ht="15" customHeight="1">
      <c r="A47" s="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6" t="n"/>
      <c r="N47" s="6" t="n"/>
      <c r="O47" s="6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9" t="n"/>
      <c r="AJ47" s="8" t="n"/>
      <c r="AK47" s="8" t="n"/>
      <c r="AL47" s="15" t="n"/>
      <c r="AM47" s="15" t="n"/>
      <c r="AN47" s="15" t="n"/>
      <c r="AO47" s="15" t="n"/>
      <c r="AP47" s="10" t="n"/>
      <c r="AQ47" s="15" t="n"/>
      <c r="AR47" s="15" t="n"/>
    </row>
    <row r="48" ht="15" customHeight="1">
      <c r="A48" s="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6" t="n"/>
      <c r="N48" s="6" t="n"/>
      <c r="O48" s="6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9" t="n"/>
      <c r="AJ48" s="8" t="n"/>
      <c r="AK48" s="8" t="n"/>
      <c r="AL48" s="15" t="n"/>
      <c r="AM48" s="15" t="n"/>
      <c r="AN48" s="15" t="n"/>
      <c r="AO48" s="15" t="n"/>
      <c r="AP48" s="10" t="n"/>
      <c r="AQ48" s="15" t="n"/>
      <c r="AR48" s="15" t="n"/>
    </row>
    <row r="49" ht="15" customHeight="1">
      <c r="A49" s="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6" t="n"/>
      <c r="N49" s="6" t="n"/>
      <c r="O49" s="6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9" t="n"/>
      <c r="AJ49" s="8" t="n"/>
      <c r="AK49" s="8" t="n"/>
      <c r="AL49" s="15" t="n"/>
      <c r="AM49" s="15" t="n"/>
      <c r="AN49" s="15" t="n"/>
      <c r="AO49" s="15" t="n"/>
      <c r="AP49" s="10" t="n"/>
      <c r="AQ49" s="15" t="n"/>
      <c r="AR49" s="15" t="n"/>
    </row>
    <row r="50" ht="15" customHeight="1">
      <c r="A50" s="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6" t="n"/>
      <c r="N50" s="6" t="n"/>
      <c r="O50" s="6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9" t="n"/>
      <c r="AJ50" s="8" t="n"/>
      <c r="AK50" s="8" t="n"/>
      <c r="AL50" s="15" t="n"/>
      <c r="AM50" s="15" t="n"/>
      <c r="AN50" s="15" t="n"/>
      <c r="AO50" s="15" t="n"/>
      <c r="AP50" s="10" t="n"/>
      <c r="AQ50" s="15" t="n"/>
      <c r="AR50" s="15" t="n"/>
    </row>
    <row r="51" ht="15" customHeight="1">
      <c r="A51" s="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6" t="n"/>
      <c r="N51" s="6" t="n"/>
      <c r="O51" s="6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9" t="n"/>
      <c r="AJ51" s="8" t="n"/>
      <c r="AK51" s="8" t="n"/>
      <c r="AL51" s="15" t="n"/>
      <c r="AM51" s="15" t="n"/>
      <c r="AN51" s="15" t="n"/>
      <c r="AO51" s="15" t="n"/>
      <c r="AP51" s="10" t="n"/>
      <c r="AQ51" s="15" t="n"/>
      <c r="AR51" s="15" t="n"/>
    </row>
    <row r="52" ht="15" customHeight="1">
      <c r="A52" s="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6" t="n"/>
      <c r="N52" s="6" t="n"/>
      <c r="O52" s="6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9" t="n"/>
      <c r="AJ52" s="8" t="n"/>
      <c r="AK52" s="8" t="n"/>
      <c r="AL52" s="15" t="n"/>
      <c r="AM52" s="15" t="n"/>
      <c r="AN52" s="15" t="n"/>
      <c r="AO52" s="15" t="n"/>
      <c r="AP52" s="10" t="n"/>
      <c r="AQ52" s="15" t="n"/>
      <c r="AR52" s="15" t="n"/>
    </row>
    <row r="53" ht="15" customHeight="1">
      <c r="A53" s="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6" t="n"/>
      <c r="N53" s="6" t="n"/>
      <c r="O53" s="6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9" t="n"/>
      <c r="AJ53" s="8" t="n"/>
      <c r="AK53" s="8" t="n"/>
      <c r="AL53" s="15" t="n"/>
      <c r="AM53" s="15" t="n"/>
      <c r="AN53" s="15" t="n"/>
      <c r="AO53" s="15" t="n"/>
      <c r="AP53" s="10" t="n"/>
      <c r="AQ53" s="15" t="n"/>
      <c r="AR53" s="15" t="n"/>
    </row>
    <row r="54" ht="15" customHeight="1">
      <c r="A54" s="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6" t="n"/>
      <c r="N54" s="6" t="n"/>
      <c r="O54" s="6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9" t="n"/>
      <c r="AJ54" s="8" t="n"/>
      <c r="AK54" s="8" t="n"/>
      <c r="AL54" s="15" t="n"/>
      <c r="AM54" s="15" t="n"/>
      <c r="AN54" s="15" t="n"/>
      <c r="AO54" s="15" t="n"/>
      <c r="AP54" s="10" t="n"/>
      <c r="AQ54" s="15" t="n"/>
      <c r="AR54" s="15" t="n"/>
    </row>
    <row r="55" ht="15" customHeight="1">
      <c r="A55" s="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6" t="n"/>
      <c r="N55" s="6" t="n"/>
      <c r="O55" s="6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9" t="n"/>
      <c r="AJ55" s="8" t="n"/>
      <c r="AK55" s="8" t="n"/>
      <c r="AL55" s="15" t="n"/>
      <c r="AM55" s="15" t="n"/>
      <c r="AN55" s="15" t="n"/>
      <c r="AO55" s="15" t="n"/>
      <c r="AP55" s="10" t="n"/>
      <c r="AQ55" s="15" t="n"/>
      <c r="AR55" s="15" t="n"/>
    </row>
    <row r="56" ht="15" customHeight="1">
      <c r="A56" s="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6" t="n"/>
      <c r="N56" s="6" t="n"/>
      <c r="O56" s="6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9" t="n"/>
      <c r="AJ56" s="8" t="n"/>
      <c r="AK56" s="8" t="n"/>
      <c r="AL56" s="15" t="n"/>
      <c r="AM56" s="15" t="n"/>
      <c r="AN56" s="15" t="n"/>
      <c r="AO56" s="15" t="n"/>
      <c r="AP56" s="10" t="n"/>
      <c r="AQ56" s="15" t="n"/>
      <c r="AR56" s="15" t="n"/>
    </row>
    <row r="57" ht="15" customHeight="1">
      <c r="A57" s="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6" t="n"/>
      <c r="N57" s="6" t="n"/>
      <c r="O57" s="6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9" t="n"/>
      <c r="AJ57" s="8" t="n"/>
      <c r="AK57" s="8" t="n"/>
      <c r="AL57" s="15" t="n"/>
      <c r="AM57" s="15" t="n"/>
      <c r="AN57" s="15" t="n"/>
      <c r="AO57" s="15" t="n"/>
      <c r="AP57" s="10" t="n"/>
      <c r="AQ57" s="15" t="n"/>
      <c r="AR57" s="15" t="n"/>
    </row>
    <row r="58" ht="15" customHeight="1">
      <c r="A58" s="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6" t="n"/>
      <c r="N58" s="6" t="n"/>
      <c r="O58" s="6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9" t="n"/>
      <c r="AJ58" s="8" t="n"/>
      <c r="AK58" s="8" t="n"/>
      <c r="AL58" s="15" t="n"/>
      <c r="AM58" s="15" t="n"/>
      <c r="AN58" s="15" t="n"/>
      <c r="AO58" s="15" t="n"/>
      <c r="AP58" s="10" t="n"/>
      <c r="AQ58" s="15" t="n"/>
      <c r="AR58" s="15" t="n"/>
    </row>
    <row r="59" ht="15" customHeight="1">
      <c r="A59" s="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6" t="n"/>
      <c r="N59" s="6" t="n"/>
      <c r="O59" s="6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9" t="n"/>
      <c r="AJ59" s="8" t="n"/>
      <c r="AK59" s="8" t="n"/>
      <c r="AL59" s="15" t="n"/>
      <c r="AM59" s="15" t="n"/>
      <c r="AN59" s="15" t="n"/>
      <c r="AO59" s="15" t="n"/>
      <c r="AP59" s="10" t="n"/>
      <c r="AQ59" s="15" t="n"/>
      <c r="AR59" s="15" t="n"/>
    </row>
    <row r="60" ht="15" customHeight="1">
      <c r="A60" s="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6" t="n"/>
      <c r="N60" s="6" t="n"/>
      <c r="O60" s="6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9" t="n"/>
      <c r="AJ60" s="8" t="n"/>
      <c r="AK60" s="8" t="n"/>
      <c r="AL60" s="15" t="n"/>
      <c r="AM60" s="15" t="n"/>
      <c r="AN60" s="15" t="n"/>
      <c r="AO60" s="15" t="n"/>
      <c r="AP60" s="10" t="n"/>
      <c r="AQ60" s="15" t="n"/>
      <c r="AR60" s="15" t="n"/>
    </row>
    <row r="61" ht="15" customHeight="1">
      <c r="A61" s="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6" t="n"/>
      <c r="N61" s="6" t="n"/>
      <c r="O61" s="6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9" t="n"/>
      <c r="AJ61" s="8" t="n"/>
      <c r="AK61" s="8" t="n"/>
      <c r="AL61" s="15" t="n"/>
      <c r="AM61" s="15" t="n"/>
      <c r="AN61" s="15" t="n"/>
      <c r="AO61" s="15" t="n"/>
      <c r="AP61" s="10" t="n"/>
      <c r="AQ61" s="15" t="n"/>
      <c r="AR61" s="15" t="n"/>
    </row>
    <row r="62" ht="15" customHeight="1">
      <c r="A62" s="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6" t="n"/>
      <c r="N62" s="6" t="n"/>
      <c r="O62" s="6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9" t="n"/>
      <c r="AJ62" s="8" t="n"/>
      <c r="AK62" s="8" t="n"/>
      <c r="AL62" s="15" t="n"/>
      <c r="AM62" s="15" t="n"/>
      <c r="AN62" s="15" t="n"/>
      <c r="AO62" s="15" t="n"/>
      <c r="AP62" s="10" t="n"/>
      <c r="AQ62" s="15" t="n"/>
      <c r="AR62" s="15" t="n"/>
    </row>
    <row r="63" ht="15" customHeight="1">
      <c r="A63" s="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6" t="n"/>
      <c r="N63" s="6" t="n"/>
      <c r="O63" s="6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9" t="n"/>
      <c r="AJ63" s="8" t="n"/>
      <c r="AK63" s="8" t="n"/>
      <c r="AL63" s="15" t="n"/>
      <c r="AM63" s="15" t="n"/>
      <c r="AN63" s="15" t="n"/>
      <c r="AO63" s="15" t="n"/>
      <c r="AP63" s="10" t="n"/>
      <c r="AQ63" s="15" t="n"/>
      <c r="AR63" s="15" t="n"/>
    </row>
    <row r="64" ht="15" customHeight="1">
      <c r="A64" s="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6" t="n"/>
      <c r="N64" s="6" t="n"/>
      <c r="O64" s="6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9" t="n"/>
      <c r="AJ64" s="8" t="n"/>
      <c r="AK64" s="8" t="n"/>
      <c r="AL64" s="15" t="n"/>
      <c r="AM64" s="15" t="n"/>
      <c r="AN64" s="15" t="n"/>
      <c r="AO64" s="15" t="n"/>
      <c r="AP64" s="10" t="n"/>
      <c r="AQ64" s="15" t="n"/>
      <c r="AR64" s="15" t="n"/>
    </row>
    <row r="65" ht="15" customHeight="1">
      <c r="A65" s="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6" t="n"/>
      <c r="N65" s="6" t="n"/>
      <c r="O65" s="6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9" t="n"/>
      <c r="AJ65" s="8" t="n"/>
      <c r="AK65" s="8" t="n"/>
      <c r="AL65" s="15" t="n"/>
      <c r="AM65" s="15" t="n"/>
      <c r="AN65" s="15" t="n"/>
      <c r="AO65" s="15" t="n"/>
      <c r="AP65" s="10" t="n"/>
      <c r="AQ65" s="15" t="n"/>
      <c r="AR65" s="15" t="n"/>
    </row>
    <row r="66" ht="15" customHeight="1">
      <c r="A66" s="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6" t="n"/>
      <c r="N66" s="6" t="n"/>
      <c r="O66" s="6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9" t="n"/>
      <c r="AJ66" s="8" t="n"/>
      <c r="AK66" s="8" t="n"/>
      <c r="AL66" s="15" t="n"/>
      <c r="AM66" s="15" t="n"/>
      <c r="AN66" s="15" t="n"/>
      <c r="AO66" s="15" t="n"/>
      <c r="AP66" s="10" t="n"/>
      <c r="AQ66" s="15" t="n"/>
      <c r="AR66" s="15" t="n"/>
    </row>
    <row r="67" ht="15" customHeight="1">
      <c r="A67" s="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6" t="n"/>
      <c r="N67" s="6" t="n"/>
      <c r="O67" s="6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9" t="n"/>
      <c r="AJ67" s="8" t="n"/>
      <c r="AK67" s="8" t="n"/>
      <c r="AL67" s="15" t="n"/>
      <c r="AM67" s="15" t="n"/>
      <c r="AN67" s="15" t="n"/>
      <c r="AO67" s="15" t="n"/>
      <c r="AP67" s="10" t="n"/>
      <c r="AQ67" s="15" t="n"/>
      <c r="AR67" s="15" t="n"/>
    </row>
    <row r="68" ht="15" customHeight="1">
      <c r="A68" s="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6" t="n"/>
      <c r="N68" s="6" t="n"/>
      <c r="O68" s="6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9" t="n"/>
      <c r="AJ68" s="8" t="n"/>
      <c r="AK68" s="8" t="n"/>
      <c r="AL68" s="15" t="n"/>
      <c r="AM68" s="15" t="n"/>
      <c r="AN68" s="15" t="n"/>
      <c r="AO68" s="15" t="n"/>
      <c r="AP68" s="10" t="n"/>
      <c r="AQ68" s="15" t="n"/>
      <c r="AR68" s="15" t="n"/>
    </row>
    <row r="69" ht="15" customHeight="1">
      <c r="A69" s="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6" t="n"/>
      <c r="N69" s="6" t="n"/>
      <c r="O69" s="6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9" t="n"/>
      <c r="AJ69" s="8" t="n"/>
      <c r="AK69" s="8" t="n"/>
      <c r="AL69" s="15" t="n"/>
      <c r="AM69" s="15" t="n"/>
      <c r="AN69" s="15" t="n"/>
      <c r="AO69" s="15" t="n"/>
      <c r="AP69" s="10" t="n"/>
      <c r="AQ69" s="15" t="n"/>
      <c r="AR69" s="15" t="n"/>
    </row>
    <row r="70" ht="15" customHeight="1">
      <c r="A70" s="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6" t="n"/>
      <c r="N70" s="6" t="n"/>
      <c r="O70" s="6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9" t="n"/>
      <c r="AJ70" s="8" t="n"/>
      <c r="AK70" s="8" t="n"/>
      <c r="AL70" s="15" t="n"/>
      <c r="AM70" s="15" t="n"/>
      <c r="AN70" s="15" t="n"/>
      <c r="AO70" s="15" t="n"/>
      <c r="AP70" s="10" t="n"/>
      <c r="AQ70" s="15" t="n"/>
      <c r="AR70" s="15" t="n"/>
    </row>
    <row r="71" ht="15" customHeight="1">
      <c r="A71" s="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6" t="n"/>
      <c r="N71" s="6" t="n"/>
      <c r="O71" s="6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9" t="n"/>
      <c r="AJ71" s="8" t="n"/>
      <c r="AK71" s="8" t="n"/>
      <c r="AL71" s="15" t="n"/>
      <c r="AM71" s="15" t="n"/>
      <c r="AN71" s="15" t="n"/>
      <c r="AO71" s="15" t="n"/>
      <c r="AP71" s="10" t="n"/>
      <c r="AQ71" s="15" t="n"/>
      <c r="AR71" s="15" t="n"/>
    </row>
    <row r="72" ht="15" customHeight="1">
      <c r="A72" s="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6" t="n"/>
      <c r="N72" s="6" t="n"/>
      <c r="O72" s="6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9" t="n"/>
      <c r="AJ72" s="8" t="n"/>
      <c r="AK72" s="8" t="n"/>
      <c r="AL72" s="15" t="n"/>
      <c r="AM72" s="15" t="n"/>
      <c r="AN72" s="15" t="n"/>
      <c r="AO72" s="15" t="n"/>
      <c r="AP72" s="10" t="n"/>
      <c r="AQ72" s="15" t="n"/>
      <c r="AR72" s="15" t="n"/>
    </row>
    <row r="73" ht="15" customHeight="1">
      <c r="A73" s="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6" t="n"/>
      <c r="N73" s="6" t="n"/>
      <c r="O73" s="6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9" t="n"/>
      <c r="AJ73" s="8" t="n"/>
      <c r="AK73" s="8" t="n"/>
      <c r="AL73" s="15" t="n"/>
      <c r="AM73" s="15" t="n"/>
      <c r="AN73" s="15" t="n"/>
      <c r="AO73" s="15" t="n"/>
      <c r="AP73" s="10" t="n"/>
      <c r="AQ73" s="15" t="n"/>
      <c r="AR73" s="15" t="n"/>
    </row>
    <row r="74" ht="15" customHeight="1">
      <c r="A74" s="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6" t="n"/>
      <c r="N74" s="6" t="n"/>
      <c r="O74" s="6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9" t="n"/>
      <c r="AJ74" s="8" t="n"/>
      <c r="AK74" s="8" t="n"/>
      <c r="AL74" s="15" t="n"/>
      <c r="AM74" s="15" t="n"/>
      <c r="AN74" s="15" t="n"/>
      <c r="AO74" s="15" t="n"/>
      <c r="AP74" s="10" t="n"/>
      <c r="AQ74" s="15" t="n"/>
      <c r="AR74" s="15" t="n"/>
    </row>
    <row r="75" ht="15" customHeight="1">
      <c r="A75" s="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6" t="n"/>
      <c r="N75" s="6" t="n"/>
      <c r="O75" s="6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9" t="n"/>
      <c r="AJ75" s="8" t="n"/>
      <c r="AK75" s="8" t="n"/>
      <c r="AL75" s="15" t="n"/>
      <c r="AM75" s="15" t="n"/>
      <c r="AN75" s="15" t="n"/>
      <c r="AO75" s="15" t="n"/>
      <c r="AP75" s="10" t="n"/>
      <c r="AQ75" s="15" t="n"/>
      <c r="AR75" s="15" t="n"/>
    </row>
    <row r="76" ht="15" customHeight="1">
      <c r="A76" s="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6" t="n"/>
      <c r="N76" s="6" t="n"/>
      <c r="O76" s="6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9" t="n"/>
      <c r="AJ76" s="8" t="n"/>
      <c r="AK76" s="8" t="n"/>
      <c r="AL76" s="15" t="n"/>
      <c r="AM76" s="15" t="n"/>
      <c r="AN76" s="15" t="n"/>
      <c r="AO76" s="15" t="n"/>
      <c r="AP76" s="10" t="n"/>
      <c r="AQ76" s="15" t="n"/>
      <c r="AR76" s="15" t="n"/>
    </row>
    <row r="77" ht="15" customHeight="1">
      <c r="A77" s="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6" t="n"/>
      <c r="N77" s="6" t="n"/>
      <c r="O77" s="6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9" t="n"/>
      <c r="AJ77" s="8" t="n"/>
      <c r="AK77" s="8" t="n"/>
      <c r="AL77" s="15" t="n"/>
      <c r="AM77" s="15" t="n"/>
      <c r="AN77" s="15" t="n"/>
      <c r="AO77" s="15" t="n"/>
      <c r="AP77" s="10" t="n"/>
      <c r="AQ77" s="15" t="n"/>
      <c r="AR77" s="15" t="n"/>
    </row>
    <row r="78" ht="15" customHeight="1">
      <c r="A78" s="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6" t="n"/>
      <c r="N78" s="6" t="n"/>
      <c r="O78" s="6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9" t="n"/>
      <c r="AJ78" s="8" t="n"/>
      <c r="AK78" s="8" t="n"/>
      <c r="AL78" s="15" t="n"/>
      <c r="AM78" s="15" t="n"/>
      <c r="AN78" s="15" t="n"/>
      <c r="AO78" s="15" t="n"/>
      <c r="AP78" s="10" t="n"/>
      <c r="AQ78" s="15" t="n"/>
      <c r="AR78" s="15" t="n"/>
    </row>
    <row r="79" ht="15" customHeight="1">
      <c r="A79" s="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6" t="n"/>
      <c r="N79" s="6" t="n"/>
      <c r="O79" s="6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9" t="n"/>
      <c r="AJ79" s="8" t="n"/>
      <c r="AK79" s="8" t="n"/>
      <c r="AL79" s="15" t="n"/>
      <c r="AM79" s="15" t="n"/>
      <c r="AN79" s="15" t="n"/>
      <c r="AO79" s="15" t="n"/>
      <c r="AP79" s="10" t="n"/>
      <c r="AQ79" s="15" t="n"/>
      <c r="AR79" s="15" t="n"/>
    </row>
    <row r="80" ht="15" customHeight="1">
      <c r="A80" s="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6" t="n"/>
      <c r="N80" s="6" t="n"/>
      <c r="O80" s="6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9" t="n"/>
      <c r="AJ80" s="8" t="n"/>
      <c r="AK80" s="8" t="n"/>
      <c r="AL80" s="15" t="n"/>
      <c r="AM80" s="15" t="n"/>
      <c r="AN80" s="15" t="n"/>
      <c r="AO80" s="15" t="n"/>
      <c r="AP80" s="10" t="n"/>
      <c r="AQ80" s="15" t="n"/>
      <c r="AR80" s="15" t="n"/>
    </row>
    <row r="81" ht="15" customHeight="1">
      <c r="A81" s="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6" t="n"/>
      <c r="N81" s="6" t="n"/>
      <c r="O81" s="6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9" t="n"/>
      <c r="AJ81" s="8" t="n"/>
      <c r="AK81" s="8" t="n"/>
      <c r="AL81" s="15" t="n"/>
      <c r="AM81" s="15" t="n"/>
      <c r="AN81" s="15" t="n"/>
      <c r="AO81" s="15" t="n"/>
      <c r="AP81" s="10" t="n"/>
      <c r="AQ81" s="15" t="n"/>
      <c r="AR81" s="15" t="n"/>
    </row>
    <row r="82" ht="15" customHeight="1">
      <c r="A82" s="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6" t="n"/>
      <c r="N82" s="6" t="n"/>
      <c r="O82" s="6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9" t="n"/>
      <c r="AJ82" s="8" t="n"/>
      <c r="AK82" s="8" t="n"/>
      <c r="AL82" s="15" t="n"/>
      <c r="AM82" s="15" t="n"/>
      <c r="AN82" s="15" t="n"/>
      <c r="AO82" s="15" t="n"/>
      <c r="AP82" s="10" t="n"/>
      <c r="AQ82" s="15" t="n"/>
      <c r="AR82" s="15" t="n"/>
    </row>
    <row r="83" ht="15" customHeight="1">
      <c r="A83" s="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6" t="n"/>
      <c r="N83" s="6" t="n"/>
      <c r="O83" s="6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9" t="n"/>
      <c r="AJ83" s="8" t="n"/>
      <c r="AK83" s="8" t="n"/>
      <c r="AL83" s="15" t="n"/>
      <c r="AM83" s="15" t="n"/>
      <c r="AN83" s="15" t="n"/>
      <c r="AO83" s="15" t="n"/>
      <c r="AP83" s="10" t="n"/>
      <c r="AQ83" s="15" t="n"/>
      <c r="AR83" s="15" t="n"/>
    </row>
    <row r="84" ht="15" customHeight="1">
      <c r="A84" s="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6" t="n"/>
      <c r="N84" s="6" t="n"/>
      <c r="O84" s="6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9" t="n"/>
      <c r="AJ84" s="8" t="n"/>
      <c r="AK84" s="8" t="n"/>
      <c r="AL84" s="15" t="n"/>
      <c r="AM84" s="15" t="n"/>
      <c r="AN84" s="15" t="n"/>
      <c r="AO84" s="15" t="n"/>
      <c r="AP84" s="10" t="n"/>
      <c r="AQ84" s="15" t="n"/>
      <c r="AR84" s="15" t="n"/>
    </row>
    <row r="85" ht="15" customHeight="1">
      <c r="A85" s="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6" t="n"/>
      <c r="N85" s="6" t="n"/>
      <c r="O85" s="6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9" t="n"/>
      <c r="AJ85" s="8" t="n"/>
      <c r="AK85" s="8" t="n"/>
      <c r="AL85" s="15" t="n"/>
      <c r="AM85" s="15" t="n"/>
      <c r="AN85" s="15" t="n"/>
      <c r="AO85" s="15" t="n"/>
      <c r="AP85" s="10" t="n"/>
      <c r="AQ85" s="15" t="n"/>
      <c r="AR85" s="15" t="n"/>
    </row>
    <row r="86" ht="15" customHeight="1">
      <c r="A86" s="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6" t="n"/>
      <c r="N86" s="6" t="n"/>
      <c r="O86" s="6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9" t="n"/>
      <c r="AJ86" s="8" t="n"/>
      <c r="AK86" s="8" t="n"/>
      <c r="AL86" s="15" t="n"/>
      <c r="AM86" s="15" t="n"/>
      <c r="AN86" s="15" t="n"/>
      <c r="AO86" s="15" t="n"/>
      <c r="AP86" s="10" t="n"/>
      <c r="AQ86" s="15" t="n"/>
      <c r="AR86" s="15" t="n"/>
    </row>
    <row r="87" ht="15" customHeight="1">
      <c r="A87" s="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6" t="n"/>
      <c r="N87" s="6" t="n"/>
      <c r="O87" s="6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9" t="n"/>
      <c r="AJ87" s="8" t="n"/>
      <c r="AK87" s="8" t="n"/>
      <c r="AL87" s="15" t="n"/>
      <c r="AM87" s="15" t="n"/>
      <c r="AN87" s="15" t="n"/>
      <c r="AO87" s="15" t="n"/>
      <c r="AP87" s="10" t="n"/>
      <c r="AQ87" s="15" t="n"/>
      <c r="AR87" s="15" t="n"/>
    </row>
    <row r="88" ht="15" customHeight="1">
      <c r="A88" s="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6" t="n"/>
      <c r="N88" s="6" t="n"/>
      <c r="O88" s="6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9" t="n"/>
      <c r="AJ88" s="8" t="n"/>
      <c r="AK88" s="8" t="n"/>
      <c r="AL88" s="15" t="n"/>
      <c r="AM88" s="15" t="n"/>
      <c r="AN88" s="15" t="n"/>
      <c r="AO88" s="15" t="n"/>
      <c r="AP88" s="10" t="n"/>
      <c r="AQ88" s="15" t="n"/>
      <c r="AR88" s="15" t="n"/>
    </row>
    <row r="89" ht="15" customHeight="1">
      <c r="A89" s="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6" t="n"/>
      <c r="N89" s="6" t="n"/>
      <c r="O89" s="6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9" t="n"/>
      <c r="AJ89" s="8" t="n"/>
      <c r="AK89" s="8" t="n"/>
      <c r="AL89" s="15" t="n"/>
      <c r="AM89" s="15" t="n"/>
      <c r="AN89" s="15" t="n"/>
      <c r="AO89" s="15" t="n"/>
      <c r="AP89" s="10" t="n"/>
      <c r="AQ89" s="15" t="n"/>
      <c r="AR89" s="15" t="n"/>
    </row>
    <row r="90" ht="15" customHeight="1">
      <c r="A90" s="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6" t="n"/>
      <c r="N90" s="6" t="n"/>
      <c r="O90" s="6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9" t="n"/>
      <c r="AJ90" s="8" t="n"/>
      <c r="AK90" s="8" t="n"/>
      <c r="AL90" s="15" t="n"/>
      <c r="AM90" s="15" t="n"/>
      <c r="AN90" s="15" t="n"/>
      <c r="AO90" s="15" t="n"/>
      <c r="AP90" s="10" t="n"/>
      <c r="AQ90" s="15" t="n"/>
      <c r="AR90" s="15" t="n"/>
    </row>
    <row r="91" ht="15" customHeight="1">
      <c r="A91" s="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6" t="n"/>
      <c r="N91" s="6" t="n"/>
      <c r="O91" s="6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9" t="n"/>
      <c r="AJ91" s="8" t="n"/>
      <c r="AK91" s="8" t="n"/>
      <c r="AL91" s="15" t="n"/>
      <c r="AM91" s="15" t="n"/>
      <c r="AN91" s="15" t="n"/>
      <c r="AO91" s="15" t="n"/>
      <c r="AP91" s="10" t="n"/>
      <c r="AQ91" s="15" t="n"/>
      <c r="AR91" s="15" t="n"/>
    </row>
    <row r="92" ht="15" customHeight="1">
      <c r="A92" s="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6" t="n"/>
      <c r="N92" s="6" t="n"/>
      <c r="O92" s="6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9" t="n"/>
      <c r="AJ92" s="8" t="n"/>
      <c r="AK92" s="8" t="n"/>
      <c r="AL92" s="15" t="n"/>
      <c r="AM92" s="15" t="n"/>
      <c r="AN92" s="15" t="n"/>
      <c r="AO92" s="15" t="n"/>
      <c r="AP92" s="10" t="n"/>
      <c r="AQ92" s="15" t="n"/>
      <c r="AR92" s="15" t="n"/>
    </row>
    <row r="93" ht="15" customHeight="1">
      <c r="A93" s="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6" t="n"/>
      <c r="N93" s="6" t="n"/>
      <c r="O93" s="6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9" t="n"/>
      <c r="AJ93" s="8" t="n"/>
      <c r="AK93" s="8" t="n"/>
      <c r="AL93" s="15" t="n"/>
      <c r="AM93" s="15" t="n"/>
      <c r="AN93" s="15" t="n"/>
      <c r="AO93" s="15" t="n"/>
      <c r="AP93" s="10" t="n"/>
      <c r="AQ93" s="15" t="n"/>
      <c r="AR93" s="15" t="n"/>
    </row>
    <row r="94" ht="15" customHeight="1">
      <c r="A94" s="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6" t="n"/>
      <c r="N94" s="6" t="n"/>
      <c r="O94" s="6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9" t="n"/>
      <c r="AJ94" s="8" t="n"/>
      <c r="AK94" s="8" t="n"/>
      <c r="AL94" s="15" t="n"/>
      <c r="AM94" s="15" t="n"/>
      <c r="AN94" s="15" t="n"/>
      <c r="AO94" s="15" t="n"/>
      <c r="AP94" s="10" t="n"/>
      <c r="AQ94" s="15" t="n"/>
      <c r="AR94" s="15" t="n"/>
    </row>
    <row r="95" ht="15" customHeight="1">
      <c r="A95" s="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6" t="n"/>
      <c r="N95" s="6" t="n"/>
      <c r="O95" s="6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9" t="n"/>
      <c r="AJ95" s="8" t="n"/>
      <c r="AK95" s="8" t="n"/>
      <c r="AL95" s="15" t="n"/>
      <c r="AM95" s="15" t="n"/>
      <c r="AN95" s="15" t="n"/>
      <c r="AO95" s="15" t="n"/>
      <c r="AP95" s="10" t="n"/>
      <c r="AQ95" s="15" t="n"/>
      <c r="AR95" s="15" t="n"/>
    </row>
    <row r="96" ht="15" customHeight="1">
      <c r="A96" s="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6" t="n"/>
      <c r="N96" s="6" t="n"/>
      <c r="O96" s="6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9" t="n"/>
      <c r="AJ96" s="8" t="n"/>
      <c r="AK96" s="8" t="n"/>
      <c r="AL96" s="15" t="n"/>
      <c r="AM96" s="15" t="n"/>
      <c r="AN96" s="15" t="n"/>
      <c r="AO96" s="15" t="n"/>
      <c r="AP96" s="10" t="n"/>
      <c r="AQ96" s="15" t="n"/>
      <c r="AR96" s="15" t="n"/>
    </row>
    <row r="97" ht="15" customHeight="1">
      <c r="A97" s="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6" t="n"/>
      <c r="N97" s="6" t="n"/>
      <c r="O97" s="6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9" t="n"/>
      <c r="AJ97" s="8" t="n"/>
      <c r="AK97" s="8" t="n"/>
      <c r="AL97" s="15" t="n"/>
      <c r="AM97" s="15" t="n"/>
      <c r="AN97" s="15" t="n"/>
      <c r="AO97" s="15" t="n"/>
      <c r="AP97" s="10" t="n"/>
      <c r="AQ97" s="15" t="n"/>
      <c r="AR97" s="15" t="n"/>
    </row>
    <row r="98" ht="15" customHeight="1">
      <c r="A98" s="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6" t="n"/>
      <c r="N98" s="6" t="n"/>
      <c r="O98" s="6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9" t="n"/>
      <c r="AJ98" s="8" t="n"/>
      <c r="AK98" s="8" t="n"/>
      <c r="AL98" s="15" t="n"/>
      <c r="AM98" s="15" t="n"/>
      <c r="AN98" s="15" t="n"/>
      <c r="AO98" s="15" t="n"/>
      <c r="AP98" s="10" t="n"/>
      <c r="AQ98" s="15" t="n"/>
      <c r="AR98" s="15" t="n"/>
    </row>
    <row r="99" ht="15" customHeight="1">
      <c r="A99" s="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6" t="n"/>
      <c r="N99" s="6" t="n"/>
      <c r="O99" s="6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9" t="n"/>
      <c r="AJ99" s="8" t="n"/>
      <c r="AK99" s="8" t="n"/>
      <c r="AL99" s="15" t="n"/>
      <c r="AM99" s="15" t="n"/>
      <c r="AN99" s="15" t="n"/>
      <c r="AO99" s="15" t="n"/>
      <c r="AP99" s="10" t="n"/>
      <c r="AQ99" s="15" t="n"/>
      <c r="AR99" s="15" t="n"/>
    </row>
    <row r="100" ht="15" customHeight="1">
      <c r="A100" s="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6" t="n"/>
      <c r="N100" s="6" t="n"/>
      <c r="O100" s="6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9" t="n"/>
      <c r="AJ100" s="8" t="n"/>
      <c r="AK100" s="8" t="n"/>
      <c r="AL100" s="15" t="n"/>
      <c r="AM100" s="15" t="n"/>
      <c r="AN100" s="15" t="n"/>
      <c r="AO100" s="15" t="n"/>
      <c r="AP100" s="10" t="n"/>
      <c r="AQ100" s="15" t="n"/>
      <c r="AR100" s="15" t="n"/>
    </row>
    <row r="101" ht="15" customHeight="1">
      <c r="A101" s="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6" t="n"/>
      <c r="N101" s="6" t="n"/>
      <c r="O101" s="6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9" t="n"/>
      <c r="AJ101" s="8" t="n"/>
      <c r="AK101" s="8" t="n"/>
      <c r="AL101" s="15" t="n"/>
      <c r="AM101" s="15" t="n"/>
      <c r="AN101" s="15" t="n"/>
      <c r="AO101" s="15" t="n"/>
      <c r="AP101" s="10" t="n"/>
      <c r="AQ101" s="15" t="n"/>
      <c r="AR101" s="15" t="n"/>
    </row>
    <row r="102" ht="15" customHeight="1">
      <c r="A102" s="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6" t="n"/>
      <c r="N102" s="6" t="n"/>
      <c r="O102" s="6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9" t="n"/>
      <c r="AJ102" s="8" t="n"/>
      <c r="AK102" s="8" t="n"/>
      <c r="AL102" s="15" t="n"/>
      <c r="AM102" s="15" t="n"/>
      <c r="AN102" s="15" t="n"/>
      <c r="AO102" s="15" t="n"/>
      <c r="AP102" s="10" t="n"/>
      <c r="AQ102" s="15" t="n"/>
      <c r="AR102" s="15" t="n"/>
    </row>
    <row r="103" ht="15" customHeight="1">
      <c r="A103" s="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6" t="n"/>
      <c r="N103" s="6" t="n"/>
      <c r="O103" s="6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9" t="n"/>
      <c r="AJ103" s="8" t="n"/>
      <c r="AK103" s="8" t="n"/>
      <c r="AL103" s="15" t="n"/>
      <c r="AM103" s="15" t="n"/>
      <c r="AN103" s="15" t="n"/>
      <c r="AO103" s="15" t="n"/>
      <c r="AP103" s="10" t="n"/>
      <c r="AQ103" s="15" t="n"/>
      <c r="AR103" s="15" t="n"/>
    </row>
    <row r="104" ht="15" customHeight="1">
      <c r="A104" s="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6" t="n"/>
      <c r="N104" s="6" t="n"/>
      <c r="O104" s="6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9" t="n"/>
      <c r="AJ104" s="8" t="n"/>
      <c r="AK104" s="8" t="n"/>
      <c r="AL104" s="15" t="n"/>
      <c r="AM104" s="15" t="n"/>
      <c r="AN104" s="15" t="n"/>
      <c r="AO104" s="15" t="n"/>
      <c r="AP104" s="10" t="n"/>
      <c r="AQ104" s="15" t="n"/>
      <c r="AR104" s="15" t="n"/>
    </row>
    <row r="105" ht="15" customHeight="1">
      <c r="A105" s="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6" t="n"/>
      <c r="N105" s="6" t="n"/>
      <c r="O105" s="6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9" t="n"/>
      <c r="AJ105" s="8" t="n"/>
      <c r="AK105" s="8" t="n"/>
      <c r="AL105" s="15" t="n"/>
      <c r="AM105" s="15" t="n"/>
      <c r="AN105" s="15" t="n"/>
      <c r="AO105" s="15" t="n"/>
      <c r="AP105" s="10" t="n"/>
      <c r="AQ105" s="15" t="n"/>
      <c r="AR105" s="15" t="n"/>
    </row>
    <row r="106" ht="15" customHeight="1">
      <c r="A106" s="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6" t="n"/>
      <c r="N106" s="6" t="n"/>
      <c r="O106" s="6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9" t="n"/>
      <c r="AJ106" s="8" t="n"/>
      <c r="AK106" s="8" t="n"/>
      <c r="AL106" s="15" t="n"/>
      <c r="AM106" s="15" t="n"/>
      <c r="AN106" s="15" t="n"/>
      <c r="AO106" s="15" t="n"/>
      <c r="AP106" s="10" t="n"/>
      <c r="AQ106" s="15" t="n"/>
      <c r="AR106" s="15" t="n"/>
    </row>
    <row r="107" ht="15" customHeight="1">
      <c r="A107" s="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6" t="n"/>
      <c r="N107" s="6" t="n"/>
      <c r="O107" s="6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9" t="n"/>
      <c r="AJ107" s="8" t="n"/>
      <c r="AK107" s="8" t="n"/>
      <c r="AL107" s="15" t="n"/>
      <c r="AM107" s="15" t="n"/>
      <c r="AN107" s="15" t="n"/>
      <c r="AO107" s="15" t="n"/>
      <c r="AP107" s="10" t="n"/>
      <c r="AQ107" s="15" t="n"/>
      <c r="AR107" s="15" t="n"/>
    </row>
    <row r="108" ht="15" customHeight="1">
      <c r="A108" s="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6" t="n"/>
      <c r="N108" s="6" t="n"/>
      <c r="O108" s="6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9" t="n"/>
      <c r="AJ108" s="8" t="n"/>
      <c r="AK108" s="8" t="n"/>
      <c r="AL108" s="15" t="n"/>
      <c r="AM108" s="15" t="n"/>
      <c r="AN108" s="15" t="n"/>
      <c r="AO108" s="15" t="n"/>
      <c r="AP108" s="10" t="n"/>
      <c r="AQ108" s="15" t="n"/>
      <c r="AR108" s="15" t="n"/>
    </row>
    <row r="109" ht="15" customHeight="1">
      <c r="A109" s="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6" t="n"/>
      <c r="N109" s="6" t="n"/>
      <c r="O109" s="6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9" t="n"/>
      <c r="AJ109" s="8" t="n"/>
      <c r="AK109" s="8" t="n"/>
      <c r="AL109" s="15" t="n"/>
      <c r="AM109" s="15" t="n"/>
      <c r="AN109" s="15" t="n"/>
      <c r="AO109" s="15" t="n"/>
      <c r="AP109" s="10" t="n"/>
      <c r="AQ109" s="15" t="n"/>
      <c r="AR109" s="15" t="n"/>
    </row>
    <row r="110" ht="15" customHeight="1">
      <c r="A110" s="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6" t="n"/>
      <c r="N110" s="6" t="n"/>
      <c r="O110" s="6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9" t="n"/>
      <c r="AJ110" s="8" t="n"/>
      <c r="AK110" s="8" t="n"/>
      <c r="AL110" s="15" t="n"/>
      <c r="AM110" s="15" t="n"/>
      <c r="AN110" s="15" t="n"/>
      <c r="AO110" s="15" t="n"/>
      <c r="AP110" s="10" t="n"/>
      <c r="AQ110" s="15" t="n"/>
      <c r="AR110" s="15" t="n"/>
    </row>
    <row r="111" ht="15" customHeight="1">
      <c r="A111" s="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6" t="n"/>
      <c r="N111" s="6" t="n"/>
      <c r="O111" s="6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9" t="n"/>
      <c r="AJ111" s="8" t="n"/>
      <c r="AK111" s="8" t="n"/>
      <c r="AL111" s="15" t="n"/>
      <c r="AM111" s="15" t="n"/>
      <c r="AN111" s="15" t="n"/>
      <c r="AO111" s="15" t="n"/>
      <c r="AP111" s="10" t="n"/>
      <c r="AQ111" s="15" t="n"/>
      <c r="AR111" s="15" t="n"/>
    </row>
    <row r="112" ht="15" customHeight="1">
      <c r="A112" s="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6" t="n"/>
      <c r="N112" s="6" t="n"/>
      <c r="O112" s="6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9" t="n"/>
      <c r="AJ112" s="8" t="n"/>
      <c r="AK112" s="8" t="n"/>
      <c r="AL112" s="15" t="n"/>
      <c r="AM112" s="15" t="n"/>
      <c r="AN112" s="15" t="n"/>
      <c r="AO112" s="15" t="n"/>
      <c r="AP112" s="10" t="n"/>
      <c r="AQ112" s="15" t="n"/>
      <c r="AR112" s="15" t="n"/>
    </row>
    <row r="113" ht="15" customHeight="1">
      <c r="A113" s="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6" t="n"/>
      <c r="N113" s="6" t="n"/>
      <c r="O113" s="6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9" t="n"/>
      <c r="AJ113" s="8" t="n"/>
      <c r="AK113" s="8" t="n"/>
      <c r="AL113" s="15" t="n"/>
      <c r="AM113" s="15" t="n"/>
      <c r="AN113" s="15" t="n"/>
      <c r="AO113" s="15" t="n"/>
      <c r="AP113" s="10" t="n"/>
      <c r="AQ113" s="15" t="n"/>
      <c r="AR113" s="15" t="n"/>
    </row>
    <row r="114" ht="15" customHeight="1">
      <c r="A114" s="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6" t="n"/>
      <c r="N114" s="6" t="n"/>
      <c r="O114" s="6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9" t="n"/>
      <c r="AJ114" s="8" t="n"/>
      <c r="AK114" s="8" t="n"/>
      <c r="AL114" s="15" t="n"/>
      <c r="AM114" s="15" t="n"/>
      <c r="AN114" s="15" t="n"/>
      <c r="AO114" s="15" t="n"/>
      <c r="AP114" s="10" t="n"/>
      <c r="AQ114" s="15" t="n"/>
      <c r="AR114" s="15" t="n"/>
    </row>
    <row r="115" ht="15" customHeight="1">
      <c r="A115" s="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6" t="n"/>
      <c r="N115" s="6" t="n"/>
      <c r="O115" s="6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9" t="n"/>
      <c r="AJ115" s="8" t="n"/>
      <c r="AK115" s="8" t="n"/>
      <c r="AL115" s="15" t="n"/>
      <c r="AM115" s="15" t="n"/>
      <c r="AN115" s="15" t="n"/>
      <c r="AO115" s="15" t="n"/>
      <c r="AP115" s="10" t="n"/>
      <c r="AQ115" s="15" t="n"/>
      <c r="AR115" s="15" t="n"/>
    </row>
    <row r="116" ht="15" customHeight="1">
      <c r="A116" s="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6" t="n"/>
      <c r="N116" s="6" t="n"/>
      <c r="O116" s="6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9" t="n"/>
      <c r="AJ116" s="8" t="n"/>
      <c r="AK116" s="8" t="n"/>
      <c r="AL116" s="15" t="n"/>
      <c r="AM116" s="15" t="n"/>
      <c r="AN116" s="15" t="n"/>
      <c r="AO116" s="15" t="n"/>
      <c r="AP116" s="10" t="n"/>
      <c r="AQ116" s="15" t="n"/>
      <c r="AR116" s="15" t="n"/>
    </row>
    <row r="117" ht="15" customHeight="1">
      <c r="A117" s="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6" t="n"/>
      <c r="N117" s="6" t="n"/>
      <c r="O117" s="6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9" t="n"/>
      <c r="AJ117" s="8" t="n"/>
      <c r="AK117" s="8" t="n"/>
      <c r="AL117" s="15" t="n"/>
      <c r="AM117" s="15" t="n"/>
      <c r="AN117" s="15" t="n"/>
      <c r="AO117" s="15" t="n"/>
      <c r="AP117" s="10" t="n"/>
      <c r="AQ117" s="15" t="n"/>
      <c r="AR117" s="15" t="n"/>
    </row>
    <row r="118" ht="15" customHeight="1">
      <c r="A118" s="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6" t="n"/>
      <c r="N118" s="6" t="n"/>
      <c r="O118" s="6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9" t="n"/>
      <c r="AJ118" s="8" t="n"/>
      <c r="AK118" s="8" t="n"/>
      <c r="AL118" s="15" t="n"/>
      <c r="AM118" s="15" t="n"/>
      <c r="AN118" s="15" t="n"/>
      <c r="AO118" s="15" t="n"/>
      <c r="AP118" s="10" t="n"/>
      <c r="AQ118" s="15" t="n"/>
      <c r="AR118" s="15" t="n"/>
    </row>
    <row r="119" ht="15" customHeight="1">
      <c r="A119" s="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6" t="n"/>
      <c r="N119" s="6" t="n"/>
      <c r="O119" s="6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9" t="n"/>
      <c r="AJ119" s="8" t="n"/>
      <c r="AK119" s="8" t="n"/>
      <c r="AL119" s="15" t="n"/>
      <c r="AM119" s="15" t="n"/>
      <c r="AN119" s="15" t="n"/>
      <c r="AO119" s="15" t="n"/>
      <c r="AP119" s="10" t="n"/>
      <c r="AQ119" s="15" t="n"/>
      <c r="AR119" s="15" t="n"/>
    </row>
    <row r="120" ht="15" customHeight="1">
      <c r="A120" s="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6" t="n"/>
      <c r="N120" s="6" t="n"/>
      <c r="O120" s="6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9" t="n"/>
      <c r="AJ120" s="8" t="n"/>
      <c r="AK120" s="8" t="n"/>
      <c r="AL120" s="15" t="n"/>
      <c r="AM120" s="15" t="n"/>
      <c r="AN120" s="15" t="n"/>
      <c r="AO120" s="15" t="n"/>
      <c r="AP120" s="10" t="n"/>
      <c r="AQ120" s="15" t="n"/>
      <c r="AR120" s="15" t="n"/>
    </row>
    <row r="121" ht="15" customHeight="1">
      <c r="A121" s="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6" t="n"/>
      <c r="N121" s="6" t="n"/>
      <c r="O121" s="6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9" t="n"/>
      <c r="AJ121" s="8" t="n"/>
      <c r="AK121" s="8" t="n"/>
      <c r="AL121" s="15" t="n"/>
      <c r="AM121" s="15" t="n"/>
      <c r="AN121" s="15" t="n"/>
      <c r="AO121" s="15" t="n"/>
      <c r="AP121" s="10" t="n"/>
      <c r="AQ121" s="15" t="n"/>
      <c r="AR121" s="15" t="n"/>
    </row>
    <row r="122" ht="15" customHeight="1">
      <c r="A122" s="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6" t="n"/>
      <c r="N122" s="6" t="n"/>
      <c r="O122" s="6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9" t="n"/>
      <c r="AJ122" s="8" t="n"/>
      <c r="AK122" s="8" t="n"/>
      <c r="AL122" s="15" t="n"/>
      <c r="AM122" s="15" t="n"/>
      <c r="AN122" s="15" t="n"/>
      <c r="AO122" s="15" t="n"/>
      <c r="AP122" s="10" t="n"/>
      <c r="AQ122" s="15" t="n"/>
      <c r="AR122" s="15" t="n"/>
    </row>
    <row r="123" ht="15" customHeight="1">
      <c r="A123" s="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6" t="n"/>
      <c r="N123" s="6" t="n"/>
      <c r="O123" s="6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9" t="n"/>
      <c r="AJ123" s="8" t="n"/>
      <c r="AK123" s="8" t="n"/>
      <c r="AL123" s="15" t="n"/>
      <c r="AM123" s="15" t="n"/>
      <c r="AN123" s="15" t="n"/>
      <c r="AO123" s="15" t="n"/>
      <c r="AP123" s="10" t="n"/>
      <c r="AQ123" s="15" t="n"/>
      <c r="AR123" s="15" t="n"/>
    </row>
    <row r="124" ht="15" customHeight="1">
      <c r="A124" s="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6" t="n"/>
      <c r="N124" s="6" t="n"/>
      <c r="O124" s="6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9" t="n"/>
      <c r="AJ124" s="8" t="n"/>
      <c r="AK124" s="8" t="n"/>
      <c r="AL124" s="15" t="n"/>
      <c r="AM124" s="15" t="n"/>
      <c r="AN124" s="15" t="n"/>
      <c r="AO124" s="15" t="n"/>
      <c r="AP124" s="10" t="n"/>
      <c r="AQ124" s="15" t="n"/>
      <c r="AR124" s="15" t="n"/>
    </row>
    <row r="125" ht="15" customHeight="1">
      <c r="A125" s="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6" t="n"/>
      <c r="N125" s="6" t="n"/>
      <c r="O125" s="6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9" t="n"/>
      <c r="AJ125" s="8" t="n"/>
      <c r="AK125" s="8" t="n"/>
      <c r="AL125" s="15" t="n"/>
      <c r="AM125" s="15" t="n"/>
      <c r="AN125" s="15" t="n"/>
      <c r="AO125" s="15" t="n"/>
      <c r="AP125" s="10" t="n"/>
      <c r="AQ125" s="15" t="n"/>
      <c r="AR125" s="15" t="n"/>
    </row>
    <row r="126" ht="15" customHeight="1">
      <c r="A126" s="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6" t="n"/>
      <c r="N126" s="6" t="n"/>
      <c r="O126" s="6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9" t="n"/>
      <c r="AJ126" s="8" t="n"/>
      <c r="AK126" s="8" t="n"/>
      <c r="AL126" s="15" t="n"/>
      <c r="AM126" s="15" t="n"/>
      <c r="AN126" s="15" t="n"/>
      <c r="AO126" s="15" t="n"/>
      <c r="AP126" s="10" t="n"/>
      <c r="AQ126" s="15" t="n"/>
      <c r="AR126" s="15" t="n"/>
    </row>
    <row r="127" ht="15" customHeight="1">
      <c r="A127" s="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6" t="n"/>
      <c r="N127" s="6" t="n"/>
      <c r="O127" s="6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9" t="n"/>
      <c r="AJ127" s="8" t="n"/>
      <c r="AK127" s="8" t="n"/>
      <c r="AL127" s="15" t="n"/>
      <c r="AM127" s="15" t="n"/>
      <c r="AN127" s="15" t="n"/>
      <c r="AO127" s="15" t="n"/>
      <c r="AP127" s="10" t="n"/>
      <c r="AQ127" s="15" t="n"/>
      <c r="AR127" s="15" t="n"/>
    </row>
    <row r="128" ht="15" customHeight="1">
      <c r="A128" s="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6" t="n"/>
      <c r="N128" s="6" t="n"/>
      <c r="O128" s="6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9" t="n"/>
      <c r="AJ128" s="8" t="n"/>
      <c r="AK128" s="8" t="n"/>
      <c r="AL128" s="15" t="n"/>
      <c r="AM128" s="15" t="n"/>
      <c r="AN128" s="15" t="n"/>
      <c r="AO128" s="15" t="n"/>
      <c r="AP128" s="10" t="n"/>
      <c r="AQ128" s="15" t="n"/>
      <c r="AR128" s="15" t="n"/>
    </row>
    <row r="129" ht="15" customHeight="1">
      <c r="A129" s="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6" t="n"/>
      <c r="N129" s="6" t="n"/>
      <c r="O129" s="6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9" t="n"/>
      <c r="AJ129" s="8" t="n"/>
      <c r="AK129" s="8" t="n"/>
      <c r="AL129" s="15" t="n"/>
      <c r="AM129" s="15" t="n"/>
      <c r="AN129" s="15" t="n"/>
      <c r="AO129" s="15" t="n"/>
      <c r="AP129" s="10" t="n"/>
      <c r="AQ129" s="15" t="n"/>
      <c r="AR129" s="15" t="n"/>
    </row>
    <row r="130" ht="15" customHeight="1">
      <c r="A130" s="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6" t="n"/>
      <c r="N130" s="6" t="n"/>
      <c r="O130" s="6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9" t="n"/>
      <c r="AJ130" s="8" t="n"/>
      <c r="AK130" s="8" t="n"/>
      <c r="AL130" s="15" t="n"/>
      <c r="AM130" s="15" t="n"/>
      <c r="AN130" s="15" t="n"/>
      <c r="AO130" s="15" t="n"/>
      <c r="AP130" s="10" t="n"/>
      <c r="AQ130" s="15" t="n"/>
      <c r="AR130" s="15" t="n"/>
    </row>
    <row r="131" ht="15" customHeight="1">
      <c r="A131" s="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6" t="n"/>
      <c r="N131" s="6" t="n"/>
      <c r="O131" s="6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9" t="n"/>
      <c r="AJ131" s="8" t="n"/>
      <c r="AK131" s="8" t="n"/>
      <c r="AL131" s="15" t="n"/>
      <c r="AM131" s="15" t="n"/>
      <c r="AN131" s="15" t="n"/>
      <c r="AO131" s="15" t="n"/>
      <c r="AP131" s="10" t="n"/>
      <c r="AQ131" s="15" t="n"/>
      <c r="AR131" s="15" t="n"/>
    </row>
    <row r="132" ht="15" customHeight="1">
      <c r="A132" s="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6" t="n"/>
      <c r="N132" s="6" t="n"/>
      <c r="O132" s="6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9" t="n"/>
      <c r="AJ132" s="8" t="n"/>
      <c r="AK132" s="8" t="n"/>
      <c r="AL132" s="15" t="n"/>
      <c r="AM132" s="15" t="n"/>
      <c r="AN132" s="15" t="n"/>
      <c r="AO132" s="15" t="n"/>
      <c r="AP132" s="10" t="n"/>
      <c r="AQ132" s="15" t="n"/>
      <c r="AR132" s="15" t="n"/>
    </row>
    <row r="133" ht="15" customHeight="1">
      <c r="A133" s="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6" t="n"/>
      <c r="N133" s="6" t="n"/>
      <c r="O133" s="6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9" t="n"/>
      <c r="AJ133" s="8" t="n"/>
      <c r="AK133" s="8" t="n"/>
      <c r="AL133" s="15" t="n"/>
      <c r="AM133" s="15" t="n"/>
      <c r="AN133" s="15" t="n"/>
      <c r="AO133" s="15" t="n"/>
      <c r="AP133" s="10" t="n"/>
      <c r="AQ133" s="15" t="n"/>
      <c r="AR133" s="15" t="n"/>
    </row>
    <row r="134" ht="15" customHeight="1">
      <c r="A134" s="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6" t="n"/>
      <c r="N134" s="6" t="n"/>
      <c r="O134" s="6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9" t="n"/>
      <c r="AJ134" s="8" t="n"/>
      <c r="AK134" s="8" t="n"/>
      <c r="AL134" s="15" t="n"/>
      <c r="AM134" s="15" t="n"/>
      <c r="AN134" s="15" t="n"/>
      <c r="AO134" s="15" t="n"/>
      <c r="AP134" s="10" t="n"/>
      <c r="AQ134" s="15" t="n"/>
      <c r="AR134" s="15" t="n"/>
    </row>
    <row r="135" ht="15" customHeight="1">
      <c r="A135" s="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6" t="n"/>
      <c r="N135" s="6" t="n"/>
      <c r="O135" s="6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9" t="n"/>
      <c r="AJ135" s="8" t="n"/>
      <c r="AK135" s="8" t="n"/>
      <c r="AL135" s="15" t="n"/>
      <c r="AM135" s="15" t="n"/>
      <c r="AN135" s="15" t="n"/>
      <c r="AO135" s="15" t="n"/>
      <c r="AP135" s="10" t="n"/>
      <c r="AQ135" s="15" t="n"/>
      <c r="AR135" s="15" t="n"/>
    </row>
    <row r="136" ht="15" customHeight="1">
      <c r="A136" s="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6" t="n"/>
      <c r="N136" s="6" t="n"/>
      <c r="O136" s="6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9" t="n"/>
      <c r="AJ136" s="8" t="n"/>
      <c r="AK136" s="8" t="n"/>
      <c r="AL136" s="15" t="n"/>
      <c r="AM136" s="15" t="n"/>
      <c r="AN136" s="15" t="n"/>
      <c r="AO136" s="15" t="n"/>
      <c r="AP136" s="10" t="n"/>
      <c r="AQ136" s="15" t="n"/>
      <c r="AR136" s="15" t="n"/>
    </row>
    <row r="137" ht="15" customHeight="1">
      <c r="A137" s="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6" t="n"/>
      <c r="N137" s="6" t="n"/>
      <c r="O137" s="6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9" t="n"/>
      <c r="AJ137" s="8" t="n"/>
      <c r="AK137" s="8" t="n"/>
      <c r="AL137" s="15" t="n"/>
      <c r="AM137" s="15" t="n"/>
      <c r="AN137" s="15" t="n"/>
      <c r="AO137" s="15" t="n"/>
      <c r="AP137" s="10" t="n"/>
      <c r="AQ137" s="15" t="n"/>
      <c r="AR137" s="15" t="n"/>
    </row>
    <row r="138" ht="15" customHeight="1">
      <c r="A138" s="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6" t="n"/>
      <c r="N138" s="6" t="n"/>
      <c r="O138" s="6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9" t="n"/>
      <c r="AJ138" s="8" t="n"/>
      <c r="AK138" s="8" t="n"/>
      <c r="AL138" s="15" t="n"/>
      <c r="AM138" s="15" t="n"/>
      <c r="AN138" s="15" t="n"/>
      <c r="AO138" s="15" t="n"/>
      <c r="AP138" s="10" t="n"/>
      <c r="AQ138" s="15" t="n"/>
      <c r="AR138" s="15" t="n"/>
    </row>
    <row r="139" ht="15" customHeight="1">
      <c r="A139" s="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6" t="n"/>
      <c r="N139" s="6" t="n"/>
      <c r="O139" s="6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9" t="n"/>
      <c r="AJ139" s="8" t="n"/>
      <c r="AK139" s="8" t="n"/>
      <c r="AL139" s="15" t="n"/>
      <c r="AM139" s="15" t="n"/>
      <c r="AN139" s="15" t="n"/>
      <c r="AO139" s="15" t="n"/>
      <c r="AP139" s="10" t="n"/>
      <c r="AQ139" s="15" t="n"/>
      <c r="AR139" s="15" t="n"/>
    </row>
    <row r="140" ht="15" customHeight="1">
      <c r="A140" s="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6" t="n"/>
      <c r="N140" s="6" t="n"/>
      <c r="O140" s="6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9" t="n"/>
      <c r="AJ140" s="8" t="n"/>
      <c r="AK140" s="8" t="n"/>
      <c r="AL140" s="15" t="n"/>
      <c r="AM140" s="15" t="n"/>
      <c r="AN140" s="15" t="n"/>
      <c r="AO140" s="15" t="n"/>
      <c r="AP140" s="10" t="n"/>
      <c r="AQ140" s="15" t="n"/>
      <c r="AR140" s="15" t="n"/>
    </row>
    <row r="141" ht="15" customHeight="1">
      <c r="A141" s="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6" t="n"/>
      <c r="N141" s="6" t="n"/>
      <c r="O141" s="6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9" t="n"/>
      <c r="AJ141" s="8" t="n"/>
      <c r="AK141" s="8" t="n"/>
      <c r="AL141" s="15" t="n"/>
      <c r="AM141" s="15" t="n"/>
      <c r="AN141" s="15" t="n"/>
      <c r="AO141" s="15" t="n"/>
      <c r="AP141" s="10" t="n"/>
      <c r="AQ141" s="15" t="n"/>
      <c r="AR141" s="15" t="n"/>
    </row>
    <row r="142" ht="15" customHeight="1">
      <c r="A142" s="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6" t="n"/>
      <c r="N142" s="6" t="n"/>
      <c r="O142" s="6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9" t="n"/>
      <c r="AJ142" s="8" t="n"/>
      <c r="AK142" s="8" t="n"/>
      <c r="AL142" s="15" t="n"/>
      <c r="AM142" s="15" t="n"/>
      <c r="AN142" s="15" t="n"/>
      <c r="AO142" s="15" t="n"/>
      <c r="AP142" s="10" t="n"/>
      <c r="AQ142" s="15" t="n"/>
      <c r="AR142" s="15" t="n"/>
    </row>
    <row r="143" ht="15" customHeight="1">
      <c r="A143" s="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6" t="n"/>
      <c r="N143" s="6" t="n"/>
      <c r="O143" s="6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9" t="n"/>
      <c r="AJ143" s="8" t="n"/>
      <c r="AK143" s="8" t="n"/>
      <c r="AL143" s="15" t="n"/>
      <c r="AM143" s="15" t="n"/>
      <c r="AN143" s="15" t="n"/>
      <c r="AO143" s="15" t="n"/>
      <c r="AP143" s="10" t="n"/>
      <c r="AQ143" s="15" t="n"/>
      <c r="AR143" s="15" t="n"/>
    </row>
    <row r="144" ht="15" customHeight="1">
      <c r="A144" s="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6" t="n"/>
      <c r="N144" s="6" t="n"/>
      <c r="O144" s="6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9" t="n"/>
      <c r="AJ144" s="8" t="n"/>
      <c r="AK144" s="8" t="n"/>
      <c r="AL144" s="15" t="n"/>
      <c r="AM144" s="15" t="n"/>
      <c r="AN144" s="15" t="n"/>
      <c r="AO144" s="15" t="n"/>
      <c r="AP144" s="10" t="n"/>
      <c r="AQ144" s="15" t="n"/>
      <c r="AR144" s="15" t="n"/>
    </row>
    <row r="145" ht="15" customHeight="1">
      <c r="A145" s="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6" t="n"/>
      <c r="N145" s="6" t="n"/>
      <c r="O145" s="6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9" t="n"/>
      <c r="AJ145" s="8" t="n"/>
      <c r="AK145" s="8" t="n"/>
      <c r="AL145" s="15" t="n"/>
      <c r="AM145" s="15" t="n"/>
      <c r="AN145" s="15" t="n"/>
      <c r="AO145" s="15" t="n"/>
      <c r="AP145" s="10" t="n"/>
      <c r="AQ145" s="15" t="n"/>
      <c r="AR145" s="15" t="n"/>
    </row>
    <row r="146" ht="15" customHeight="1">
      <c r="A146" s="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6" t="n"/>
      <c r="N146" s="6" t="n"/>
      <c r="O146" s="6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9" t="n"/>
      <c r="AJ146" s="8" t="n"/>
      <c r="AK146" s="8" t="n"/>
      <c r="AL146" s="15" t="n"/>
      <c r="AM146" s="15" t="n"/>
      <c r="AN146" s="15" t="n"/>
      <c r="AO146" s="15" t="n"/>
      <c r="AP146" s="10" t="n"/>
      <c r="AQ146" s="15" t="n"/>
      <c r="AR146" s="15" t="n"/>
    </row>
    <row r="147" ht="15" customHeight="1">
      <c r="A147" s="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6" t="n"/>
      <c r="N147" s="6" t="n"/>
      <c r="O147" s="6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9" t="n"/>
      <c r="AJ147" s="8" t="n"/>
      <c r="AK147" s="8" t="n"/>
      <c r="AL147" s="15" t="n"/>
      <c r="AM147" s="15" t="n"/>
      <c r="AN147" s="15" t="n"/>
      <c r="AO147" s="15" t="n"/>
      <c r="AP147" s="10" t="n"/>
      <c r="AQ147" s="15" t="n"/>
      <c r="AR147" s="15" t="n"/>
    </row>
    <row r="148" ht="15" customHeight="1">
      <c r="A148" s="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6" t="n"/>
      <c r="N148" s="6" t="n"/>
      <c r="O148" s="6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9" t="n"/>
      <c r="AJ148" s="8" t="n"/>
      <c r="AK148" s="8" t="n"/>
      <c r="AL148" s="15" t="n"/>
      <c r="AM148" s="15" t="n"/>
      <c r="AN148" s="15" t="n"/>
      <c r="AO148" s="15" t="n"/>
      <c r="AP148" s="10" t="n"/>
      <c r="AQ148" s="15" t="n"/>
      <c r="AR148" s="15" t="n"/>
    </row>
    <row r="149" ht="15" customHeight="1">
      <c r="A149" s="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6" t="n"/>
      <c r="N149" s="6" t="n"/>
      <c r="O149" s="6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9" t="n"/>
      <c r="AJ149" s="8" t="n"/>
      <c r="AK149" s="8" t="n"/>
      <c r="AL149" s="15" t="n"/>
      <c r="AM149" s="15" t="n"/>
      <c r="AN149" s="15" t="n"/>
      <c r="AO149" s="15" t="n"/>
      <c r="AP149" s="10" t="n"/>
      <c r="AQ149" s="15" t="n"/>
      <c r="AR149" s="15" t="n"/>
    </row>
    <row r="150" ht="15" customHeight="1">
      <c r="A150" s="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6" t="n"/>
      <c r="N150" s="6" t="n"/>
      <c r="O150" s="6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9" t="n"/>
      <c r="AJ150" s="8" t="n"/>
      <c r="AK150" s="8" t="n"/>
      <c r="AL150" s="15" t="n"/>
      <c r="AM150" s="15" t="n"/>
      <c r="AN150" s="15" t="n"/>
      <c r="AO150" s="15" t="n"/>
      <c r="AP150" s="10" t="n"/>
      <c r="AQ150" s="15" t="n"/>
      <c r="AR150" s="15" t="n"/>
    </row>
    <row r="151" ht="15" customHeight="1">
      <c r="A151" s="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6" t="n"/>
      <c r="N151" s="6" t="n"/>
      <c r="O151" s="6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9" t="n"/>
      <c r="AJ151" s="8" t="n"/>
      <c r="AK151" s="8" t="n"/>
      <c r="AL151" s="15" t="n"/>
      <c r="AM151" s="15" t="n"/>
      <c r="AN151" s="15" t="n"/>
      <c r="AO151" s="15" t="n"/>
      <c r="AP151" s="10" t="n"/>
      <c r="AQ151" s="15" t="n"/>
      <c r="AR151" s="15" t="n"/>
    </row>
    <row r="152" ht="15" customHeight="1">
      <c r="A152" s="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6" t="n"/>
      <c r="N152" s="6" t="n"/>
      <c r="O152" s="6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9" t="n"/>
      <c r="AJ152" s="8" t="n"/>
      <c r="AK152" s="8" t="n"/>
      <c r="AL152" s="15" t="n"/>
      <c r="AM152" s="15" t="n"/>
      <c r="AN152" s="15" t="n"/>
      <c r="AO152" s="15" t="n"/>
      <c r="AP152" s="10" t="n"/>
      <c r="AQ152" s="15" t="n"/>
      <c r="AR152" s="15" t="n"/>
    </row>
    <row r="153" ht="15" customHeight="1">
      <c r="A153" s="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6" t="n"/>
      <c r="N153" s="6" t="n"/>
      <c r="O153" s="6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9" t="n"/>
      <c r="AJ153" s="8" t="n"/>
      <c r="AK153" s="8" t="n"/>
      <c r="AL153" s="15" t="n"/>
      <c r="AM153" s="15" t="n"/>
      <c r="AN153" s="15" t="n"/>
      <c r="AO153" s="15" t="n"/>
      <c r="AP153" s="10" t="n"/>
      <c r="AQ153" s="15" t="n"/>
      <c r="AR153" s="15" t="n"/>
    </row>
    <row r="154" ht="15" customHeight="1">
      <c r="A154" s="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6" t="n"/>
      <c r="N154" s="6" t="n"/>
      <c r="O154" s="6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9" t="n"/>
      <c r="AJ154" s="8" t="n"/>
      <c r="AK154" s="8" t="n"/>
      <c r="AL154" s="15" t="n"/>
      <c r="AM154" s="15" t="n"/>
      <c r="AN154" s="15" t="n"/>
      <c r="AO154" s="15" t="n"/>
      <c r="AP154" s="10" t="n"/>
      <c r="AQ154" s="15" t="n"/>
      <c r="AR154" s="15" t="n"/>
    </row>
    <row r="155" ht="15" customHeight="1">
      <c r="A155" s="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6" t="n"/>
      <c r="N155" s="6" t="n"/>
      <c r="O155" s="6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9" t="n"/>
      <c r="AJ155" s="8" t="n"/>
      <c r="AK155" s="8" t="n"/>
      <c r="AL155" s="15" t="n"/>
      <c r="AM155" s="15" t="n"/>
      <c r="AN155" s="15" t="n"/>
      <c r="AO155" s="15" t="n"/>
      <c r="AP155" s="10" t="n"/>
      <c r="AQ155" s="15" t="n"/>
      <c r="AR155" s="15" t="n"/>
    </row>
    <row r="156" ht="15" customHeight="1">
      <c r="A156" s="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6" t="n"/>
      <c r="N156" s="6" t="n"/>
      <c r="O156" s="6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9" t="n"/>
      <c r="AJ156" s="8" t="n"/>
      <c r="AK156" s="8" t="n"/>
      <c r="AL156" s="15" t="n"/>
      <c r="AM156" s="15" t="n"/>
      <c r="AN156" s="15" t="n"/>
      <c r="AO156" s="15" t="n"/>
      <c r="AP156" s="10" t="n"/>
      <c r="AQ156" s="15" t="n"/>
      <c r="AR156" s="15" t="n"/>
    </row>
    <row r="157" ht="15" customHeight="1">
      <c r="A157" s="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6" t="n"/>
      <c r="N157" s="6" t="n"/>
      <c r="O157" s="6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9" t="n"/>
      <c r="AJ157" s="8" t="n"/>
      <c r="AK157" s="8" t="n"/>
      <c r="AL157" s="15" t="n"/>
      <c r="AM157" s="15" t="n"/>
      <c r="AN157" s="15" t="n"/>
      <c r="AO157" s="15" t="n"/>
      <c r="AP157" s="10" t="n"/>
      <c r="AQ157" s="15" t="n"/>
      <c r="AR157" s="15" t="n"/>
    </row>
    <row r="158" ht="15" customHeight="1">
      <c r="A158" s="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6" t="n"/>
      <c r="N158" s="6" t="n"/>
      <c r="O158" s="6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9" t="n"/>
      <c r="AJ158" s="8" t="n"/>
      <c r="AK158" s="8" t="n"/>
      <c r="AL158" s="15" t="n"/>
      <c r="AM158" s="15" t="n"/>
      <c r="AN158" s="15" t="n"/>
      <c r="AO158" s="15" t="n"/>
      <c r="AP158" s="10" t="n"/>
      <c r="AQ158" s="15" t="n"/>
      <c r="AR158" s="15" t="n"/>
    </row>
    <row r="159" ht="15" customHeight="1">
      <c r="A159" s="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6" t="n"/>
      <c r="N159" s="6" t="n"/>
      <c r="O159" s="6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9" t="n"/>
      <c r="AJ159" s="8" t="n"/>
      <c r="AK159" s="8" t="n"/>
      <c r="AL159" s="15" t="n"/>
      <c r="AM159" s="15" t="n"/>
      <c r="AN159" s="15" t="n"/>
      <c r="AO159" s="15" t="n"/>
      <c r="AP159" s="10" t="n"/>
      <c r="AQ159" s="15" t="n"/>
      <c r="AR159" s="15" t="n"/>
    </row>
    <row r="160" ht="15" customHeight="1">
      <c r="A160" s="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6" t="n"/>
      <c r="N160" s="6" t="n"/>
      <c r="O160" s="6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9" t="n"/>
      <c r="AJ160" s="8" t="n"/>
      <c r="AK160" s="8" t="n"/>
      <c r="AL160" s="15" t="n"/>
      <c r="AM160" s="15" t="n"/>
      <c r="AN160" s="15" t="n"/>
      <c r="AO160" s="15" t="n"/>
      <c r="AP160" s="10" t="n"/>
      <c r="AQ160" s="15" t="n"/>
      <c r="AR160" s="15" t="n"/>
    </row>
    <row r="161" ht="15" customHeight="1">
      <c r="A161" s="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6" t="n"/>
      <c r="N161" s="6" t="n"/>
      <c r="O161" s="6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9" t="n"/>
      <c r="AJ161" s="8" t="n"/>
      <c r="AK161" s="8" t="n"/>
      <c r="AL161" s="15" t="n"/>
      <c r="AM161" s="15" t="n"/>
      <c r="AN161" s="15" t="n"/>
      <c r="AO161" s="15" t="n"/>
      <c r="AP161" s="10" t="n"/>
      <c r="AQ161" s="15" t="n"/>
      <c r="AR161" s="15" t="n"/>
    </row>
    <row r="162" ht="15" customHeight="1">
      <c r="A162" s="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6" t="n"/>
      <c r="N162" s="6" t="n"/>
      <c r="O162" s="6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9" t="n"/>
      <c r="AJ162" s="8" t="n"/>
      <c r="AK162" s="8" t="n"/>
      <c r="AL162" s="15" t="n"/>
      <c r="AM162" s="15" t="n"/>
      <c r="AN162" s="15" t="n"/>
      <c r="AO162" s="15" t="n"/>
      <c r="AP162" s="10" t="n"/>
      <c r="AQ162" s="15" t="n"/>
      <c r="AR162" s="15" t="n"/>
    </row>
    <row r="163" ht="15" customHeight="1">
      <c r="A163" s="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6" t="n"/>
      <c r="N163" s="6" t="n"/>
      <c r="O163" s="6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9" t="n"/>
      <c r="AJ163" s="8" t="n"/>
      <c r="AK163" s="8" t="n"/>
      <c r="AL163" s="15" t="n"/>
      <c r="AM163" s="15" t="n"/>
      <c r="AN163" s="15" t="n"/>
      <c r="AO163" s="15" t="n"/>
      <c r="AP163" s="10" t="n"/>
      <c r="AQ163" s="15" t="n"/>
      <c r="AR163" s="15" t="n"/>
    </row>
    <row r="164" ht="15" customHeight="1">
      <c r="A164" s="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6" t="n"/>
      <c r="N164" s="6" t="n"/>
      <c r="O164" s="6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9" t="n"/>
      <c r="AJ164" s="8" t="n"/>
      <c r="AK164" s="8" t="n"/>
      <c r="AL164" s="15" t="n"/>
      <c r="AM164" s="15" t="n"/>
      <c r="AN164" s="15" t="n"/>
      <c r="AO164" s="15" t="n"/>
      <c r="AP164" s="10" t="n"/>
      <c r="AQ164" s="15" t="n"/>
      <c r="AR164" s="15" t="n"/>
    </row>
    <row r="165" ht="15" customHeight="1">
      <c r="A165" s="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6" t="n"/>
      <c r="N165" s="6" t="n"/>
      <c r="O165" s="6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9" t="n"/>
      <c r="AJ165" s="8" t="n"/>
      <c r="AK165" s="8" t="n"/>
      <c r="AL165" s="15" t="n"/>
      <c r="AM165" s="15" t="n"/>
      <c r="AN165" s="15" t="n"/>
      <c r="AO165" s="15" t="n"/>
      <c r="AP165" s="10" t="n"/>
      <c r="AQ165" s="15" t="n"/>
      <c r="AR165" s="15" t="n"/>
    </row>
    <row r="166" ht="15" customHeight="1">
      <c r="A166" s="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6" t="n"/>
      <c r="N166" s="6" t="n"/>
      <c r="O166" s="6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9" t="n"/>
      <c r="AJ166" s="8" t="n"/>
      <c r="AK166" s="8" t="n"/>
      <c r="AL166" s="15" t="n"/>
      <c r="AM166" s="15" t="n"/>
      <c r="AN166" s="15" t="n"/>
      <c r="AO166" s="15" t="n"/>
      <c r="AP166" s="10" t="n"/>
      <c r="AQ166" s="15" t="n"/>
      <c r="AR166" s="15" t="n"/>
    </row>
    <row r="167" ht="15" customHeight="1">
      <c r="A167" s="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6" t="n"/>
      <c r="N167" s="6" t="n"/>
      <c r="O167" s="6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9" t="n"/>
      <c r="AJ167" s="8" t="n"/>
      <c r="AK167" s="8" t="n"/>
      <c r="AL167" s="15" t="n"/>
      <c r="AM167" s="15" t="n"/>
      <c r="AN167" s="15" t="n"/>
      <c r="AO167" s="15" t="n"/>
      <c r="AP167" s="10" t="n"/>
      <c r="AQ167" s="15" t="n"/>
      <c r="AR167" s="15" t="n"/>
    </row>
    <row r="168" ht="15" customHeight="1">
      <c r="A168" s="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6" t="n"/>
      <c r="N168" s="6" t="n"/>
      <c r="O168" s="6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9" t="n"/>
      <c r="AJ168" s="8" t="n"/>
      <c r="AK168" s="8" t="n"/>
      <c r="AL168" s="15" t="n"/>
      <c r="AM168" s="15" t="n"/>
      <c r="AN168" s="15" t="n"/>
      <c r="AO168" s="15" t="n"/>
      <c r="AP168" s="10" t="n"/>
      <c r="AQ168" s="15" t="n"/>
      <c r="AR168" s="15" t="n"/>
    </row>
    <row r="169" ht="15" customHeight="1">
      <c r="A169" s="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6" t="n"/>
      <c r="N169" s="6" t="n"/>
      <c r="O169" s="6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9" t="n"/>
      <c r="AJ169" s="8" t="n"/>
      <c r="AK169" s="8" t="n"/>
      <c r="AL169" s="15" t="n"/>
      <c r="AM169" s="15" t="n"/>
      <c r="AN169" s="15" t="n"/>
      <c r="AO169" s="15" t="n"/>
      <c r="AP169" s="10" t="n"/>
      <c r="AQ169" s="15" t="n"/>
      <c r="AR169" s="15" t="n"/>
    </row>
    <row r="170" ht="15" customHeight="1">
      <c r="A170" s="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6" t="n"/>
      <c r="N170" s="6" t="n"/>
      <c r="O170" s="6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9" t="n"/>
      <c r="AJ170" s="8" t="n"/>
      <c r="AK170" s="8" t="n"/>
      <c r="AL170" s="15" t="n"/>
      <c r="AM170" s="15" t="n"/>
      <c r="AN170" s="15" t="n"/>
      <c r="AO170" s="15" t="n"/>
      <c r="AP170" s="10" t="n"/>
      <c r="AQ170" s="15" t="n"/>
      <c r="AR170" s="15" t="n"/>
    </row>
    <row r="171" ht="15" customHeight="1">
      <c r="A171" s="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6" t="n"/>
      <c r="N171" s="6" t="n"/>
      <c r="O171" s="6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9" t="n"/>
      <c r="AJ171" s="8" t="n"/>
      <c r="AK171" s="8" t="n"/>
      <c r="AL171" s="15" t="n"/>
      <c r="AM171" s="15" t="n"/>
      <c r="AN171" s="15" t="n"/>
      <c r="AO171" s="15" t="n"/>
      <c r="AP171" s="10" t="n"/>
      <c r="AQ171" s="15" t="n"/>
      <c r="AR171" s="15" t="n"/>
    </row>
    <row r="172" ht="15" customHeight="1">
      <c r="A172" s="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6" t="n"/>
      <c r="N172" s="6" t="n"/>
      <c r="O172" s="6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9" t="n"/>
      <c r="AJ172" s="8" t="n"/>
      <c r="AK172" s="8" t="n"/>
      <c r="AL172" s="15" t="n"/>
      <c r="AM172" s="15" t="n"/>
      <c r="AN172" s="15" t="n"/>
      <c r="AO172" s="15" t="n"/>
      <c r="AP172" s="10" t="n"/>
      <c r="AQ172" s="15" t="n"/>
      <c r="AR172" s="15" t="n"/>
    </row>
    <row r="173" ht="15" customHeight="1">
      <c r="A173" s="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6" t="n"/>
      <c r="N173" s="6" t="n"/>
      <c r="O173" s="6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9" t="n"/>
      <c r="AJ173" s="8" t="n"/>
      <c r="AK173" s="8" t="n"/>
      <c r="AL173" s="15" t="n"/>
      <c r="AM173" s="15" t="n"/>
      <c r="AN173" s="15" t="n"/>
      <c r="AO173" s="15" t="n"/>
      <c r="AP173" s="10" t="n"/>
      <c r="AQ173" s="15" t="n"/>
      <c r="AR173" s="15" t="n"/>
    </row>
    <row r="174" ht="15" customHeight="1">
      <c r="A174" s="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6" t="n"/>
      <c r="N174" s="6" t="n"/>
      <c r="O174" s="6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9" t="n"/>
      <c r="AJ174" s="8" t="n"/>
      <c r="AK174" s="8" t="n"/>
      <c r="AL174" s="15" t="n"/>
      <c r="AM174" s="15" t="n"/>
      <c r="AN174" s="15" t="n"/>
      <c r="AO174" s="15" t="n"/>
      <c r="AP174" s="10" t="n"/>
      <c r="AQ174" s="15" t="n"/>
      <c r="AR174" s="15" t="n"/>
    </row>
    <row r="175" ht="15" customHeight="1">
      <c r="A175" s="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6" t="n"/>
      <c r="N175" s="6" t="n"/>
      <c r="O175" s="6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9" t="n"/>
      <c r="AJ175" s="8" t="n"/>
      <c r="AK175" s="8" t="n"/>
      <c r="AL175" s="15" t="n"/>
      <c r="AM175" s="15" t="n"/>
      <c r="AN175" s="15" t="n"/>
      <c r="AO175" s="15" t="n"/>
      <c r="AP175" s="10" t="n"/>
      <c r="AQ175" s="15" t="n"/>
      <c r="AR175" s="15" t="n"/>
    </row>
    <row r="176" ht="15" customHeight="1">
      <c r="A176" s="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6" t="n"/>
      <c r="N176" s="6" t="n"/>
      <c r="O176" s="6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9" t="n"/>
      <c r="AJ176" s="8" t="n"/>
      <c r="AK176" s="8" t="n"/>
      <c r="AL176" s="15" t="n"/>
      <c r="AM176" s="15" t="n"/>
      <c r="AN176" s="15" t="n"/>
      <c r="AO176" s="15" t="n"/>
      <c r="AP176" s="10" t="n"/>
      <c r="AQ176" s="15" t="n"/>
      <c r="AR176" s="15" t="n"/>
    </row>
    <row r="177" ht="15" customHeight="1">
      <c r="A177" s="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6" t="n"/>
      <c r="N177" s="6" t="n"/>
      <c r="O177" s="6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9" t="n"/>
      <c r="AJ177" s="8" t="n"/>
      <c r="AK177" s="8" t="n"/>
      <c r="AL177" s="15" t="n"/>
      <c r="AM177" s="15" t="n"/>
      <c r="AN177" s="15" t="n"/>
      <c r="AO177" s="15" t="n"/>
      <c r="AP177" s="10" t="n"/>
      <c r="AQ177" s="15" t="n"/>
      <c r="AR177" s="15" t="n"/>
    </row>
    <row r="178" ht="15" customHeight="1">
      <c r="A178" s="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6" t="n"/>
      <c r="N178" s="6" t="n"/>
      <c r="O178" s="6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9" t="n"/>
      <c r="AJ178" s="8" t="n"/>
      <c r="AK178" s="8" t="n"/>
      <c r="AL178" s="15" t="n"/>
      <c r="AM178" s="15" t="n"/>
      <c r="AN178" s="15" t="n"/>
      <c r="AO178" s="15" t="n"/>
      <c r="AP178" s="10" t="n"/>
      <c r="AQ178" s="15" t="n"/>
      <c r="AR178" s="15" t="n"/>
    </row>
    <row r="179" ht="15" customHeight="1">
      <c r="A179" s="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6" t="n"/>
      <c r="N179" s="6" t="n"/>
      <c r="O179" s="6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9" t="n"/>
      <c r="AJ179" s="8" t="n"/>
      <c r="AK179" s="8" t="n"/>
      <c r="AL179" s="15" t="n"/>
      <c r="AM179" s="15" t="n"/>
      <c r="AN179" s="15" t="n"/>
      <c r="AO179" s="15" t="n"/>
      <c r="AP179" s="10" t="n"/>
      <c r="AQ179" s="15" t="n"/>
      <c r="AR179" s="15" t="n"/>
    </row>
    <row r="180" ht="15" customHeight="1">
      <c r="A180" s="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6" t="n"/>
      <c r="N180" s="6" t="n"/>
      <c r="O180" s="6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9" t="n"/>
      <c r="AJ180" s="8" t="n"/>
      <c r="AK180" s="8" t="n"/>
      <c r="AL180" s="15" t="n"/>
      <c r="AM180" s="15" t="n"/>
      <c r="AN180" s="15" t="n"/>
      <c r="AO180" s="15" t="n"/>
      <c r="AP180" s="10" t="n"/>
      <c r="AQ180" s="15" t="n"/>
      <c r="AR180" s="15" t="n"/>
    </row>
    <row r="181" ht="15" customHeight="1">
      <c r="A181" s="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6" t="n"/>
      <c r="N181" s="6" t="n"/>
      <c r="O181" s="6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9" t="n"/>
      <c r="AJ181" s="8" t="n"/>
      <c r="AK181" s="8" t="n"/>
      <c r="AL181" s="15" t="n"/>
      <c r="AM181" s="15" t="n"/>
      <c r="AN181" s="15" t="n"/>
      <c r="AO181" s="15" t="n"/>
      <c r="AP181" s="10" t="n"/>
      <c r="AQ181" s="15" t="n"/>
      <c r="AR181" s="15" t="n"/>
    </row>
    <row r="182" ht="15" customHeight="1">
      <c r="A182" s="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6" t="n"/>
      <c r="N182" s="6" t="n"/>
      <c r="O182" s="6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9" t="n"/>
      <c r="AJ182" s="8" t="n"/>
      <c r="AK182" s="8" t="n"/>
      <c r="AL182" s="15" t="n"/>
      <c r="AM182" s="15" t="n"/>
      <c r="AN182" s="15" t="n"/>
      <c r="AO182" s="15" t="n"/>
      <c r="AP182" s="10" t="n"/>
      <c r="AQ182" s="15" t="n"/>
      <c r="AR182" s="15" t="n"/>
    </row>
    <row r="183" ht="15" customHeight="1">
      <c r="A183" s="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6" t="n"/>
      <c r="N183" s="6" t="n"/>
      <c r="O183" s="6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9" t="n"/>
      <c r="AJ183" s="8" t="n"/>
      <c r="AK183" s="8" t="n"/>
      <c r="AL183" s="15" t="n"/>
      <c r="AM183" s="15" t="n"/>
      <c r="AN183" s="15" t="n"/>
      <c r="AO183" s="15" t="n"/>
      <c r="AP183" s="10" t="n"/>
      <c r="AQ183" s="15" t="n"/>
      <c r="AR183" s="15" t="n"/>
    </row>
    <row r="184" ht="15" customHeight="1">
      <c r="A184" s="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6" t="n"/>
      <c r="N184" s="6" t="n"/>
      <c r="O184" s="6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9" t="n"/>
      <c r="AJ184" s="8" t="n"/>
      <c r="AK184" s="8" t="n"/>
      <c r="AL184" s="15" t="n"/>
      <c r="AM184" s="15" t="n"/>
      <c r="AN184" s="15" t="n"/>
      <c r="AO184" s="15" t="n"/>
      <c r="AP184" s="10" t="n"/>
      <c r="AQ184" s="15" t="n"/>
      <c r="AR184" s="15" t="n"/>
    </row>
    <row r="185" ht="15" customHeight="1">
      <c r="A185" s="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6" t="n"/>
      <c r="N185" s="6" t="n"/>
      <c r="O185" s="6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9" t="n"/>
      <c r="AJ185" s="8" t="n"/>
      <c r="AK185" s="8" t="n"/>
      <c r="AL185" s="15" t="n"/>
      <c r="AM185" s="15" t="n"/>
      <c r="AN185" s="15" t="n"/>
      <c r="AO185" s="15" t="n"/>
      <c r="AP185" s="10" t="n"/>
      <c r="AQ185" s="15" t="n"/>
      <c r="AR185" s="15" t="n"/>
    </row>
    <row r="186" ht="15" customHeight="1">
      <c r="A186" s="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6" t="n"/>
      <c r="N186" s="6" t="n"/>
      <c r="O186" s="6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9" t="n"/>
      <c r="AJ186" s="8" t="n"/>
      <c r="AK186" s="8" t="n"/>
      <c r="AL186" s="15" t="n"/>
      <c r="AM186" s="15" t="n"/>
      <c r="AN186" s="15" t="n"/>
      <c r="AO186" s="15" t="n"/>
      <c r="AP186" s="10" t="n"/>
      <c r="AQ186" s="15" t="n"/>
      <c r="AR186" s="15" t="n"/>
    </row>
    <row r="187" ht="15" customHeight="1">
      <c r="A187" s="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6" t="n"/>
      <c r="N187" s="6" t="n"/>
      <c r="O187" s="6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9" t="n"/>
      <c r="AJ187" s="8" t="n"/>
      <c r="AK187" s="8" t="n"/>
      <c r="AL187" s="15" t="n"/>
      <c r="AM187" s="15" t="n"/>
      <c r="AN187" s="15" t="n"/>
      <c r="AO187" s="15" t="n"/>
      <c r="AP187" s="10" t="n"/>
      <c r="AQ187" s="15" t="n"/>
      <c r="AR187" s="15" t="n"/>
    </row>
    <row r="188" ht="15" customHeight="1">
      <c r="A188" s="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6" t="n"/>
      <c r="N188" s="6" t="n"/>
      <c r="O188" s="6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9" t="n"/>
      <c r="AJ188" s="8" t="n"/>
      <c r="AK188" s="8" t="n"/>
      <c r="AL188" s="15" t="n"/>
      <c r="AM188" s="15" t="n"/>
      <c r="AN188" s="15" t="n"/>
      <c r="AO188" s="15" t="n"/>
      <c r="AP188" s="10" t="n"/>
      <c r="AQ188" s="15" t="n"/>
      <c r="AR188" s="15" t="n"/>
    </row>
    <row r="189" ht="15" customHeight="1">
      <c r="A189" s="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6" t="n"/>
      <c r="N189" s="6" t="n"/>
      <c r="O189" s="6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9" t="n"/>
      <c r="AJ189" s="8" t="n"/>
      <c r="AK189" s="8" t="n"/>
      <c r="AL189" s="15" t="n"/>
      <c r="AM189" s="15" t="n"/>
      <c r="AN189" s="15" t="n"/>
      <c r="AO189" s="15" t="n"/>
      <c r="AP189" s="10" t="n"/>
      <c r="AQ189" s="15" t="n"/>
      <c r="AR189" s="15" t="n"/>
    </row>
    <row r="190" ht="15" customHeight="1">
      <c r="A190" s="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6" t="n"/>
      <c r="N190" s="6" t="n"/>
      <c r="O190" s="6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9" t="n"/>
      <c r="AJ190" s="8" t="n"/>
      <c r="AK190" s="8" t="n"/>
      <c r="AL190" s="15" t="n"/>
      <c r="AM190" s="15" t="n"/>
      <c r="AN190" s="15" t="n"/>
      <c r="AO190" s="15" t="n"/>
      <c r="AP190" s="10" t="n"/>
      <c r="AQ190" s="15" t="n"/>
      <c r="AR190" s="15" t="n"/>
    </row>
    <row r="191" ht="15" customHeight="1">
      <c r="A191" s="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6" t="n"/>
      <c r="N191" s="6" t="n"/>
      <c r="O191" s="6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9" t="n"/>
      <c r="AJ191" s="8" t="n"/>
      <c r="AK191" s="8" t="n"/>
      <c r="AL191" s="15" t="n"/>
      <c r="AM191" s="15" t="n"/>
      <c r="AN191" s="15" t="n"/>
      <c r="AO191" s="15" t="n"/>
      <c r="AP191" s="10" t="n"/>
      <c r="AQ191" s="15" t="n"/>
      <c r="AR191" s="15" t="n"/>
    </row>
    <row r="192" ht="15" customHeight="1">
      <c r="A192" s="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6" t="n"/>
      <c r="N192" s="6" t="n"/>
      <c r="O192" s="6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9" t="n"/>
      <c r="AJ192" s="8" t="n"/>
      <c r="AK192" s="8" t="n"/>
      <c r="AL192" s="15" t="n"/>
      <c r="AM192" s="15" t="n"/>
      <c r="AN192" s="15" t="n"/>
      <c r="AO192" s="15" t="n"/>
      <c r="AP192" s="10" t="n"/>
      <c r="AQ192" s="15" t="n"/>
      <c r="AR192" s="15" t="n"/>
    </row>
    <row r="193" ht="15" customHeight="1">
      <c r="A193" s="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6" t="n"/>
      <c r="N193" s="6" t="n"/>
      <c r="O193" s="6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9" t="n"/>
      <c r="AJ193" s="8" t="n"/>
      <c r="AK193" s="8" t="n"/>
      <c r="AL193" s="15" t="n"/>
      <c r="AM193" s="15" t="n"/>
      <c r="AN193" s="15" t="n"/>
      <c r="AO193" s="15" t="n"/>
      <c r="AP193" s="10" t="n"/>
      <c r="AQ193" s="15" t="n"/>
      <c r="AR193" s="15" t="n"/>
    </row>
    <row r="194" ht="15" customHeight="1">
      <c r="A194" s="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6" t="n"/>
      <c r="N194" s="6" t="n"/>
      <c r="O194" s="6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9" t="n"/>
      <c r="AJ194" s="8" t="n"/>
      <c r="AK194" s="8" t="n"/>
      <c r="AL194" s="15" t="n"/>
      <c r="AM194" s="15" t="n"/>
      <c r="AN194" s="15" t="n"/>
      <c r="AO194" s="15" t="n"/>
      <c r="AP194" s="10" t="n"/>
      <c r="AQ194" s="15" t="n"/>
      <c r="AR194" s="15" t="n"/>
    </row>
    <row r="195" ht="15" customHeight="1">
      <c r="A195" s="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6" t="n"/>
      <c r="N195" s="6" t="n"/>
      <c r="O195" s="6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9" t="n"/>
      <c r="AJ195" s="8" t="n"/>
      <c r="AK195" s="8" t="n"/>
      <c r="AL195" s="15" t="n"/>
      <c r="AM195" s="15" t="n"/>
      <c r="AN195" s="15" t="n"/>
      <c r="AO195" s="15" t="n"/>
      <c r="AP195" s="10" t="n"/>
      <c r="AQ195" s="15" t="n"/>
      <c r="AR195" s="15" t="n"/>
    </row>
    <row r="196" ht="15" customHeight="1">
      <c r="A196" s="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6" t="n"/>
      <c r="N196" s="6" t="n"/>
      <c r="O196" s="6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9" t="n"/>
      <c r="AJ196" s="8" t="n"/>
      <c r="AK196" s="8" t="n"/>
      <c r="AL196" s="15" t="n"/>
      <c r="AM196" s="15" t="n"/>
      <c r="AN196" s="15" t="n"/>
      <c r="AO196" s="15" t="n"/>
      <c r="AP196" s="10" t="n"/>
      <c r="AQ196" s="15" t="n"/>
      <c r="AR196" s="15" t="n"/>
    </row>
    <row r="197" ht="15" customHeight="1">
      <c r="A197" s="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6" t="n"/>
      <c r="N197" s="6" t="n"/>
      <c r="O197" s="6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9" t="n"/>
      <c r="AJ197" s="8" t="n"/>
      <c r="AK197" s="8" t="n"/>
      <c r="AL197" s="15" t="n"/>
      <c r="AM197" s="15" t="n"/>
      <c r="AN197" s="15" t="n"/>
      <c r="AO197" s="15" t="n"/>
      <c r="AP197" s="10" t="n"/>
      <c r="AQ197" s="15" t="n"/>
      <c r="AR197" s="15" t="n"/>
    </row>
    <row r="198" ht="15" customHeight="1">
      <c r="A198" s="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6" t="n"/>
      <c r="N198" s="6" t="n"/>
      <c r="O198" s="6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9" t="n"/>
      <c r="AJ198" s="8" t="n"/>
      <c r="AK198" s="8" t="n"/>
      <c r="AL198" s="15" t="n"/>
      <c r="AM198" s="15" t="n"/>
      <c r="AN198" s="15" t="n"/>
      <c r="AO198" s="15" t="n"/>
      <c r="AP198" s="10" t="n"/>
      <c r="AQ198" s="15" t="n"/>
      <c r="AR198" s="15" t="n"/>
    </row>
    <row r="199" ht="15" customHeight="1">
      <c r="A199" s="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6" t="n"/>
      <c r="N199" s="6" t="n"/>
      <c r="O199" s="6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9" t="n"/>
      <c r="AJ199" s="8" t="n"/>
      <c r="AK199" s="8" t="n"/>
      <c r="AL199" s="15" t="n"/>
      <c r="AM199" s="15" t="n"/>
      <c r="AN199" s="15" t="n"/>
      <c r="AO199" s="15" t="n"/>
      <c r="AP199" s="10" t="n"/>
      <c r="AQ199" s="15" t="n"/>
      <c r="AR199" s="15" t="n"/>
    </row>
    <row r="200" ht="15" customHeight="1">
      <c r="A200" s="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6" t="n"/>
      <c r="N200" s="6" t="n"/>
      <c r="O200" s="6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9" t="n"/>
      <c r="AJ200" s="8" t="n"/>
      <c r="AK200" s="8" t="n"/>
      <c r="AL200" s="15" t="n"/>
      <c r="AM200" s="15" t="n"/>
      <c r="AN200" s="15" t="n"/>
      <c r="AO200" s="15" t="n"/>
      <c r="AP200" s="10" t="n"/>
      <c r="AQ200" s="15" t="n"/>
      <c r="AR200" s="15" t="n"/>
    </row>
    <row r="201" ht="15" customHeight="1">
      <c r="A201" s="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6" t="n"/>
      <c r="N201" s="6" t="n"/>
      <c r="O201" s="6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9" t="n"/>
      <c r="AJ201" s="8" t="n"/>
      <c r="AK201" s="8" t="n"/>
      <c r="AL201" s="15" t="n"/>
      <c r="AM201" s="15" t="n"/>
      <c r="AN201" s="15" t="n"/>
      <c r="AO201" s="15" t="n"/>
      <c r="AP201" s="10" t="n"/>
      <c r="AQ201" s="15" t="n"/>
      <c r="AR201" s="15" t="n"/>
    </row>
    <row r="202" ht="15" customHeight="1">
      <c r="A202" s="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6" t="n"/>
      <c r="N202" s="6" t="n"/>
      <c r="O202" s="6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9" t="n"/>
      <c r="AJ202" s="8" t="n"/>
      <c r="AK202" s="8" t="n"/>
      <c r="AL202" s="15" t="n"/>
      <c r="AM202" s="15" t="n"/>
      <c r="AN202" s="15" t="n"/>
      <c r="AO202" s="15" t="n"/>
      <c r="AP202" s="10" t="n"/>
      <c r="AQ202" s="15" t="n"/>
      <c r="AR202" s="15" t="n"/>
    </row>
    <row r="203" ht="15" customHeight="1">
      <c r="A203" s="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6" t="n"/>
      <c r="N203" s="6" t="n"/>
      <c r="O203" s="6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9" t="n"/>
      <c r="AJ203" s="8" t="n"/>
      <c r="AK203" s="8" t="n"/>
      <c r="AL203" s="15" t="n"/>
      <c r="AM203" s="15" t="n"/>
      <c r="AN203" s="15" t="n"/>
      <c r="AO203" s="15" t="n"/>
      <c r="AP203" s="10" t="n"/>
      <c r="AQ203" s="15" t="n"/>
      <c r="AR203" s="15" t="n"/>
    </row>
    <row r="204" ht="15" customHeight="1">
      <c r="A204" s="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6" t="n"/>
      <c r="N204" s="6" t="n"/>
      <c r="O204" s="6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9" t="n"/>
      <c r="AJ204" s="8" t="n"/>
      <c r="AK204" s="8" t="n"/>
      <c r="AL204" s="15" t="n"/>
      <c r="AM204" s="15" t="n"/>
      <c r="AN204" s="15" t="n"/>
      <c r="AO204" s="15" t="n"/>
      <c r="AP204" s="10" t="n"/>
      <c r="AQ204" s="15" t="n"/>
      <c r="AR204" s="15" t="n"/>
    </row>
    <row r="205" ht="15" customHeight="1">
      <c r="A205" s="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6" t="n"/>
      <c r="N205" s="6" t="n"/>
      <c r="O205" s="6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9" t="n"/>
      <c r="AJ205" s="8" t="n"/>
      <c r="AK205" s="8" t="n"/>
      <c r="AL205" s="15" t="n"/>
      <c r="AM205" s="15" t="n"/>
      <c r="AN205" s="15" t="n"/>
      <c r="AO205" s="15" t="n"/>
      <c r="AP205" s="10" t="n"/>
      <c r="AQ205" s="15" t="n"/>
      <c r="AR205" s="15" t="n"/>
    </row>
    <row r="206" ht="15" customHeight="1">
      <c r="A206" s="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6" t="n"/>
      <c r="N206" s="6" t="n"/>
      <c r="O206" s="6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9" t="n"/>
      <c r="AJ206" s="8" t="n"/>
      <c r="AK206" s="8" t="n"/>
      <c r="AL206" s="15" t="n"/>
      <c r="AM206" s="15" t="n"/>
      <c r="AN206" s="15" t="n"/>
      <c r="AO206" s="15" t="n"/>
      <c r="AP206" s="10" t="n"/>
      <c r="AQ206" s="15" t="n"/>
      <c r="AR206" s="15" t="n"/>
    </row>
    <row r="207" ht="15" customHeight="1">
      <c r="A207" s="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6" t="n"/>
      <c r="N207" s="6" t="n"/>
      <c r="O207" s="6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9" t="n"/>
      <c r="AJ207" s="8" t="n"/>
      <c r="AK207" s="8" t="n"/>
      <c r="AL207" s="15" t="n"/>
      <c r="AM207" s="15" t="n"/>
      <c r="AN207" s="15" t="n"/>
      <c r="AO207" s="15" t="n"/>
      <c r="AP207" s="10" t="n"/>
      <c r="AQ207" s="15" t="n"/>
      <c r="AR207" s="15" t="n"/>
    </row>
    <row r="208" ht="15" customHeight="1">
      <c r="A208" s="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6" t="n"/>
      <c r="N208" s="6" t="n"/>
      <c r="O208" s="6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9" t="n"/>
      <c r="AJ208" s="8" t="n"/>
      <c r="AK208" s="8" t="n"/>
      <c r="AL208" s="15" t="n"/>
      <c r="AM208" s="15" t="n"/>
      <c r="AN208" s="15" t="n"/>
      <c r="AO208" s="15" t="n"/>
      <c r="AP208" s="10" t="n"/>
      <c r="AQ208" s="15" t="n"/>
      <c r="AR208" s="15" t="n"/>
    </row>
    <row r="209" ht="15" customHeight="1">
      <c r="A209" s="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6" t="n"/>
      <c r="N209" s="6" t="n"/>
      <c r="O209" s="6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9" t="n"/>
      <c r="AJ209" s="8" t="n"/>
      <c r="AK209" s="8" t="n"/>
      <c r="AL209" s="15" t="n"/>
      <c r="AM209" s="15" t="n"/>
      <c r="AN209" s="15" t="n"/>
      <c r="AO209" s="15" t="n"/>
      <c r="AP209" s="10" t="n"/>
      <c r="AQ209" s="15" t="n"/>
      <c r="AR209" s="15" t="n"/>
    </row>
    <row r="210" ht="15" customHeight="1">
      <c r="A210" s="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6" t="n"/>
      <c r="N210" s="6" t="n"/>
      <c r="O210" s="6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9" t="n"/>
      <c r="AJ210" s="8" t="n"/>
      <c r="AK210" s="8" t="n"/>
      <c r="AL210" s="15" t="n"/>
      <c r="AM210" s="15" t="n"/>
      <c r="AN210" s="15" t="n"/>
      <c r="AO210" s="15" t="n"/>
      <c r="AP210" s="10" t="n"/>
      <c r="AQ210" s="15" t="n"/>
      <c r="AR210" s="15" t="n"/>
    </row>
    <row r="211" ht="15" customHeight="1">
      <c r="A211" s="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6" t="n"/>
      <c r="N211" s="6" t="n"/>
      <c r="O211" s="6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9" t="n"/>
      <c r="AJ211" s="8" t="n"/>
      <c r="AK211" s="8" t="n"/>
      <c r="AL211" s="15" t="n"/>
      <c r="AM211" s="15" t="n"/>
      <c r="AN211" s="15" t="n"/>
      <c r="AO211" s="15" t="n"/>
      <c r="AP211" s="10" t="n"/>
      <c r="AQ211" s="15" t="n"/>
      <c r="AR211" s="15" t="n"/>
    </row>
    <row r="212" ht="15" customHeight="1">
      <c r="A212" s="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6" t="n"/>
      <c r="N212" s="6" t="n"/>
      <c r="O212" s="6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9" t="n"/>
      <c r="AJ212" s="8" t="n"/>
      <c r="AK212" s="8" t="n"/>
      <c r="AL212" s="15" t="n"/>
      <c r="AM212" s="15" t="n"/>
      <c r="AN212" s="15" t="n"/>
      <c r="AO212" s="15" t="n"/>
      <c r="AP212" s="10" t="n"/>
      <c r="AQ212" s="15" t="n"/>
      <c r="AR212" s="15" t="n"/>
    </row>
    <row r="213" ht="15" customHeight="1">
      <c r="A213" s="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6" t="n"/>
      <c r="N213" s="6" t="n"/>
      <c r="O213" s="6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9" t="n"/>
      <c r="AJ213" s="8" t="n"/>
      <c r="AK213" s="8" t="n"/>
      <c r="AL213" s="15" t="n"/>
      <c r="AM213" s="15" t="n"/>
      <c r="AN213" s="15" t="n"/>
      <c r="AO213" s="15" t="n"/>
      <c r="AP213" s="10" t="n"/>
      <c r="AQ213" s="15" t="n"/>
      <c r="AR213" s="15" t="n"/>
    </row>
    <row r="214" ht="15" customHeight="1">
      <c r="A214" s="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6" t="n"/>
      <c r="N214" s="6" t="n"/>
      <c r="O214" s="6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9" t="n"/>
      <c r="AJ214" s="8" t="n"/>
      <c r="AK214" s="8" t="n"/>
      <c r="AL214" s="15" t="n"/>
      <c r="AM214" s="15" t="n"/>
      <c r="AN214" s="15" t="n"/>
      <c r="AO214" s="15" t="n"/>
      <c r="AP214" s="10" t="n"/>
      <c r="AQ214" s="15" t="n"/>
      <c r="AR214" s="15" t="n"/>
    </row>
    <row r="215" ht="15" customHeight="1">
      <c r="A215" s="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6" t="n"/>
      <c r="N215" s="6" t="n"/>
      <c r="O215" s="6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9" t="n"/>
      <c r="AJ215" s="8" t="n"/>
      <c r="AK215" s="8" t="n"/>
      <c r="AL215" s="15" t="n"/>
      <c r="AM215" s="15" t="n"/>
      <c r="AN215" s="15" t="n"/>
      <c r="AO215" s="15" t="n"/>
      <c r="AP215" s="10" t="n"/>
      <c r="AQ215" s="15" t="n"/>
      <c r="AR215" s="15" t="n"/>
    </row>
    <row r="216" ht="15" customHeight="1">
      <c r="A216" s="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6" t="n"/>
      <c r="N216" s="6" t="n"/>
      <c r="O216" s="6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9" t="n"/>
      <c r="AJ216" s="8" t="n"/>
      <c r="AK216" s="8" t="n"/>
      <c r="AL216" s="15" t="n"/>
      <c r="AM216" s="15" t="n"/>
      <c r="AN216" s="15" t="n"/>
      <c r="AO216" s="15" t="n"/>
      <c r="AP216" s="10" t="n"/>
      <c r="AQ216" s="15" t="n"/>
      <c r="AR216" s="15" t="n"/>
    </row>
    <row r="217" ht="15" customHeight="1">
      <c r="A217" s="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6" t="n"/>
      <c r="N217" s="6" t="n"/>
      <c r="O217" s="6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9" t="n"/>
      <c r="AJ217" s="8" t="n"/>
      <c r="AK217" s="8" t="n"/>
      <c r="AL217" s="15" t="n"/>
      <c r="AM217" s="15" t="n"/>
      <c r="AN217" s="15" t="n"/>
      <c r="AO217" s="15" t="n"/>
      <c r="AP217" s="10" t="n"/>
      <c r="AQ217" s="15" t="n"/>
      <c r="AR217" s="15" t="n"/>
    </row>
    <row r="218" ht="15" customHeight="1">
      <c r="A218" s="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6" t="n"/>
      <c r="N218" s="6" t="n"/>
      <c r="O218" s="6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9" t="n"/>
      <c r="AJ218" s="8" t="n"/>
      <c r="AK218" s="8" t="n"/>
      <c r="AL218" s="15" t="n"/>
      <c r="AM218" s="15" t="n"/>
      <c r="AN218" s="15" t="n"/>
      <c r="AO218" s="15" t="n"/>
      <c r="AP218" s="10" t="n"/>
      <c r="AQ218" s="15" t="n"/>
      <c r="AR218" s="15" t="n"/>
    </row>
    <row r="219" ht="15" customHeight="1">
      <c r="A219" s="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6" t="n"/>
      <c r="N219" s="6" t="n"/>
      <c r="O219" s="6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9" t="n"/>
      <c r="AJ219" s="8" t="n"/>
      <c r="AK219" s="8" t="n"/>
      <c r="AL219" s="15" t="n"/>
      <c r="AM219" s="15" t="n"/>
      <c r="AN219" s="15" t="n"/>
      <c r="AO219" s="15" t="n"/>
      <c r="AP219" s="10" t="n"/>
      <c r="AQ219" s="15" t="n"/>
      <c r="AR219" s="15" t="n"/>
    </row>
    <row r="220" ht="15" customHeight="1">
      <c r="A220" s="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6" t="n"/>
      <c r="N220" s="6" t="n"/>
      <c r="O220" s="6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9" t="n"/>
      <c r="AJ220" s="8" t="n"/>
      <c r="AK220" s="8" t="n"/>
      <c r="AL220" s="15" t="n"/>
      <c r="AM220" s="15" t="n"/>
      <c r="AN220" s="15" t="n"/>
      <c r="AO220" s="15" t="n"/>
      <c r="AP220" s="10" t="n"/>
      <c r="AQ220" s="15" t="n"/>
      <c r="AR220" s="15" t="n"/>
    </row>
    <row r="221" ht="15" customHeight="1">
      <c r="A221" s="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6" t="n"/>
      <c r="N221" s="6" t="n"/>
      <c r="O221" s="6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9" t="n"/>
      <c r="AJ221" s="8" t="n"/>
      <c r="AK221" s="8" t="n"/>
      <c r="AL221" s="15" t="n"/>
      <c r="AM221" s="15" t="n"/>
      <c r="AN221" s="15" t="n"/>
      <c r="AO221" s="15" t="n"/>
      <c r="AP221" s="10" t="n"/>
      <c r="AQ221" s="15" t="n"/>
      <c r="AR221" s="15" t="n"/>
    </row>
    <row r="222" ht="15" customHeight="1">
      <c r="A222" s="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6" t="n"/>
      <c r="N222" s="6" t="n"/>
      <c r="O222" s="6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9" t="n"/>
      <c r="AJ222" s="8" t="n"/>
      <c r="AK222" s="8" t="n"/>
      <c r="AL222" s="15" t="n"/>
      <c r="AM222" s="15" t="n"/>
      <c r="AN222" s="15" t="n"/>
      <c r="AO222" s="15" t="n"/>
      <c r="AP222" s="10" t="n"/>
      <c r="AQ222" s="15" t="n"/>
      <c r="AR222" s="15" t="n"/>
    </row>
    <row r="223" ht="15" customHeight="1">
      <c r="A223" s="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6" t="n"/>
      <c r="N223" s="6" t="n"/>
      <c r="O223" s="6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9" t="n"/>
      <c r="AJ223" s="8" t="n"/>
      <c r="AK223" s="8" t="n"/>
      <c r="AL223" s="15" t="n"/>
      <c r="AM223" s="15" t="n"/>
      <c r="AN223" s="15" t="n"/>
      <c r="AO223" s="15" t="n"/>
      <c r="AP223" s="10" t="n"/>
      <c r="AQ223" s="15" t="n"/>
      <c r="AR223" s="15" t="n"/>
    </row>
    <row r="224" ht="15" customHeight="1">
      <c r="A224" s="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6" t="n"/>
      <c r="N224" s="6" t="n"/>
      <c r="O224" s="6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9" t="n"/>
      <c r="AJ224" s="8" t="n"/>
      <c r="AK224" s="8" t="n"/>
      <c r="AL224" s="15" t="n"/>
      <c r="AM224" s="15" t="n"/>
      <c r="AN224" s="15" t="n"/>
      <c r="AO224" s="15" t="n"/>
      <c r="AP224" s="10" t="n"/>
      <c r="AQ224" s="15" t="n"/>
      <c r="AR224" s="15" t="n"/>
    </row>
    <row r="225" ht="15" customHeight="1">
      <c r="A225" s="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6" t="n"/>
      <c r="N225" s="6" t="n"/>
      <c r="O225" s="6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9" t="n"/>
      <c r="AJ225" s="8" t="n"/>
      <c r="AK225" s="8" t="n"/>
      <c r="AL225" s="15" t="n"/>
      <c r="AM225" s="15" t="n"/>
      <c r="AN225" s="15" t="n"/>
      <c r="AO225" s="15" t="n"/>
      <c r="AP225" s="10" t="n"/>
      <c r="AQ225" s="15" t="n"/>
      <c r="AR225" s="15" t="n"/>
    </row>
    <row r="226" ht="15" customHeight="1">
      <c r="A226" s="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6" t="n"/>
      <c r="N226" s="6" t="n"/>
      <c r="O226" s="6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9" t="n"/>
      <c r="AJ226" s="8" t="n"/>
      <c r="AK226" s="8" t="n"/>
      <c r="AL226" s="15" t="n"/>
      <c r="AM226" s="15" t="n"/>
      <c r="AN226" s="15" t="n"/>
      <c r="AO226" s="15" t="n"/>
      <c r="AP226" s="10" t="n"/>
      <c r="AQ226" s="15" t="n"/>
      <c r="AR226" s="15" t="n"/>
    </row>
    <row r="227" ht="15" customHeight="1">
      <c r="A227" s="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6" t="n"/>
      <c r="N227" s="6" t="n"/>
      <c r="O227" s="6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9" t="n"/>
      <c r="AJ227" s="8" t="n"/>
      <c r="AK227" s="8" t="n"/>
      <c r="AL227" s="15" t="n"/>
      <c r="AM227" s="15" t="n"/>
      <c r="AN227" s="15" t="n"/>
      <c r="AO227" s="15" t="n"/>
      <c r="AP227" s="10" t="n"/>
      <c r="AQ227" s="15" t="n"/>
      <c r="AR227" s="15" t="n"/>
    </row>
    <row r="228" ht="15" customHeight="1">
      <c r="A228" s="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6" t="n"/>
      <c r="N228" s="6" t="n"/>
      <c r="O228" s="6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9" t="n"/>
      <c r="AJ228" s="8" t="n"/>
      <c r="AK228" s="8" t="n"/>
      <c r="AL228" s="15" t="n"/>
      <c r="AM228" s="15" t="n"/>
      <c r="AN228" s="15" t="n"/>
      <c r="AO228" s="15" t="n"/>
      <c r="AP228" s="10" t="n"/>
      <c r="AQ228" s="15" t="n"/>
      <c r="AR228" s="15" t="n"/>
    </row>
    <row r="229" ht="15" customHeight="1">
      <c r="A229" s="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6" t="n"/>
      <c r="N229" s="6" t="n"/>
      <c r="O229" s="6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9" t="n"/>
      <c r="AJ229" s="8" t="n"/>
      <c r="AK229" s="8" t="n"/>
      <c r="AL229" s="15" t="n"/>
      <c r="AM229" s="15" t="n"/>
      <c r="AN229" s="15" t="n"/>
      <c r="AO229" s="15" t="n"/>
      <c r="AP229" s="10" t="n"/>
      <c r="AQ229" s="15" t="n"/>
      <c r="AR229" s="15" t="n"/>
    </row>
    <row r="230" ht="15" customHeight="1">
      <c r="A230" s="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6" t="n"/>
      <c r="N230" s="6" t="n"/>
      <c r="O230" s="6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9" t="n"/>
      <c r="AJ230" s="8" t="n"/>
      <c r="AK230" s="8" t="n"/>
      <c r="AL230" s="15" t="n"/>
      <c r="AM230" s="15" t="n"/>
      <c r="AN230" s="15" t="n"/>
      <c r="AO230" s="15" t="n"/>
      <c r="AP230" s="10" t="n"/>
      <c r="AQ230" s="15" t="n"/>
      <c r="AR230" s="15" t="n"/>
    </row>
    <row r="231" ht="15" customHeight="1">
      <c r="A231" s="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6" t="n"/>
      <c r="N231" s="6" t="n"/>
      <c r="O231" s="6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9" t="n"/>
      <c r="AJ231" s="8" t="n"/>
      <c r="AK231" s="8" t="n"/>
      <c r="AL231" s="15" t="n"/>
      <c r="AM231" s="15" t="n"/>
      <c r="AN231" s="15" t="n"/>
      <c r="AO231" s="15" t="n"/>
      <c r="AP231" s="10" t="n"/>
      <c r="AQ231" s="15" t="n"/>
      <c r="AR231" s="15" t="n"/>
    </row>
    <row r="232" ht="15" customHeight="1">
      <c r="A232" s="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6" t="n"/>
      <c r="N232" s="6" t="n"/>
      <c r="O232" s="6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9" t="n"/>
      <c r="AJ232" s="8" t="n"/>
      <c r="AK232" s="8" t="n"/>
      <c r="AL232" s="15" t="n"/>
      <c r="AM232" s="15" t="n"/>
      <c r="AN232" s="15" t="n"/>
      <c r="AO232" s="15" t="n"/>
      <c r="AP232" s="10" t="n"/>
      <c r="AQ232" s="15" t="n"/>
      <c r="AR232" s="15" t="n"/>
    </row>
    <row r="233" ht="15" customHeight="1">
      <c r="A233" s="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6" t="n"/>
      <c r="N233" s="6" t="n"/>
      <c r="O233" s="6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9" t="n"/>
      <c r="AJ233" s="8" t="n"/>
      <c r="AK233" s="8" t="n"/>
      <c r="AL233" s="15" t="n"/>
      <c r="AM233" s="15" t="n"/>
      <c r="AN233" s="15" t="n"/>
      <c r="AO233" s="15" t="n"/>
      <c r="AP233" s="10" t="n"/>
      <c r="AQ233" s="15" t="n"/>
      <c r="AR233" s="15" t="n"/>
    </row>
    <row r="234" ht="15" customHeight="1">
      <c r="A234" s="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6" t="n"/>
      <c r="N234" s="6" t="n"/>
      <c r="O234" s="6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9" t="n"/>
      <c r="AJ234" s="8" t="n"/>
      <c r="AK234" s="8" t="n"/>
      <c r="AL234" s="15" t="n"/>
      <c r="AM234" s="15" t="n"/>
      <c r="AN234" s="15" t="n"/>
      <c r="AO234" s="15" t="n"/>
      <c r="AP234" s="10" t="n"/>
      <c r="AQ234" s="15" t="n"/>
      <c r="AR234" s="15" t="n"/>
    </row>
    <row r="235" ht="15" customHeight="1">
      <c r="A235" s="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6" t="n"/>
      <c r="N235" s="6" t="n"/>
      <c r="O235" s="6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9" t="n"/>
      <c r="AJ235" s="8" t="n"/>
      <c r="AK235" s="8" t="n"/>
      <c r="AL235" s="15" t="n"/>
      <c r="AM235" s="15" t="n"/>
      <c r="AN235" s="15" t="n"/>
      <c r="AO235" s="15" t="n"/>
      <c r="AP235" s="10" t="n"/>
      <c r="AQ235" s="15" t="n"/>
      <c r="AR235" s="15" t="n"/>
    </row>
    <row r="236" ht="15" customHeight="1">
      <c r="A236" s="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6" t="n"/>
      <c r="N236" s="6" t="n"/>
      <c r="O236" s="6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9" t="n"/>
      <c r="AJ236" s="8" t="n"/>
      <c r="AK236" s="8" t="n"/>
      <c r="AL236" s="15" t="n"/>
      <c r="AM236" s="15" t="n"/>
      <c r="AN236" s="15" t="n"/>
      <c r="AO236" s="15" t="n"/>
      <c r="AP236" s="10" t="n"/>
      <c r="AQ236" s="15" t="n"/>
      <c r="AR236" s="15" t="n"/>
    </row>
    <row r="237" ht="15" customHeight="1">
      <c r="A237" s="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6" t="n"/>
      <c r="N237" s="6" t="n"/>
      <c r="O237" s="6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9" t="n"/>
      <c r="AJ237" s="8" t="n"/>
      <c r="AK237" s="8" t="n"/>
      <c r="AL237" s="15" t="n"/>
      <c r="AM237" s="15" t="n"/>
      <c r="AN237" s="15" t="n"/>
      <c r="AO237" s="15" t="n"/>
      <c r="AP237" s="10" t="n"/>
      <c r="AQ237" s="15" t="n"/>
      <c r="AR237" s="15" t="n"/>
    </row>
    <row r="238" ht="15" customHeight="1">
      <c r="A238" s="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6" t="n"/>
      <c r="N238" s="6" t="n"/>
      <c r="O238" s="6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9" t="n"/>
      <c r="AJ238" s="8" t="n"/>
      <c r="AK238" s="8" t="n"/>
      <c r="AL238" s="15" t="n"/>
      <c r="AM238" s="15" t="n"/>
      <c r="AN238" s="15" t="n"/>
      <c r="AO238" s="15" t="n"/>
      <c r="AP238" s="10" t="n"/>
      <c r="AQ238" s="15" t="n"/>
      <c r="AR238" s="15" t="n"/>
    </row>
    <row r="239" ht="15" customHeight="1">
      <c r="A239" s="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6" t="n"/>
      <c r="N239" s="6" t="n"/>
      <c r="O239" s="6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9" t="n"/>
      <c r="AJ239" s="8" t="n"/>
      <c r="AK239" s="8" t="n"/>
      <c r="AL239" s="15" t="n"/>
      <c r="AM239" s="15" t="n"/>
      <c r="AN239" s="15" t="n"/>
      <c r="AO239" s="15" t="n"/>
      <c r="AP239" s="10" t="n"/>
      <c r="AQ239" s="15" t="n"/>
      <c r="AR239" s="15" t="n"/>
    </row>
    <row r="240" ht="15" customHeight="1">
      <c r="A240" s="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6" t="n"/>
      <c r="N240" s="6" t="n"/>
      <c r="O240" s="6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9" t="n"/>
      <c r="AJ240" s="8" t="n"/>
      <c r="AK240" s="8" t="n"/>
      <c r="AL240" s="15" t="n"/>
      <c r="AM240" s="15" t="n"/>
      <c r="AN240" s="15" t="n"/>
      <c r="AO240" s="15" t="n"/>
      <c r="AP240" s="10" t="n"/>
      <c r="AQ240" s="15" t="n"/>
      <c r="AR240" s="15" t="n"/>
    </row>
    <row r="241" ht="15" customHeight="1">
      <c r="A241" s="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6" t="n"/>
      <c r="N241" s="6" t="n"/>
      <c r="O241" s="6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9" t="n"/>
      <c r="AJ241" s="8" t="n"/>
      <c r="AK241" s="8" t="n"/>
      <c r="AL241" s="15" t="n"/>
      <c r="AM241" s="15" t="n"/>
      <c r="AN241" s="15" t="n"/>
      <c r="AO241" s="15" t="n"/>
      <c r="AP241" s="10" t="n"/>
      <c r="AQ241" s="15" t="n"/>
      <c r="AR241" s="15" t="n"/>
    </row>
    <row r="242" ht="15" customHeight="1">
      <c r="A242" s="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6" t="n"/>
      <c r="N242" s="6" t="n"/>
      <c r="O242" s="6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9" t="n"/>
      <c r="AJ242" s="8" t="n"/>
      <c r="AK242" s="8" t="n"/>
      <c r="AL242" s="15" t="n"/>
      <c r="AM242" s="15" t="n"/>
      <c r="AN242" s="15" t="n"/>
      <c r="AO242" s="15" t="n"/>
      <c r="AP242" s="10" t="n"/>
      <c r="AQ242" s="15" t="n"/>
      <c r="AR242" s="15" t="n"/>
    </row>
    <row r="243" ht="15" customHeight="1">
      <c r="A243" s="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6" t="n"/>
      <c r="N243" s="6" t="n"/>
      <c r="O243" s="6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9" t="n"/>
      <c r="AJ243" s="8" t="n"/>
      <c r="AK243" s="8" t="n"/>
      <c r="AL243" s="15" t="n"/>
      <c r="AM243" s="15" t="n"/>
      <c r="AN243" s="15" t="n"/>
      <c r="AO243" s="15" t="n"/>
      <c r="AP243" s="10" t="n"/>
      <c r="AQ243" s="15" t="n"/>
      <c r="AR243" s="15" t="n"/>
    </row>
    <row r="244" ht="15" customHeight="1">
      <c r="A244" s="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6" t="n"/>
      <c r="N244" s="6" t="n"/>
      <c r="O244" s="6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9" t="n"/>
      <c r="AJ244" s="8" t="n"/>
      <c r="AK244" s="8" t="n"/>
      <c r="AL244" s="15" t="n"/>
      <c r="AM244" s="15" t="n"/>
      <c r="AN244" s="15" t="n"/>
      <c r="AO244" s="15" t="n"/>
      <c r="AP244" s="10" t="n"/>
      <c r="AQ244" s="15" t="n"/>
      <c r="AR244" s="15" t="n"/>
    </row>
    <row r="245" ht="15" customHeight="1">
      <c r="A245" s="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6" t="n"/>
      <c r="N245" s="6" t="n"/>
      <c r="O245" s="6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9" t="n"/>
      <c r="AJ245" s="8" t="n"/>
      <c r="AK245" s="8" t="n"/>
      <c r="AL245" s="15" t="n"/>
      <c r="AM245" s="15" t="n"/>
      <c r="AN245" s="15" t="n"/>
      <c r="AO245" s="15" t="n"/>
      <c r="AP245" s="10" t="n"/>
      <c r="AQ245" s="15" t="n"/>
      <c r="AR245" s="15" t="n"/>
    </row>
    <row r="246" ht="15" customHeight="1">
      <c r="A246" s="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6" t="n"/>
      <c r="N246" s="6" t="n"/>
      <c r="O246" s="6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9" t="n"/>
      <c r="AJ246" s="8" t="n"/>
      <c r="AK246" s="8" t="n"/>
      <c r="AL246" s="15" t="n"/>
      <c r="AM246" s="15" t="n"/>
      <c r="AN246" s="15" t="n"/>
      <c r="AO246" s="15" t="n"/>
      <c r="AP246" s="10" t="n"/>
      <c r="AQ246" s="15" t="n"/>
      <c r="AR246" s="15" t="n"/>
    </row>
    <row r="247" ht="15" customHeight="1">
      <c r="A247" s="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6" t="n"/>
      <c r="N247" s="6" t="n"/>
      <c r="O247" s="6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9" t="n"/>
      <c r="AJ247" s="8" t="n"/>
      <c r="AK247" s="8" t="n"/>
      <c r="AL247" s="15" t="n"/>
      <c r="AM247" s="15" t="n"/>
      <c r="AN247" s="15" t="n"/>
      <c r="AO247" s="15" t="n"/>
      <c r="AP247" s="10" t="n"/>
      <c r="AQ247" s="15" t="n"/>
      <c r="AR247" s="15" t="n"/>
    </row>
    <row r="248" ht="15" customHeight="1">
      <c r="A248" s="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6" t="n"/>
      <c r="N248" s="6" t="n"/>
      <c r="O248" s="6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9" t="n"/>
      <c r="AJ248" s="8" t="n"/>
      <c r="AK248" s="8" t="n"/>
      <c r="AL248" s="15" t="n"/>
      <c r="AM248" s="15" t="n"/>
      <c r="AN248" s="15" t="n"/>
      <c r="AO248" s="15" t="n"/>
      <c r="AP248" s="10" t="n"/>
      <c r="AQ248" s="15" t="n"/>
      <c r="AR248" s="15" t="n"/>
    </row>
    <row r="249" ht="15" customHeight="1">
      <c r="A249" s="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6" t="n"/>
      <c r="N249" s="6" t="n"/>
      <c r="O249" s="6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9" t="n"/>
      <c r="AJ249" s="8" t="n"/>
      <c r="AK249" s="8" t="n"/>
      <c r="AL249" s="15" t="n"/>
      <c r="AM249" s="15" t="n"/>
      <c r="AN249" s="15" t="n"/>
      <c r="AO249" s="15" t="n"/>
      <c r="AP249" s="10" t="n"/>
      <c r="AQ249" s="15" t="n"/>
      <c r="AR249" s="15" t="n"/>
    </row>
    <row r="250" ht="15" customHeight="1">
      <c r="A250" s="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6" t="n"/>
      <c r="N250" s="6" t="n"/>
      <c r="O250" s="6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9" t="n"/>
      <c r="AJ250" s="8" t="n"/>
      <c r="AK250" s="8" t="n"/>
      <c r="AL250" s="15" t="n"/>
      <c r="AM250" s="15" t="n"/>
      <c r="AN250" s="15" t="n"/>
      <c r="AO250" s="15" t="n"/>
      <c r="AP250" s="10" t="n"/>
      <c r="AQ250" s="15" t="n"/>
      <c r="AR250" s="15" t="n"/>
    </row>
    <row r="251" ht="15" customHeight="1">
      <c r="A251" s="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6" t="n"/>
      <c r="N251" s="6" t="n"/>
      <c r="O251" s="6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9" t="n"/>
      <c r="AJ251" s="8" t="n"/>
      <c r="AK251" s="8" t="n"/>
      <c r="AL251" s="15" t="n"/>
      <c r="AM251" s="15" t="n"/>
      <c r="AN251" s="15" t="n"/>
      <c r="AO251" s="15" t="n"/>
      <c r="AP251" s="10" t="n"/>
      <c r="AQ251" s="15" t="n"/>
      <c r="AR251" s="15" t="n"/>
    </row>
    <row r="252" ht="15" customHeight="1">
      <c r="A252" s="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6" t="n"/>
      <c r="N252" s="6" t="n"/>
      <c r="O252" s="6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9" t="n"/>
      <c r="AJ252" s="8" t="n"/>
      <c r="AK252" s="8" t="n"/>
      <c r="AL252" s="15" t="n"/>
      <c r="AM252" s="15" t="n"/>
      <c r="AN252" s="15" t="n"/>
      <c r="AO252" s="15" t="n"/>
      <c r="AP252" s="10" t="n"/>
      <c r="AQ252" s="15" t="n"/>
      <c r="AR252" s="15" t="n"/>
    </row>
    <row r="253" ht="15" customHeight="1">
      <c r="A253" s="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6" t="n"/>
      <c r="N253" s="6" t="n"/>
      <c r="O253" s="6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9" t="n"/>
      <c r="AJ253" s="8" t="n"/>
      <c r="AK253" s="8" t="n"/>
      <c r="AL253" s="15" t="n"/>
      <c r="AM253" s="15" t="n"/>
      <c r="AN253" s="15" t="n"/>
      <c r="AO253" s="15" t="n"/>
      <c r="AP253" s="10" t="n"/>
      <c r="AQ253" s="15" t="n"/>
      <c r="AR253" s="15" t="n"/>
    </row>
    <row r="254" ht="15" customHeight="1">
      <c r="A254" s="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6" t="n"/>
      <c r="N254" s="6" t="n"/>
      <c r="O254" s="6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9" t="n"/>
      <c r="AJ254" s="8" t="n"/>
      <c r="AK254" s="8" t="n"/>
      <c r="AL254" s="15" t="n"/>
      <c r="AM254" s="15" t="n"/>
      <c r="AN254" s="15" t="n"/>
      <c r="AO254" s="15" t="n"/>
      <c r="AP254" s="10" t="n"/>
      <c r="AQ254" s="15" t="n"/>
      <c r="AR254" s="15" t="n"/>
    </row>
    <row r="255" ht="15" customHeight="1">
      <c r="A255" s="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6" t="n"/>
      <c r="N255" s="6" t="n"/>
      <c r="O255" s="6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9" t="n"/>
      <c r="AJ255" s="8" t="n"/>
      <c r="AK255" s="8" t="n"/>
      <c r="AL255" s="15" t="n"/>
      <c r="AM255" s="15" t="n"/>
      <c r="AN255" s="15" t="n"/>
      <c r="AO255" s="15" t="n"/>
      <c r="AP255" s="10" t="n"/>
      <c r="AQ255" s="15" t="n"/>
      <c r="AR255" s="15" t="n"/>
    </row>
    <row r="256" ht="15" customHeight="1">
      <c r="A256" s="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6" t="n"/>
      <c r="N256" s="6" t="n"/>
      <c r="O256" s="6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9" t="n"/>
      <c r="AJ256" s="8" t="n"/>
      <c r="AK256" s="8" t="n"/>
      <c r="AL256" s="15" t="n"/>
      <c r="AM256" s="15" t="n"/>
      <c r="AN256" s="15" t="n"/>
      <c r="AO256" s="15" t="n"/>
      <c r="AP256" s="10" t="n"/>
      <c r="AQ256" s="15" t="n"/>
      <c r="AR256" s="15" t="n"/>
    </row>
    <row r="257" ht="15" customHeight="1">
      <c r="A257" s="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6" t="n"/>
      <c r="N257" s="6" t="n"/>
      <c r="O257" s="6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9" t="n"/>
      <c r="AJ257" s="8" t="n"/>
      <c r="AK257" s="8" t="n"/>
      <c r="AL257" s="15" t="n"/>
      <c r="AM257" s="15" t="n"/>
      <c r="AN257" s="15" t="n"/>
      <c r="AO257" s="15" t="n"/>
      <c r="AP257" s="10" t="n"/>
      <c r="AQ257" s="15" t="n"/>
      <c r="AR257" s="15" t="n"/>
    </row>
    <row r="258" ht="15" customHeight="1">
      <c r="A258" s="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6" t="n"/>
      <c r="N258" s="6" t="n"/>
      <c r="O258" s="6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9" t="n"/>
      <c r="AJ258" s="8" t="n"/>
      <c r="AK258" s="8" t="n"/>
      <c r="AL258" s="15" t="n"/>
      <c r="AM258" s="15" t="n"/>
      <c r="AN258" s="15" t="n"/>
      <c r="AO258" s="15" t="n"/>
      <c r="AP258" s="10" t="n"/>
      <c r="AQ258" s="15" t="n"/>
      <c r="AR258" s="15" t="n"/>
    </row>
    <row r="259" ht="15" customHeight="1">
      <c r="A259" s="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6" t="n"/>
      <c r="N259" s="6" t="n"/>
      <c r="O259" s="6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9" t="n"/>
      <c r="AJ259" s="8" t="n"/>
      <c r="AK259" s="8" t="n"/>
      <c r="AL259" s="15" t="n"/>
      <c r="AM259" s="15" t="n"/>
      <c r="AN259" s="15" t="n"/>
      <c r="AO259" s="15" t="n"/>
      <c r="AP259" s="10" t="n"/>
      <c r="AQ259" s="15" t="n"/>
      <c r="AR259" s="15" t="n"/>
    </row>
    <row r="260" ht="15" customHeight="1">
      <c r="A260" s="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6" t="n"/>
      <c r="N260" s="6" t="n"/>
      <c r="O260" s="6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9" t="n"/>
      <c r="AJ260" s="8" t="n"/>
      <c r="AK260" s="8" t="n"/>
      <c r="AL260" s="15" t="n"/>
      <c r="AM260" s="15" t="n"/>
      <c r="AN260" s="15" t="n"/>
      <c r="AO260" s="15" t="n"/>
      <c r="AP260" s="10" t="n"/>
      <c r="AQ260" s="15" t="n"/>
      <c r="AR260" s="15" t="n"/>
    </row>
    <row r="261" ht="15" customHeight="1">
      <c r="A261" s="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6" t="n"/>
      <c r="N261" s="6" t="n"/>
      <c r="O261" s="6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9" t="n"/>
      <c r="AJ261" s="8" t="n"/>
      <c r="AK261" s="8" t="n"/>
      <c r="AL261" s="15" t="n"/>
      <c r="AM261" s="15" t="n"/>
      <c r="AN261" s="15" t="n"/>
      <c r="AO261" s="15" t="n"/>
      <c r="AP261" s="10" t="n"/>
      <c r="AQ261" s="15" t="n"/>
      <c r="AR261" s="15" t="n"/>
    </row>
    <row r="262" ht="15" customHeight="1">
      <c r="A262" s="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6" t="n"/>
      <c r="N262" s="6" t="n"/>
      <c r="O262" s="6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9" t="n"/>
      <c r="AJ262" s="8" t="n"/>
      <c r="AK262" s="8" t="n"/>
      <c r="AL262" s="15" t="n"/>
      <c r="AM262" s="15" t="n"/>
      <c r="AN262" s="15" t="n"/>
      <c r="AO262" s="15" t="n"/>
      <c r="AP262" s="10" t="n"/>
      <c r="AQ262" s="15" t="n"/>
      <c r="AR262" s="15" t="n"/>
    </row>
    <row r="263" ht="15" customHeight="1">
      <c r="A263" s="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6" t="n"/>
      <c r="N263" s="6" t="n"/>
      <c r="O263" s="6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9" t="n"/>
      <c r="AJ263" s="8" t="n"/>
      <c r="AK263" s="8" t="n"/>
      <c r="AL263" s="15" t="n"/>
      <c r="AM263" s="15" t="n"/>
      <c r="AN263" s="15" t="n"/>
      <c r="AO263" s="15" t="n"/>
      <c r="AP263" s="10" t="n"/>
      <c r="AQ263" s="15" t="n"/>
      <c r="AR263" s="15" t="n"/>
    </row>
    <row r="264" ht="15" customHeight="1">
      <c r="A264" s="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6" t="n"/>
      <c r="N264" s="6" t="n"/>
      <c r="O264" s="6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9" t="n"/>
      <c r="AJ264" s="8" t="n"/>
      <c r="AK264" s="8" t="n"/>
      <c r="AL264" s="15" t="n"/>
      <c r="AM264" s="15" t="n"/>
      <c r="AN264" s="15" t="n"/>
      <c r="AO264" s="15" t="n"/>
      <c r="AP264" s="10" t="n"/>
      <c r="AQ264" s="15" t="n"/>
      <c r="AR264" s="15" t="n"/>
    </row>
    <row r="265" ht="15" customHeight="1">
      <c r="A265" s="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6" t="n"/>
      <c r="N265" s="6" t="n"/>
      <c r="O265" s="6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9" t="n"/>
      <c r="AJ265" s="8" t="n"/>
      <c r="AK265" s="8" t="n"/>
      <c r="AL265" s="15" t="n"/>
      <c r="AM265" s="15" t="n"/>
      <c r="AN265" s="15" t="n"/>
      <c r="AO265" s="15" t="n"/>
      <c r="AP265" s="10" t="n"/>
      <c r="AQ265" s="15" t="n"/>
      <c r="AR265" s="15" t="n"/>
    </row>
    <row r="266" ht="15" customHeight="1">
      <c r="A266" s="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6" t="n"/>
      <c r="N266" s="6" t="n"/>
      <c r="O266" s="6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9" t="n"/>
      <c r="AJ266" s="8" t="n"/>
      <c r="AK266" s="8" t="n"/>
      <c r="AL266" s="15" t="n"/>
      <c r="AM266" s="15" t="n"/>
      <c r="AN266" s="15" t="n"/>
      <c r="AO266" s="15" t="n"/>
      <c r="AP266" s="10" t="n"/>
      <c r="AQ266" s="15" t="n"/>
      <c r="AR266" s="15" t="n"/>
    </row>
    <row r="267" ht="15" customHeight="1">
      <c r="A267" s="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6" t="n"/>
      <c r="N267" s="6" t="n"/>
      <c r="O267" s="6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9" t="n"/>
      <c r="AJ267" s="8" t="n"/>
      <c r="AK267" s="8" t="n"/>
      <c r="AL267" s="15" t="n"/>
      <c r="AM267" s="15" t="n"/>
      <c r="AN267" s="15" t="n"/>
      <c r="AO267" s="15" t="n"/>
      <c r="AP267" s="10" t="n"/>
      <c r="AQ267" s="15" t="n"/>
      <c r="AR267" s="15" t="n"/>
    </row>
    <row r="268" ht="15" customHeight="1">
      <c r="A268" s="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6" t="n"/>
      <c r="N268" s="6" t="n"/>
      <c r="O268" s="6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9" t="n"/>
      <c r="AJ268" s="8" t="n"/>
      <c r="AK268" s="8" t="n"/>
      <c r="AL268" s="15" t="n"/>
      <c r="AM268" s="15" t="n"/>
      <c r="AN268" s="15" t="n"/>
      <c r="AO268" s="15" t="n"/>
      <c r="AP268" s="10" t="n"/>
      <c r="AQ268" s="15" t="n"/>
      <c r="AR268" s="15" t="n"/>
    </row>
    <row r="269" ht="15" customHeight="1">
      <c r="A269" s="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6" t="n"/>
      <c r="N269" s="6" t="n"/>
      <c r="O269" s="6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9" t="n"/>
      <c r="AJ269" s="8" t="n"/>
      <c r="AK269" s="8" t="n"/>
      <c r="AL269" s="15" t="n"/>
      <c r="AM269" s="15" t="n"/>
      <c r="AN269" s="15" t="n"/>
      <c r="AO269" s="15" t="n"/>
      <c r="AP269" s="10" t="n"/>
      <c r="AQ269" s="15" t="n"/>
      <c r="AR269" s="15" t="n"/>
    </row>
    <row r="270" ht="15" customHeight="1">
      <c r="A270" s="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6" t="n"/>
      <c r="N270" s="6" t="n"/>
      <c r="O270" s="6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9" t="n"/>
      <c r="AJ270" s="8" t="n"/>
      <c r="AK270" s="8" t="n"/>
      <c r="AL270" s="15" t="n"/>
      <c r="AM270" s="15" t="n"/>
      <c r="AN270" s="15" t="n"/>
      <c r="AO270" s="15" t="n"/>
      <c r="AP270" s="10" t="n"/>
      <c r="AQ270" s="15" t="n"/>
      <c r="AR270" s="15" t="n"/>
    </row>
    <row r="271" ht="15" customHeight="1">
      <c r="A271" s="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6" t="n"/>
      <c r="N271" s="6" t="n"/>
      <c r="O271" s="6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9" t="n"/>
      <c r="AJ271" s="8" t="n"/>
      <c r="AK271" s="8" t="n"/>
      <c r="AL271" s="15" t="n"/>
      <c r="AM271" s="15" t="n"/>
      <c r="AN271" s="15" t="n"/>
      <c r="AO271" s="15" t="n"/>
      <c r="AP271" s="10" t="n"/>
      <c r="AQ271" s="15" t="n"/>
      <c r="AR271" s="15" t="n"/>
    </row>
    <row r="272" ht="15" customHeight="1">
      <c r="A272" s="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6" t="n"/>
      <c r="N272" s="6" t="n"/>
      <c r="O272" s="6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9" t="n"/>
      <c r="AJ272" s="8" t="n"/>
      <c r="AK272" s="8" t="n"/>
      <c r="AL272" s="15" t="n"/>
      <c r="AM272" s="15" t="n"/>
      <c r="AN272" s="15" t="n"/>
      <c r="AO272" s="15" t="n"/>
      <c r="AP272" s="10" t="n"/>
      <c r="AQ272" s="15" t="n"/>
      <c r="AR272" s="15" t="n"/>
    </row>
    <row r="273" ht="15" customHeight="1">
      <c r="A273" s="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6" t="n"/>
      <c r="N273" s="6" t="n"/>
      <c r="O273" s="6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9" t="n"/>
      <c r="AJ273" s="8" t="n"/>
      <c r="AK273" s="8" t="n"/>
      <c r="AL273" s="15" t="n"/>
      <c r="AM273" s="15" t="n"/>
      <c r="AN273" s="15" t="n"/>
      <c r="AO273" s="15" t="n"/>
      <c r="AP273" s="10" t="n"/>
      <c r="AQ273" s="15" t="n"/>
      <c r="AR273" s="15" t="n"/>
    </row>
    <row r="274" ht="15" customHeight="1">
      <c r="A274" s="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6" t="n"/>
      <c r="N274" s="6" t="n"/>
      <c r="O274" s="6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9" t="n"/>
      <c r="AJ274" s="8" t="n"/>
      <c r="AK274" s="8" t="n"/>
      <c r="AL274" s="15" t="n"/>
      <c r="AM274" s="15" t="n"/>
      <c r="AN274" s="15" t="n"/>
      <c r="AO274" s="15" t="n"/>
      <c r="AP274" s="10" t="n"/>
      <c r="AQ274" s="15" t="n"/>
      <c r="AR274" s="15" t="n"/>
    </row>
    <row r="275" ht="15" customHeight="1">
      <c r="A275" s="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6" t="n"/>
      <c r="N275" s="6" t="n"/>
      <c r="O275" s="6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9" t="n"/>
      <c r="AJ275" s="8" t="n"/>
      <c r="AK275" s="8" t="n"/>
      <c r="AL275" s="15" t="n"/>
      <c r="AM275" s="15" t="n"/>
      <c r="AN275" s="15" t="n"/>
      <c r="AO275" s="15" t="n"/>
      <c r="AP275" s="10" t="n"/>
      <c r="AQ275" s="15" t="n"/>
      <c r="AR275" s="15" t="n"/>
    </row>
    <row r="276" ht="15" customHeight="1">
      <c r="A276" s="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6" t="n"/>
      <c r="N276" s="6" t="n"/>
      <c r="O276" s="6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9" t="n"/>
      <c r="AJ276" s="8" t="n"/>
      <c r="AK276" s="8" t="n"/>
      <c r="AL276" s="15" t="n"/>
      <c r="AM276" s="15" t="n"/>
      <c r="AN276" s="15" t="n"/>
      <c r="AO276" s="15" t="n"/>
      <c r="AP276" s="10" t="n"/>
      <c r="AQ276" s="15" t="n"/>
      <c r="AR276" s="15" t="n"/>
    </row>
    <row r="277" ht="15" customHeight="1">
      <c r="A277" s="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6" t="n"/>
      <c r="N277" s="6" t="n"/>
      <c r="O277" s="6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9" t="n"/>
      <c r="AJ277" s="8" t="n"/>
      <c r="AK277" s="8" t="n"/>
      <c r="AL277" s="15" t="n"/>
      <c r="AM277" s="15" t="n"/>
      <c r="AN277" s="15" t="n"/>
      <c r="AO277" s="15" t="n"/>
      <c r="AP277" s="10" t="n"/>
      <c r="AQ277" s="15" t="n"/>
      <c r="AR277" s="15" t="n"/>
    </row>
    <row r="278" ht="15" customHeight="1">
      <c r="A278" s="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6" t="n"/>
      <c r="N278" s="6" t="n"/>
      <c r="O278" s="6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9" t="n"/>
      <c r="AJ278" s="8" t="n"/>
      <c r="AK278" s="8" t="n"/>
      <c r="AL278" s="15" t="n"/>
      <c r="AM278" s="15" t="n"/>
      <c r="AN278" s="15" t="n"/>
      <c r="AO278" s="15" t="n"/>
      <c r="AP278" s="10" t="n"/>
      <c r="AQ278" s="15" t="n"/>
      <c r="AR278" s="15" t="n"/>
    </row>
    <row r="279" ht="15" customHeight="1">
      <c r="A279" s="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6" t="n"/>
      <c r="N279" s="6" t="n"/>
      <c r="O279" s="6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9" t="n"/>
      <c r="AJ279" s="8" t="n"/>
      <c r="AK279" s="8" t="n"/>
      <c r="AL279" s="15" t="n"/>
      <c r="AM279" s="15" t="n"/>
      <c r="AN279" s="15" t="n"/>
      <c r="AO279" s="15" t="n"/>
      <c r="AP279" s="10" t="n"/>
      <c r="AQ279" s="15" t="n"/>
      <c r="AR279" s="15" t="n"/>
    </row>
    <row r="280" ht="15" customHeight="1">
      <c r="A280" s="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6" t="n"/>
      <c r="N280" s="6" t="n"/>
      <c r="O280" s="6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9" t="n"/>
      <c r="AJ280" s="8" t="n"/>
      <c r="AK280" s="8" t="n"/>
      <c r="AL280" s="15" t="n"/>
      <c r="AM280" s="15" t="n"/>
      <c r="AN280" s="15" t="n"/>
      <c r="AO280" s="15" t="n"/>
      <c r="AP280" s="10" t="n"/>
      <c r="AQ280" s="15" t="n"/>
      <c r="AR280" s="15" t="n"/>
    </row>
    <row r="281" ht="15" customHeight="1">
      <c r="A281" s="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6" t="n"/>
      <c r="N281" s="6" t="n"/>
      <c r="O281" s="6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9" t="n"/>
      <c r="AJ281" s="8" t="n"/>
      <c r="AK281" s="8" t="n"/>
      <c r="AL281" s="15" t="n"/>
      <c r="AM281" s="15" t="n"/>
      <c r="AN281" s="15" t="n"/>
      <c r="AO281" s="15" t="n"/>
      <c r="AP281" s="10" t="n"/>
      <c r="AQ281" s="15" t="n"/>
      <c r="AR281" s="15" t="n"/>
    </row>
    <row r="282" ht="15" customHeight="1">
      <c r="A282" s="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6" t="n"/>
      <c r="N282" s="6" t="n"/>
      <c r="O282" s="6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9" t="n"/>
      <c r="AJ282" s="8" t="n"/>
      <c r="AK282" s="8" t="n"/>
      <c r="AL282" s="15" t="n"/>
      <c r="AM282" s="15" t="n"/>
      <c r="AN282" s="15" t="n"/>
      <c r="AO282" s="15" t="n"/>
      <c r="AP282" s="10" t="n"/>
      <c r="AQ282" s="15" t="n"/>
      <c r="AR282" s="15" t="n"/>
    </row>
    <row r="283" ht="15" customHeight="1">
      <c r="A283" s="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6" t="n"/>
      <c r="N283" s="6" t="n"/>
      <c r="O283" s="6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9" t="n"/>
      <c r="AJ283" s="8" t="n"/>
      <c r="AK283" s="8" t="n"/>
      <c r="AL283" s="15" t="n"/>
      <c r="AM283" s="15" t="n"/>
      <c r="AN283" s="15" t="n"/>
      <c r="AO283" s="15" t="n"/>
      <c r="AP283" s="10" t="n"/>
      <c r="AQ283" s="15" t="n"/>
      <c r="AR283" s="15" t="n"/>
    </row>
    <row r="284" ht="15" customHeight="1">
      <c r="A284" s="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6" t="n"/>
      <c r="N284" s="6" t="n"/>
      <c r="O284" s="6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9" t="n"/>
      <c r="AJ284" s="8" t="n"/>
      <c r="AK284" s="8" t="n"/>
      <c r="AL284" s="15" t="n"/>
      <c r="AM284" s="15" t="n"/>
      <c r="AN284" s="15" t="n"/>
      <c r="AO284" s="15" t="n"/>
      <c r="AP284" s="10" t="n"/>
      <c r="AQ284" s="15" t="n"/>
      <c r="AR284" s="15" t="n"/>
    </row>
    <row r="285" ht="15" customHeight="1">
      <c r="A285" s="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6" t="n"/>
      <c r="N285" s="6" t="n"/>
      <c r="O285" s="6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9" t="n"/>
      <c r="AJ285" s="8" t="n"/>
      <c r="AK285" s="8" t="n"/>
      <c r="AL285" s="15" t="n"/>
      <c r="AM285" s="15" t="n"/>
      <c r="AN285" s="15" t="n"/>
      <c r="AO285" s="15" t="n"/>
      <c r="AP285" s="10" t="n"/>
      <c r="AQ285" s="15" t="n"/>
      <c r="AR285" s="15" t="n"/>
    </row>
    <row r="286" ht="15" customHeight="1">
      <c r="A286" s="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6" t="n"/>
      <c r="N286" s="6" t="n"/>
      <c r="O286" s="6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9" t="n"/>
      <c r="AJ286" s="8" t="n"/>
      <c r="AK286" s="8" t="n"/>
      <c r="AL286" s="15" t="n"/>
      <c r="AM286" s="15" t="n"/>
      <c r="AN286" s="15" t="n"/>
      <c r="AO286" s="15" t="n"/>
      <c r="AP286" s="10" t="n"/>
      <c r="AQ286" s="15" t="n"/>
      <c r="AR286" s="15" t="n"/>
    </row>
    <row r="287" ht="15" customHeight="1">
      <c r="A287" s="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6" t="n"/>
      <c r="N287" s="6" t="n"/>
      <c r="O287" s="6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9" t="n"/>
      <c r="AJ287" s="8" t="n"/>
      <c r="AK287" s="8" t="n"/>
      <c r="AL287" s="15" t="n"/>
      <c r="AM287" s="15" t="n"/>
      <c r="AN287" s="15" t="n"/>
      <c r="AO287" s="15" t="n"/>
      <c r="AP287" s="10" t="n"/>
      <c r="AQ287" s="15" t="n"/>
      <c r="AR287" s="15" t="n"/>
    </row>
    <row r="288" ht="15" customHeight="1">
      <c r="A288" s="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6" t="n"/>
      <c r="N288" s="6" t="n"/>
      <c r="O288" s="6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9" t="n"/>
      <c r="AJ288" s="8" t="n"/>
      <c r="AK288" s="8" t="n"/>
      <c r="AL288" s="15" t="n"/>
      <c r="AM288" s="15" t="n"/>
      <c r="AN288" s="15" t="n"/>
      <c r="AO288" s="15" t="n"/>
      <c r="AP288" s="10" t="n"/>
      <c r="AQ288" s="15" t="n"/>
      <c r="AR288" s="15" t="n"/>
    </row>
    <row r="289" ht="15" customHeight="1">
      <c r="A289" s="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6" t="n"/>
      <c r="N289" s="6" t="n"/>
      <c r="O289" s="6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9" t="n"/>
      <c r="AJ289" s="8" t="n"/>
      <c r="AK289" s="8" t="n"/>
      <c r="AL289" s="15" t="n"/>
      <c r="AM289" s="15" t="n"/>
      <c r="AN289" s="15" t="n"/>
      <c r="AO289" s="15" t="n"/>
      <c r="AP289" s="10" t="n"/>
      <c r="AQ289" s="15" t="n"/>
      <c r="AR289" s="15" t="n"/>
    </row>
    <row r="290" ht="15" customHeight="1">
      <c r="A290" s="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6" t="n"/>
      <c r="N290" s="6" t="n"/>
      <c r="O290" s="6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9" t="n"/>
      <c r="AJ290" s="8" t="n"/>
      <c r="AK290" s="8" t="n"/>
      <c r="AL290" s="15" t="n"/>
      <c r="AM290" s="15" t="n"/>
      <c r="AN290" s="15" t="n"/>
      <c r="AO290" s="15" t="n"/>
      <c r="AP290" s="10" t="n"/>
      <c r="AQ290" s="15" t="n"/>
      <c r="AR290" s="15" t="n"/>
    </row>
    <row r="291" ht="15" customHeight="1">
      <c r="A291" s="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6" t="n"/>
      <c r="N291" s="6" t="n"/>
      <c r="O291" s="6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9" t="n"/>
      <c r="AJ291" s="8" t="n"/>
      <c r="AK291" s="8" t="n"/>
      <c r="AL291" s="15" t="n"/>
      <c r="AM291" s="15" t="n"/>
      <c r="AN291" s="15" t="n"/>
      <c r="AO291" s="15" t="n"/>
      <c r="AP291" s="10" t="n"/>
      <c r="AQ291" s="15" t="n"/>
      <c r="AR291" s="15" t="n"/>
    </row>
    <row r="292" ht="15" customHeight="1">
      <c r="A292" s="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6" t="n"/>
      <c r="N292" s="6" t="n"/>
      <c r="O292" s="6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9" t="n"/>
      <c r="AJ292" s="8" t="n"/>
      <c r="AK292" s="8" t="n"/>
      <c r="AL292" s="15" t="n"/>
      <c r="AM292" s="15" t="n"/>
      <c r="AN292" s="15" t="n"/>
      <c r="AO292" s="15" t="n"/>
      <c r="AP292" s="10" t="n"/>
      <c r="AQ292" s="15" t="n"/>
      <c r="AR292" s="15" t="n"/>
    </row>
    <row r="293" ht="15" customHeight="1">
      <c r="A293" s="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6" t="n"/>
      <c r="N293" s="6" t="n"/>
      <c r="O293" s="6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9" t="n"/>
      <c r="AJ293" s="8" t="n"/>
      <c r="AK293" s="8" t="n"/>
      <c r="AL293" s="15" t="n"/>
      <c r="AM293" s="15" t="n"/>
      <c r="AN293" s="15" t="n"/>
      <c r="AO293" s="15" t="n"/>
      <c r="AP293" s="10" t="n"/>
      <c r="AQ293" s="15" t="n"/>
      <c r="AR293" s="15" t="n"/>
    </row>
    <row r="294" ht="15" customHeight="1">
      <c r="A294" s="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6" t="n"/>
      <c r="N294" s="6" t="n"/>
      <c r="O294" s="6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9" t="n"/>
      <c r="AJ294" s="8" t="n"/>
      <c r="AK294" s="8" t="n"/>
      <c r="AL294" s="15" t="n"/>
      <c r="AM294" s="15" t="n"/>
      <c r="AN294" s="15" t="n"/>
      <c r="AO294" s="15" t="n"/>
      <c r="AP294" s="10" t="n"/>
      <c r="AQ294" s="15" t="n"/>
      <c r="AR294" s="15" t="n"/>
    </row>
    <row r="295" ht="15" customHeight="1">
      <c r="A295" s="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6" t="n"/>
      <c r="N295" s="6" t="n"/>
      <c r="O295" s="6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9" t="n"/>
      <c r="AJ295" s="8" t="n"/>
      <c r="AK295" s="8" t="n"/>
      <c r="AL295" s="15" t="n"/>
      <c r="AM295" s="15" t="n"/>
      <c r="AN295" s="15" t="n"/>
      <c r="AO295" s="15" t="n"/>
      <c r="AP295" s="10" t="n"/>
      <c r="AQ295" s="15" t="n"/>
      <c r="AR295" s="15" t="n"/>
    </row>
    <row r="296" ht="15" customHeight="1">
      <c r="A296" s="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6" t="n"/>
      <c r="N296" s="6" t="n"/>
      <c r="O296" s="6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9" t="n"/>
      <c r="AJ296" s="8" t="n"/>
      <c r="AK296" s="8" t="n"/>
      <c r="AL296" s="15" t="n"/>
      <c r="AM296" s="15" t="n"/>
      <c r="AN296" s="15" t="n"/>
      <c r="AO296" s="15" t="n"/>
      <c r="AP296" s="10" t="n"/>
      <c r="AQ296" s="15" t="n"/>
      <c r="AR296" s="15" t="n"/>
    </row>
    <row r="297" ht="15" customHeight="1">
      <c r="A297" s="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6" t="n"/>
      <c r="N297" s="6" t="n"/>
      <c r="O297" s="6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9" t="n"/>
      <c r="AJ297" s="8" t="n"/>
      <c r="AK297" s="8" t="n"/>
      <c r="AL297" s="15" t="n"/>
      <c r="AM297" s="15" t="n"/>
      <c r="AN297" s="15" t="n"/>
      <c r="AO297" s="15" t="n"/>
      <c r="AP297" s="10" t="n"/>
      <c r="AQ297" s="15" t="n"/>
      <c r="AR297" s="15" t="n"/>
    </row>
    <row r="298" ht="15" customHeight="1">
      <c r="A298" s="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6" t="n"/>
      <c r="N298" s="6" t="n"/>
      <c r="O298" s="6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  <c r="AH298" s="8" t="n"/>
      <c r="AI298" s="9" t="n"/>
      <c r="AJ298" s="8" t="n"/>
      <c r="AK298" s="8" t="n"/>
      <c r="AL298" s="15" t="n"/>
      <c r="AM298" s="15" t="n"/>
      <c r="AN298" s="15" t="n"/>
      <c r="AO298" s="15" t="n"/>
      <c r="AP298" s="10" t="n"/>
      <c r="AQ298" s="15" t="n"/>
      <c r="AR298" s="15" t="n"/>
    </row>
    <row r="299" ht="15" customHeight="1">
      <c r="A299" s="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6" t="n"/>
      <c r="N299" s="6" t="n"/>
      <c r="O299" s="6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9" t="n"/>
      <c r="AJ299" s="8" t="n"/>
      <c r="AK299" s="8" t="n"/>
      <c r="AL299" s="15" t="n"/>
      <c r="AM299" s="15" t="n"/>
      <c r="AN299" s="15" t="n"/>
      <c r="AO299" s="15" t="n"/>
      <c r="AP299" s="10" t="n"/>
      <c r="AQ299" s="15" t="n"/>
      <c r="AR299" s="15" t="n"/>
    </row>
    <row r="300" ht="15" customHeight="1">
      <c r="A300" s="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6" t="n"/>
      <c r="N300" s="6" t="n"/>
      <c r="O300" s="6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9" t="n"/>
      <c r="AJ300" s="8" t="n"/>
      <c r="AK300" s="8" t="n"/>
      <c r="AL300" s="15" t="n"/>
      <c r="AM300" s="15" t="n"/>
      <c r="AN300" s="15" t="n"/>
      <c r="AO300" s="15" t="n"/>
      <c r="AP300" s="10" t="n"/>
      <c r="AQ300" s="15" t="n"/>
      <c r="AR300" s="15" t="n"/>
    </row>
    <row r="301" ht="15" customHeight="1">
      <c r="A301" s="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6" t="n"/>
      <c r="N301" s="6" t="n"/>
      <c r="O301" s="6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9" t="n"/>
      <c r="AJ301" s="8" t="n"/>
      <c r="AK301" s="8" t="n"/>
      <c r="AL301" s="15" t="n"/>
      <c r="AM301" s="15" t="n"/>
      <c r="AN301" s="15" t="n"/>
      <c r="AO301" s="15" t="n"/>
      <c r="AP301" s="10" t="n"/>
      <c r="AQ301" s="15" t="n"/>
      <c r="AR301" s="15" t="n"/>
    </row>
    <row r="302" ht="15" customHeight="1">
      <c r="A302" s="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6" t="n"/>
      <c r="N302" s="6" t="n"/>
      <c r="O302" s="6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9" t="n"/>
      <c r="AJ302" s="8" t="n"/>
      <c r="AK302" s="8" t="n"/>
      <c r="AL302" s="15" t="n"/>
      <c r="AM302" s="15" t="n"/>
      <c r="AN302" s="15" t="n"/>
      <c r="AO302" s="15" t="n"/>
      <c r="AP302" s="10" t="n"/>
      <c r="AQ302" s="15" t="n"/>
      <c r="AR302" s="15" t="n"/>
    </row>
    <row r="303" ht="15" customHeight="1">
      <c r="A303" s="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6" t="n"/>
      <c r="N303" s="6" t="n"/>
      <c r="O303" s="6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9" t="n"/>
      <c r="AJ303" s="8" t="n"/>
      <c r="AK303" s="8" t="n"/>
      <c r="AL303" s="15" t="n"/>
      <c r="AM303" s="15" t="n"/>
      <c r="AN303" s="15" t="n"/>
      <c r="AO303" s="15" t="n"/>
      <c r="AP303" s="10" t="n"/>
      <c r="AQ303" s="15" t="n"/>
      <c r="AR303" s="15" t="n"/>
    </row>
    <row r="304" ht="15" customHeight="1">
      <c r="A304" s="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6" t="n"/>
      <c r="N304" s="6" t="n"/>
      <c r="O304" s="6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9" t="n"/>
      <c r="AJ304" s="8" t="n"/>
      <c r="AK304" s="8" t="n"/>
      <c r="AL304" s="15" t="n"/>
      <c r="AM304" s="15" t="n"/>
      <c r="AN304" s="15" t="n"/>
      <c r="AO304" s="15" t="n"/>
      <c r="AP304" s="10" t="n"/>
      <c r="AQ304" s="15" t="n"/>
      <c r="AR304" s="15" t="n"/>
    </row>
    <row r="305" ht="15" customHeight="1">
      <c r="A305" s="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6" t="n"/>
      <c r="N305" s="6" t="n"/>
      <c r="O305" s="6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9" t="n"/>
      <c r="AJ305" s="8" t="n"/>
      <c r="AK305" s="8" t="n"/>
      <c r="AL305" s="15" t="n"/>
      <c r="AM305" s="15" t="n"/>
      <c r="AN305" s="15" t="n"/>
      <c r="AO305" s="15" t="n"/>
      <c r="AP305" s="10" t="n"/>
      <c r="AQ305" s="15" t="n"/>
      <c r="AR305" s="15" t="n"/>
    </row>
    <row r="306" ht="15" customHeight="1">
      <c r="A306" s="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6" t="n"/>
      <c r="N306" s="6" t="n"/>
      <c r="O306" s="6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8" t="n"/>
      <c r="Z306" s="8" t="n"/>
      <c r="AA306" s="8" t="n"/>
      <c r="AB306" s="8" t="n"/>
      <c r="AC306" s="8" t="n"/>
      <c r="AD306" s="8" t="n"/>
      <c r="AE306" s="8" t="n"/>
      <c r="AF306" s="8" t="n"/>
      <c r="AG306" s="8" t="n"/>
      <c r="AH306" s="8" t="n"/>
      <c r="AI306" s="9" t="n"/>
      <c r="AJ306" s="8" t="n"/>
      <c r="AK306" s="8" t="n"/>
      <c r="AL306" s="15" t="n"/>
      <c r="AM306" s="15" t="n"/>
      <c r="AN306" s="15" t="n"/>
      <c r="AO306" s="15" t="n"/>
      <c r="AP306" s="10" t="n"/>
      <c r="AQ306" s="15" t="n"/>
      <c r="AR306" s="15" t="n"/>
    </row>
    <row r="307" ht="15" customHeight="1">
      <c r="A307" s="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6" t="n"/>
      <c r="N307" s="6" t="n"/>
      <c r="O307" s="6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8" t="n"/>
      <c r="Z307" s="8" t="n"/>
      <c r="AA307" s="8" t="n"/>
      <c r="AB307" s="8" t="n"/>
      <c r="AC307" s="8" t="n"/>
      <c r="AD307" s="8" t="n"/>
      <c r="AE307" s="8" t="n"/>
      <c r="AF307" s="8" t="n"/>
      <c r="AG307" s="8" t="n"/>
      <c r="AH307" s="8" t="n"/>
      <c r="AI307" s="9" t="n"/>
      <c r="AJ307" s="8" t="n"/>
      <c r="AK307" s="8" t="n"/>
      <c r="AL307" s="15" t="n"/>
      <c r="AM307" s="15" t="n"/>
      <c r="AN307" s="15" t="n"/>
      <c r="AO307" s="15" t="n"/>
      <c r="AP307" s="10" t="n"/>
      <c r="AQ307" s="15" t="n"/>
      <c r="AR307" s="15" t="n"/>
    </row>
    <row r="308" ht="15" customHeight="1">
      <c r="A308" s="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6" t="n"/>
      <c r="N308" s="6" t="n"/>
      <c r="O308" s="6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9" t="n"/>
      <c r="AJ308" s="8" t="n"/>
      <c r="AK308" s="8" t="n"/>
      <c r="AL308" s="15" t="n"/>
      <c r="AM308" s="15" t="n"/>
      <c r="AN308" s="15" t="n"/>
      <c r="AO308" s="15" t="n"/>
      <c r="AP308" s="10" t="n"/>
      <c r="AQ308" s="15" t="n"/>
      <c r="AR308" s="15" t="n"/>
    </row>
    <row r="309" ht="15" customHeight="1">
      <c r="A309" s="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6" t="n"/>
      <c r="N309" s="6" t="n"/>
      <c r="O309" s="6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9" t="n"/>
      <c r="AJ309" s="8" t="n"/>
      <c r="AK309" s="8" t="n"/>
      <c r="AL309" s="15" t="n"/>
      <c r="AM309" s="15" t="n"/>
      <c r="AN309" s="15" t="n"/>
      <c r="AO309" s="15" t="n"/>
      <c r="AP309" s="10" t="n"/>
      <c r="AQ309" s="15" t="n"/>
      <c r="AR309" s="15" t="n"/>
    </row>
    <row r="310" ht="15" customHeight="1">
      <c r="A310" s="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6" t="n"/>
      <c r="N310" s="6" t="n"/>
      <c r="O310" s="6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  <c r="AH310" s="8" t="n"/>
      <c r="AI310" s="9" t="n"/>
      <c r="AJ310" s="8" t="n"/>
      <c r="AK310" s="8" t="n"/>
      <c r="AL310" s="15" t="n"/>
      <c r="AM310" s="15" t="n"/>
      <c r="AN310" s="15" t="n"/>
      <c r="AO310" s="15" t="n"/>
      <c r="AP310" s="10" t="n"/>
      <c r="AQ310" s="15" t="n"/>
      <c r="AR310" s="15" t="n"/>
    </row>
    <row r="311" ht="15" customHeight="1">
      <c r="A311" s="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6" t="n"/>
      <c r="N311" s="6" t="n"/>
      <c r="O311" s="6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9" t="n"/>
      <c r="AJ311" s="8" t="n"/>
      <c r="AK311" s="8" t="n"/>
      <c r="AL311" s="15" t="n"/>
      <c r="AM311" s="15" t="n"/>
      <c r="AN311" s="15" t="n"/>
      <c r="AO311" s="15" t="n"/>
      <c r="AP311" s="10" t="n"/>
      <c r="AQ311" s="15" t="n"/>
      <c r="AR311" s="15" t="n"/>
    </row>
    <row r="312" ht="15" customHeight="1">
      <c r="A312" s="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6" t="n"/>
      <c r="N312" s="6" t="n"/>
      <c r="O312" s="6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9" t="n"/>
      <c r="AJ312" s="8" t="n"/>
      <c r="AK312" s="8" t="n"/>
      <c r="AL312" s="15" t="n"/>
      <c r="AM312" s="15" t="n"/>
      <c r="AN312" s="15" t="n"/>
      <c r="AO312" s="15" t="n"/>
      <c r="AP312" s="10" t="n"/>
      <c r="AQ312" s="15" t="n"/>
      <c r="AR312" s="15" t="n"/>
    </row>
    <row r="313" ht="15" customHeight="1">
      <c r="A313" s="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6" t="n"/>
      <c r="N313" s="6" t="n"/>
      <c r="O313" s="6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9" t="n"/>
      <c r="AJ313" s="8" t="n"/>
      <c r="AK313" s="8" t="n"/>
      <c r="AL313" s="15" t="n"/>
      <c r="AM313" s="15" t="n"/>
      <c r="AN313" s="15" t="n"/>
      <c r="AO313" s="15" t="n"/>
      <c r="AP313" s="10" t="n"/>
      <c r="AQ313" s="15" t="n"/>
      <c r="AR313" s="15" t="n"/>
    </row>
    <row r="314" ht="15" customHeight="1">
      <c r="A314" s="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6" t="n"/>
      <c r="N314" s="6" t="n"/>
      <c r="O314" s="6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9" t="n"/>
      <c r="AJ314" s="8" t="n"/>
      <c r="AK314" s="8" t="n"/>
      <c r="AL314" s="15" t="n"/>
      <c r="AM314" s="15" t="n"/>
      <c r="AN314" s="15" t="n"/>
      <c r="AO314" s="15" t="n"/>
      <c r="AP314" s="10" t="n"/>
      <c r="AQ314" s="15" t="n"/>
      <c r="AR314" s="15" t="n"/>
    </row>
    <row r="315" ht="15" customHeight="1">
      <c r="A315" s="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6" t="n"/>
      <c r="N315" s="6" t="n"/>
      <c r="O315" s="6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9" t="n"/>
      <c r="AJ315" s="8" t="n"/>
      <c r="AK315" s="8" t="n"/>
      <c r="AL315" s="15" t="n"/>
      <c r="AM315" s="15" t="n"/>
      <c r="AN315" s="15" t="n"/>
      <c r="AO315" s="15" t="n"/>
      <c r="AP315" s="10" t="n"/>
      <c r="AQ315" s="15" t="n"/>
      <c r="AR315" s="15" t="n"/>
    </row>
    <row r="316" ht="15" customHeight="1">
      <c r="A316" s="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6" t="n"/>
      <c r="N316" s="6" t="n"/>
      <c r="O316" s="6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9" t="n"/>
      <c r="AJ316" s="8" t="n"/>
      <c r="AK316" s="8" t="n"/>
      <c r="AL316" s="15" t="n"/>
      <c r="AM316" s="15" t="n"/>
      <c r="AN316" s="15" t="n"/>
      <c r="AO316" s="15" t="n"/>
      <c r="AP316" s="10" t="n"/>
      <c r="AQ316" s="15" t="n"/>
      <c r="AR316" s="15" t="n"/>
    </row>
    <row r="317" ht="15" customHeight="1">
      <c r="A317" s="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6" t="n"/>
      <c r="N317" s="6" t="n"/>
      <c r="O317" s="6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9" t="n"/>
      <c r="AJ317" s="8" t="n"/>
      <c r="AK317" s="8" t="n"/>
      <c r="AL317" s="15" t="n"/>
      <c r="AM317" s="15" t="n"/>
      <c r="AN317" s="15" t="n"/>
      <c r="AO317" s="15" t="n"/>
      <c r="AP317" s="10" t="n"/>
      <c r="AQ317" s="15" t="n"/>
      <c r="AR317" s="15" t="n"/>
    </row>
    <row r="318" ht="15" customHeight="1">
      <c r="A318" s="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6" t="n"/>
      <c r="N318" s="6" t="n"/>
      <c r="O318" s="6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9" t="n"/>
      <c r="AJ318" s="8" t="n"/>
      <c r="AK318" s="8" t="n"/>
      <c r="AL318" s="15" t="n"/>
      <c r="AM318" s="15" t="n"/>
      <c r="AN318" s="15" t="n"/>
      <c r="AO318" s="15" t="n"/>
      <c r="AP318" s="10" t="n"/>
      <c r="AQ318" s="15" t="n"/>
      <c r="AR318" s="15" t="n"/>
    </row>
    <row r="319" ht="15" customHeight="1">
      <c r="A319" s="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6" t="n"/>
      <c r="N319" s="6" t="n"/>
      <c r="O319" s="6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9" t="n"/>
      <c r="AJ319" s="8" t="n"/>
      <c r="AK319" s="8" t="n"/>
      <c r="AL319" s="15" t="n"/>
      <c r="AM319" s="15" t="n"/>
      <c r="AN319" s="15" t="n"/>
      <c r="AO319" s="15" t="n"/>
      <c r="AP319" s="10" t="n"/>
      <c r="AQ319" s="15" t="n"/>
      <c r="AR319" s="15" t="n"/>
    </row>
    <row r="320" ht="15" customHeight="1">
      <c r="A320" s="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6" t="n"/>
      <c r="N320" s="6" t="n"/>
      <c r="O320" s="6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9" t="n"/>
      <c r="AJ320" s="8" t="n"/>
      <c r="AK320" s="8" t="n"/>
      <c r="AL320" s="15" t="n"/>
      <c r="AM320" s="15" t="n"/>
      <c r="AN320" s="15" t="n"/>
      <c r="AO320" s="15" t="n"/>
      <c r="AP320" s="10" t="n"/>
      <c r="AQ320" s="15" t="n"/>
      <c r="AR320" s="15" t="n"/>
    </row>
    <row r="321" ht="15" customHeight="1">
      <c r="A321" s="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6" t="n"/>
      <c r="N321" s="6" t="n"/>
      <c r="O321" s="6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9" t="n"/>
      <c r="AJ321" s="8" t="n"/>
      <c r="AK321" s="8" t="n"/>
      <c r="AL321" s="15" t="n"/>
      <c r="AM321" s="15" t="n"/>
      <c r="AN321" s="15" t="n"/>
      <c r="AO321" s="15" t="n"/>
      <c r="AP321" s="10" t="n"/>
      <c r="AQ321" s="15" t="n"/>
      <c r="AR321" s="15" t="n"/>
    </row>
    <row r="322" ht="15" customHeight="1">
      <c r="A322" s="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6" t="n"/>
      <c r="N322" s="6" t="n"/>
      <c r="O322" s="6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9" t="n"/>
      <c r="AJ322" s="8" t="n"/>
      <c r="AK322" s="8" t="n"/>
      <c r="AL322" s="15" t="n"/>
      <c r="AM322" s="15" t="n"/>
      <c r="AN322" s="15" t="n"/>
      <c r="AO322" s="15" t="n"/>
      <c r="AP322" s="10" t="n"/>
      <c r="AQ322" s="15" t="n"/>
      <c r="AR322" s="15" t="n"/>
    </row>
    <row r="323" ht="15" customHeight="1">
      <c r="A323" s="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6" t="n"/>
      <c r="N323" s="6" t="n"/>
      <c r="O323" s="6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9" t="n"/>
      <c r="AJ323" s="8" t="n"/>
      <c r="AK323" s="8" t="n"/>
      <c r="AL323" s="15" t="n"/>
      <c r="AM323" s="15" t="n"/>
      <c r="AN323" s="15" t="n"/>
      <c r="AO323" s="15" t="n"/>
      <c r="AP323" s="10" t="n"/>
      <c r="AQ323" s="15" t="n"/>
      <c r="AR323" s="15" t="n"/>
    </row>
    <row r="324" ht="15" customHeight="1">
      <c r="A324" s="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6" t="n"/>
      <c r="N324" s="6" t="n"/>
      <c r="O324" s="6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9" t="n"/>
      <c r="AJ324" s="8" t="n"/>
      <c r="AK324" s="8" t="n"/>
      <c r="AL324" s="15" t="n"/>
      <c r="AM324" s="15" t="n"/>
      <c r="AN324" s="15" t="n"/>
      <c r="AO324" s="15" t="n"/>
      <c r="AP324" s="10" t="n"/>
      <c r="AQ324" s="15" t="n"/>
      <c r="AR324" s="15" t="n"/>
    </row>
    <row r="325" ht="15" customHeight="1">
      <c r="A325" s="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6" t="n"/>
      <c r="N325" s="6" t="n"/>
      <c r="O325" s="6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9" t="n"/>
      <c r="AJ325" s="8" t="n"/>
      <c r="AK325" s="8" t="n"/>
      <c r="AL325" s="15" t="n"/>
      <c r="AM325" s="15" t="n"/>
      <c r="AN325" s="15" t="n"/>
      <c r="AO325" s="15" t="n"/>
      <c r="AP325" s="10" t="n"/>
      <c r="AQ325" s="15" t="n"/>
      <c r="AR325" s="15" t="n"/>
    </row>
    <row r="326" ht="15" customHeight="1">
      <c r="A326" s="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6" t="n"/>
      <c r="N326" s="6" t="n"/>
      <c r="O326" s="6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9" t="n"/>
      <c r="AJ326" s="8" t="n"/>
      <c r="AK326" s="8" t="n"/>
      <c r="AL326" s="15" t="n"/>
      <c r="AM326" s="15" t="n"/>
      <c r="AN326" s="15" t="n"/>
      <c r="AO326" s="15" t="n"/>
      <c r="AP326" s="10" t="n"/>
      <c r="AQ326" s="15" t="n"/>
      <c r="AR326" s="15" t="n"/>
    </row>
    <row r="327" ht="15" customHeight="1">
      <c r="A327" s="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6" t="n"/>
      <c r="N327" s="6" t="n"/>
      <c r="O327" s="6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9" t="n"/>
      <c r="AJ327" s="8" t="n"/>
      <c r="AK327" s="8" t="n"/>
      <c r="AL327" s="15" t="n"/>
      <c r="AM327" s="15" t="n"/>
      <c r="AN327" s="15" t="n"/>
      <c r="AO327" s="15" t="n"/>
      <c r="AP327" s="10" t="n"/>
      <c r="AQ327" s="15" t="n"/>
      <c r="AR327" s="15" t="n"/>
    </row>
    <row r="328" ht="15" customHeight="1">
      <c r="A328" s="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6" t="n"/>
      <c r="N328" s="6" t="n"/>
      <c r="O328" s="6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9" t="n"/>
      <c r="AJ328" s="8" t="n"/>
      <c r="AK328" s="8" t="n"/>
      <c r="AL328" s="15" t="n"/>
      <c r="AM328" s="15" t="n"/>
      <c r="AN328" s="15" t="n"/>
      <c r="AO328" s="15" t="n"/>
      <c r="AP328" s="10" t="n"/>
      <c r="AQ328" s="15" t="n"/>
      <c r="AR328" s="15" t="n"/>
    </row>
    <row r="329" ht="15" customHeight="1">
      <c r="A329" s="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6" t="n"/>
      <c r="N329" s="6" t="n"/>
      <c r="O329" s="6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9" t="n"/>
      <c r="AJ329" s="8" t="n"/>
      <c r="AK329" s="8" t="n"/>
      <c r="AL329" s="15" t="n"/>
      <c r="AM329" s="15" t="n"/>
      <c r="AN329" s="15" t="n"/>
      <c r="AO329" s="15" t="n"/>
      <c r="AP329" s="10" t="n"/>
      <c r="AQ329" s="15" t="n"/>
      <c r="AR329" s="15" t="n"/>
    </row>
    <row r="330" ht="15" customHeight="1">
      <c r="A330" s="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6" t="n"/>
      <c r="N330" s="6" t="n"/>
      <c r="O330" s="6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9" t="n"/>
      <c r="AJ330" s="8" t="n"/>
      <c r="AK330" s="8" t="n"/>
      <c r="AL330" s="15" t="n"/>
      <c r="AM330" s="15" t="n"/>
      <c r="AN330" s="15" t="n"/>
      <c r="AO330" s="15" t="n"/>
      <c r="AP330" s="10" t="n"/>
      <c r="AQ330" s="15" t="n"/>
      <c r="AR330" s="15" t="n"/>
    </row>
    <row r="331" ht="15" customHeight="1">
      <c r="A331" s="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6" t="n"/>
      <c r="N331" s="6" t="n"/>
      <c r="O331" s="6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9" t="n"/>
      <c r="AJ331" s="8" t="n"/>
      <c r="AK331" s="8" t="n"/>
      <c r="AL331" s="15" t="n"/>
      <c r="AM331" s="15" t="n"/>
      <c r="AN331" s="15" t="n"/>
      <c r="AO331" s="15" t="n"/>
      <c r="AP331" s="10" t="n"/>
      <c r="AQ331" s="15" t="n"/>
      <c r="AR331" s="15" t="n"/>
    </row>
    <row r="332" ht="15" customHeight="1">
      <c r="A332" s="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6" t="n"/>
      <c r="N332" s="6" t="n"/>
      <c r="O332" s="6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9" t="n"/>
      <c r="AJ332" s="8" t="n"/>
      <c r="AK332" s="8" t="n"/>
      <c r="AL332" s="15" t="n"/>
      <c r="AM332" s="15" t="n"/>
      <c r="AN332" s="15" t="n"/>
      <c r="AO332" s="15" t="n"/>
      <c r="AP332" s="10" t="n"/>
      <c r="AQ332" s="15" t="n"/>
      <c r="AR332" s="15" t="n"/>
    </row>
    <row r="333" ht="15" customHeight="1">
      <c r="A333" s="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6" t="n"/>
      <c r="N333" s="6" t="n"/>
      <c r="O333" s="6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9" t="n"/>
      <c r="AJ333" s="8" t="n"/>
      <c r="AK333" s="8" t="n"/>
      <c r="AL333" s="15" t="n"/>
      <c r="AM333" s="15" t="n"/>
      <c r="AN333" s="15" t="n"/>
      <c r="AO333" s="15" t="n"/>
      <c r="AP333" s="10" t="n"/>
      <c r="AQ333" s="15" t="n"/>
      <c r="AR333" s="15" t="n"/>
    </row>
    <row r="334" ht="15" customHeight="1">
      <c r="A334" s="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6" t="n"/>
      <c r="N334" s="6" t="n"/>
      <c r="O334" s="6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9" t="n"/>
      <c r="AJ334" s="8" t="n"/>
      <c r="AK334" s="8" t="n"/>
      <c r="AL334" s="15" t="n"/>
      <c r="AM334" s="15" t="n"/>
      <c r="AN334" s="15" t="n"/>
      <c r="AO334" s="15" t="n"/>
      <c r="AP334" s="10" t="n"/>
      <c r="AQ334" s="15" t="n"/>
      <c r="AR334" s="15" t="n"/>
    </row>
    <row r="335" ht="15" customHeight="1">
      <c r="A335" s="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6" t="n"/>
      <c r="N335" s="6" t="n"/>
      <c r="O335" s="6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9" t="n"/>
      <c r="AJ335" s="8" t="n"/>
      <c r="AK335" s="8" t="n"/>
      <c r="AL335" s="15" t="n"/>
      <c r="AM335" s="15" t="n"/>
      <c r="AN335" s="15" t="n"/>
      <c r="AO335" s="15" t="n"/>
      <c r="AP335" s="10" t="n"/>
      <c r="AQ335" s="15" t="n"/>
      <c r="AR335" s="15" t="n"/>
    </row>
    <row r="336" ht="15" customHeight="1">
      <c r="A336" s="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6" t="n"/>
      <c r="N336" s="6" t="n"/>
      <c r="O336" s="6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9" t="n"/>
      <c r="AJ336" s="8" t="n"/>
      <c r="AK336" s="8" t="n"/>
      <c r="AL336" s="15" t="n"/>
      <c r="AM336" s="15" t="n"/>
      <c r="AN336" s="15" t="n"/>
      <c r="AO336" s="15" t="n"/>
      <c r="AP336" s="10" t="n"/>
      <c r="AQ336" s="15" t="n"/>
      <c r="AR336" s="15" t="n"/>
    </row>
    <row r="337" ht="15" customHeight="1">
      <c r="A337" s="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6" t="n"/>
      <c r="N337" s="6" t="n"/>
      <c r="O337" s="6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9" t="n"/>
      <c r="AJ337" s="8" t="n"/>
      <c r="AK337" s="8" t="n"/>
      <c r="AL337" s="15" t="n"/>
      <c r="AM337" s="15" t="n"/>
      <c r="AN337" s="15" t="n"/>
      <c r="AO337" s="15" t="n"/>
      <c r="AP337" s="10" t="n"/>
      <c r="AQ337" s="15" t="n"/>
      <c r="AR337" s="15" t="n"/>
    </row>
    <row r="338" ht="15" customHeight="1">
      <c r="A338" s="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6" t="n"/>
      <c r="N338" s="6" t="n"/>
      <c r="O338" s="6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9" t="n"/>
      <c r="AJ338" s="8" t="n"/>
      <c r="AK338" s="8" t="n"/>
      <c r="AL338" s="15" t="n"/>
      <c r="AM338" s="15" t="n"/>
      <c r="AN338" s="15" t="n"/>
      <c r="AO338" s="15" t="n"/>
      <c r="AP338" s="10" t="n"/>
      <c r="AQ338" s="15" t="n"/>
      <c r="AR338" s="15" t="n"/>
    </row>
    <row r="339" ht="15" customHeight="1">
      <c r="A339" s="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6" t="n"/>
      <c r="N339" s="6" t="n"/>
      <c r="O339" s="6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9" t="n"/>
      <c r="AJ339" s="8" t="n"/>
      <c r="AK339" s="8" t="n"/>
      <c r="AL339" s="15" t="n"/>
      <c r="AM339" s="15" t="n"/>
      <c r="AN339" s="15" t="n"/>
      <c r="AO339" s="15" t="n"/>
      <c r="AP339" s="10" t="n"/>
      <c r="AQ339" s="15" t="n"/>
      <c r="AR339" s="15" t="n"/>
    </row>
    <row r="340" ht="15" customHeight="1">
      <c r="A340" s="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6" t="n"/>
      <c r="N340" s="6" t="n"/>
      <c r="O340" s="6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9" t="n"/>
      <c r="AJ340" s="8" t="n"/>
      <c r="AK340" s="8" t="n"/>
      <c r="AL340" s="15" t="n"/>
      <c r="AM340" s="15" t="n"/>
      <c r="AN340" s="15" t="n"/>
      <c r="AO340" s="15" t="n"/>
      <c r="AP340" s="10" t="n"/>
      <c r="AQ340" s="15" t="n"/>
      <c r="AR340" s="15" t="n"/>
    </row>
    <row r="341" ht="15" customHeight="1">
      <c r="A341" s="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6" t="n"/>
      <c r="N341" s="6" t="n"/>
      <c r="O341" s="6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9" t="n"/>
      <c r="AJ341" s="8" t="n"/>
      <c r="AK341" s="8" t="n"/>
      <c r="AL341" s="15" t="n"/>
      <c r="AM341" s="15" t="n"/>
      <c r="AN341" s="15" t="n"/>
      <c r="AO341" s="15" t="n"/>
      <c r="AP341" s="10" t="n"/>
      <c r="AQ341" s="15" t="n"/>
      <c r="AR341" s="15" t="n"/>
    </row>
    <row r="342" ht="15" customHeight="1">
      <c r="A342" s="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6" t="n"/>
      <c r="N342" s="6" t="n"/>
      <c r="O342" s="6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9" t="n"/>
      <c r="AJ342" s="8" t="n"/>
      <c r="AK342" s="8" t="n"/>
      <c r="AL342" s="15" t="n"/>
      <c r="AM342" s="15" t="n"/>
      <c r="AN342" s="15" t="n"/>
      <c r="AO342" s="15" t="n"/>
      <c r="AP342" s="10" t="n"/>
      <c r="AQ342" s="15" t="n"/>
      <c r="AR342" s="15" t="n"/>
    </row>
    <row r="343" ht="15" customHeight="1">
      <c r="A343" s="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6" t="n"/>
      <c r="N343" s="6" t="n"/>
      <c r="O343" s="6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9" t="n"/>
      <c r="AJ343" s="8" t="n"/>
      <c r="AK343" s="8" t="n"/>
      <c r="AL343" s="15" t="n"/>
      <c r="AM343" s="15" t="n"/>
      <c r="AN343" s="15" t="n"/>
      <c r="AO343" s="15" t="n"/>
      <c r="AP343" s="10" t="n"/>
      <c r="AQ343" s="15" t="n"/>
      <c r="AR343" s="15" t="n"/>
    </row>
    <row r="344" ht="15" customHeight="1">
      <c r="A344" s="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6" t="n"/>
      <c r="N344" s="6" t="n"/>
      <c r="O344" s="6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9" t="n"/>
      <c r="AJ344" s="8" t="n"/>
      <c r="AK344" s="8" t="n"/>
      <c r="AL344" s="15" t="n"/>
      <c r="AM344" s="15" t="n"/>
      <c r="AN344" s="15" t="n"/>
      <c r="AO344" s="15" t="n"/>
      <c r="AP344" s="10" t="n"/>
      <c r="AQ344" s="15" t="n"/>
      <c r="AR344" s="15" t="n"/>
    </row>
    <row r="345" ht="15" customHeight="1">
      <c r="A345" s="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6" t="n"/>
      <c r="N345" s="6" t="n"/>
      <c r="O345" s="6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9" t="n"/>
      <c r="AJ345" s="8" t="n"/>
      <c r="AK345" s="8" t="n"/>
      <c r="AL345" s="15" t="n"/>
      <c r="AM345" s="15" t="n"/>
      <c r="AN345" s="15" t="n"/>
      <c r="AO345" s="15" t="n"/>
      <c r="AP345" s="10" t="n"/>
      <c r="AQ345" s="15" t="n"/>
      <c r="AR345" s="15" t="n"/>
    </row>
    <row r="346" ht="15" customHeight="1">
      <c r="A346" s="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6" t="n"/>
      <c r="N346" s="6" t="n"/>
      <c r="O346" s="6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9" t="n"/>
      <c r="AJ346" s="8" t="n"/>
      <c r="AK346" s="8" t="n"/>
      <c r="AL346" s="15" t="n"/>
      <c r="AM346" s="15" t="n"/>
      <c r="AN346" s="15" t="n"/>
      <c r="AO346" s="15" t="n"/>
      <c r="AP346" s="10" t="n"/>
      <c r="AQ346" s="15" t="n"/>
      <c r="AR346" s="15" t="n"/>
    </row>
    <row r="347" ht="15" customHeight="1">
      <c r="A347" s="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6" t="n"/>
      <c r="N347" s="6" t="n"/>
      <c r="O347" s="6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9" t="n"/>
      <c r="AJ347" s="8" t="n"/>
      <c r="AK347" s="8" t="n"/>
      <c r="AL347" s="15" t="n"/>
      <c r="AM347" s="15" t="n"/>
      <c r="AN347" s="15" t="n"/>
      <c r="AO347" s="15" t="n"/>
      <c r="AP347" s="10" t="n"/>
      <c r="AQ347" s="15" t="n"/>
      <c r="AR347" s="15" t="n"/>
    </row>
    <row r="348" ht="15" customHeight="1">
      <c r="A348" s="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6" t="n"/>
      <c r="N348" s="6" t="n"/>
      <c r="O348" s="6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9" t="n"/>
      <c r="AJ348" s="8" t="n"/>
      <c r="AK348" s="8" t="n"/>
      <c r="AL348" s="15" t="n"/>
      <c r="AM348" s="15" t="n"/>
      <c r="AN348" s="15" t="n"/>
      <c r="AO348" s="15" t="n"/>
      <c r="AP348" s="10" t="n"/>
      <c r="AQ348" s="15" t="n"/>
      <c r="AR348" s="15" t="n"/>
    </row>
    <row r="349" ht="15" customHeight="1">
      <c r="A349" s="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6" t="n"/>
      <c r="N349" s="6" t="n"/>
      <c r="O349" s="6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9" t="n"/>
      <c r="AJ349" s="8" t="n"/>
      <c r="AK349" s="8" t="n"/>
      <c r="AL349" s="15" t="n"/>
      <c r="AM349" s="15" t="n"/>
      <c r="AN349" s="15" t="n"/>
      <c r="AO349" s="15" t="n"/>
      <c r="AP349" s="10" t="n"/>
      <c r="AQ349" s="15" t="n"/>
      <c r="AR349" s="15" t="n"/>
    </row>
    <row r="350" ht="15" customHeight="1">
      <c r="A350" s="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6" t="n"/>
      <c r="N350" s="6" t="n"/>
      <c r="O350" s="6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9" t="n"/>
      <c r="AJ350" s="8" t="n"/>
      <c r="AK350" s="8" t="n"/>
      <c r="AL350" s="15" t="n"/>
      <c r="AM350" s="15" t="n"/>
      <c r="AN350" s="15" t="n"/>
      <c r="AO350" s="15" t="n"/>
      <c r="AP350" s="10" t="n"/>
      <c r="AQ350" s="15" t="n"/>
      <c r="AR350" s="15" t="n"/>
    </row>
    <row r="351" ht="15" customHeight="1">
      <c r="A351" s="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6" t="n"/>
      <c r="N351" s="6" t="n"/>
      <c r="O351" s="6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9" t="n"/>
      <c r="AJ351" s="8" t="n"/>
      <c r="AK351" s="8" t="n"/>
      <c r="AL351" s="15" t="n"/>
      <c r="AM351" s="15" t="n"/>
      <c r="AN351" s="15" t="n"/>
      <c r="AO351" s="15" t="n"/>
      <c r="AP351" s="10" t="n"/>
      <c r="AQ351" s="15" t="n"/>
      <c r="AR351" s="15" t="n"/>
    </row>
    <row r="352" ht="15" customHeight="1">
      <c r="A352" s="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6" t="n"/>
      <c r="N352" s="6" t="n"/>
      <c r="O352" s="6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9" t="n"/>
      <c r="AJ352" s="8" t="n"/>
      <c r="AK352" s="8" t="n"/>
      <c r="AL352" s="15" t="n"/>
      <c r="AM352" s="15" t="n"/>
      <c r="AN352" s="15" t="n"/>
      <c r="AO352" s="15" t="n"/>
      <c r="AP352" s="10" t="n"/>
      <c r="AQ352" s="15" t="n"/>
      <c r="AR352" s="15" t="n"/>
    </row>
    <row r="353" ht="15" customHeight="1">
      <c r="A353" s="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6" t="n"/>
      <c r="N353" s="6" t="n"/>
      <c r="O353" s="6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9" t="n"/>
      <c r="AJ353" s="8" t="n"/>
      <c r="AK353" s="8" t="n"/>
      <c r="AL353" s="15" t="n"/>
      <c r="AM353" s="15" t="n"/>
      <c r="AN353" s="15" t="n"/>
      <c r="AO353" s="15" t="n"/>
      <c r="AP353" s="10" t="n"/>
      <c r="AQ353" s="15" t="n"/>
      <c r="AR353" s="15" t="n"/>
    </row>
    <row r="354" ht="15" customHeight="1">
      <c r="A354" s="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6" t="n"/>
      <c r="N354" s="6" t="n"/>
      <c r="O354" s="6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9" t="n"/>
      <c r="AJ354" s="8" t="n"/>
      <c r="AK354" s="8" t="n"/>
      <c r="AL354" s="15" t="n"/>
      <c r="AM354" s="15" t="n"/>
      <c r="AN354" s="15" t="n"/>
      <c r="AO354" s="15" t="n"/>
      <c r="AP354" s="10" t="n"/>
      <c r="AQ354" s="15" t="n"/>
      <c r="AR354" s="15" t="n"/>
    </row>
    <row r="355" ht="15" customHeight="1">
      <c r="A355" s="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6" t="n"/>
      <c r="N355" s="6" t="n"/>
      <c r="O355" s="6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9" t="n"/>
      <c r="AJ355" s="8" t="n"/>
      <c r="AK355" s="8" t="n"/>
      <c r="AL355" s="15" t="n"/>
      <c r="AM355" s="15" t="n"/>
      <c r="AN355" s="15" t="n"/>
      <c r="AO355" s="15" t="n"/>
      <c r="AP355" s="10" t="n"/>
      <c r="AQ355" s="15" t="n"/>
      <c r="AR355" s="15" t="n"/>
    </row>
    <row r="356" ht="15" customHeight="1">
      <c r="A356" s="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6" t="n"/>
      <c r="N356" s="6" t="n"/>
      <c r="O356" s="6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9" t="n"/>
      <c r="AJ356" s="8" t="n"/>
      <c r="AK356" s="8" t="n"/>
      <c r="AL356" s="15" t="n"/>
      <c r="AM356" s="15" t="n"/>
      <c r="AN356" s="15" t="n"/>
      <c r="AO356" s="15" t="n"/>
      <c r="AP356" s="10" t="n"/>
      <c r="AQ356" s="15" t="n"/>
      <c r="AR356" s="15" t="n"/>
    </row>
    <row r="357" ht="15" customHeight="1">
      <c r="A357" s="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6" t="n"/>
      <c r="N357" s="6" t="n"/>
      <c r="O357" s="6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9" t="n"/>
      <c r="AJ357" s="8" t="n"/>
      <c r="AK357" s="8" t="n"/>
      <c r="AL357" s="15" t="n"/>
      <c r="AM357" s="15" t="n"/>
      <c r="AN357" s="15" t="n"/>
      <c r="AO357" s="15" t="n"/>
      <c r="AP357" s="10" t="n"/>
      <c r="AQ357" s="15" t="n"/>
      <c r="AR357" s="15" t="n"/>
    </row>
    <row r="358" ht="15" customHeight="1">
      <c r="A358" s="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6" t="n"/>
      <c r="N358" s="6" t="n"/>
      <c r="O358" s="6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9" t="n"/>
      <c r="AJ358" s="8" t="n"/>
      <c r="AK358" s="8" t="n"/>
      <c r="AL358" s="15" t="n"/>
      <c r="AM358" s="15" t="n"/>
      <c r="AN358" s="15" t="n"/>
      <c r="AO358" s="15" t="n"/>
      <c r="AP358" s="10" t="n"/>
      <c r="AQ358" s="15" t="n"/>
      <c r="AR358" s="15" t="n"/>
    </row>
    <row r="359" ht="15" customHeight="1">
      <c r="A359" s="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6" t="n"/>
      <c r="N359" s="6" t="n"/>
      <c r="O359" s="6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9" t="n"/>
      <c r="AJ359" s="8" t="n"/>
      <c r="AK359" s="8" t="n"/>
      <c r="AL359" s="15" t="n"/>
      <c r="AM359" s="15" t="n"/>
      <c r="AN359" s="15" t="n"/>
      <c r="AO359" s="15" t="n"/>
      <c r="AP359" s="10" t="n"/>
      <c r="AQ359" s="15" t="n"/>
      <c r="AR359" s="15" t="n"/>
    </row>
    <row r="360" ht="15" customHeight="1">
      <c r="A360" s="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6" t="n"/>
      <c r="N360" s="6" t="n"/>
      <c r="O360" s="6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9" t="n"/>
      <c r="AJ360" s="8" t="n"/>
      <c r="AK360" s="8" t="n"/>
      <c r="AL360" s="15" t="n"/>
      <c r="AM360" s="15" t="n"/>
      <c r="AN360" s="15" t="n"/>
      <c r="AO360" s="15" t="n"/>
      <c r="AP360" s="10" t="n"/>
      <c r="AQ360" s="15" t="n"/>
      <c r="AR360" s="15" t="n"/>
    </row>
    <row r="361" ht="15" customHeight="1">
      <c r="A361" s="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6" t="n"/>
      <c r="N361" s="6" t="n"/>
      <c r="O361" s="6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9" t="n"/>
      <c r="AJ361" s="8" t="n"/>
      <c r="AK361" s="8" t="n"/>
      <c r="AL361" s="15" t="n"/>
      <c r="AM361" s="15" t="n"/>
      <c r="AN361" s="15" t="n"/>
      <c r="AO361" s="15" t="n"/>
      <c r="AP361" s="10" t="n"/>
      <c r="AQ361" s="15" t="n"/>
      <c r="AR361" s="15" t="n"/>
    </row>
    <row r="362" ht="15" customHeight="1">
      <c r="A362" s="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6" t="n"/>
      <c r="N362" s="6" t="n"/>
      <c r="O362" s="6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9" t="n"/>
      <c r="AJ362" s="8" t="n"/>
      <c r="AK362" s="8" t="n"/>
      <c r="AL362" s="15" t="n"/>
      <c r="AM362" s="15" t="n"/>
      <c r="AN362" s="15" t="n"/>
      <c r="AO362" s="15" t="n"/>
      <c r="AP362" s="10" t="n"/>
      <c r="AQ362" s="15" t="n"/>
      <c r="AR362" s="15" t="n"/>
    </row>
    <row r="363" ht="15" customHeight="1">
      <c r="A363" s="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6" t="n"/>
      <c r="N363" s="6" t="n"/>
      <c r="O363" s="6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9" t="n"/>
      <c r="AJ363" s="8" t="n"/>
      <c r="AK363" s="8" t="n"/>
      <c r="AL363" s="15" t="n"/>
      <c r="AM363" s="15" t="n"/>
      <c r="AN363" s="15" t="n"/>
      <c r="AO363" s="15" t="n"/>
      <c r="AP363" s="10" t="n"/>
      <c r="AQ363" s="15" t="n"/>
      <c r="AR363" s="15" t="n"/>
    </row>
    <row r="364" ht="15" customHeight="1">
      <c r="A364" s="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6" t="n"/>
      <c r="N364" s="6" t="n"/>
      <c r="O364" s="6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8" t="n"/>
      <c r="Z364" s="8" t="n"/>
      <c r="AA364" s="8" t="n"/>
      <c r="AB364" s="8" t="n"/>
      <c r="AC364" s="8" t="n"/>
      <c r="AD364" s="8" t="n"/>
      <c r="AE364" s="8" t="n"/>
      <c r="AF364" s="8" t="n"/>
      <c r="AG364" s="8" t="n"/>
      <c r="AH364" s="8" t="n"/>
      <c r="AI364" s="9" t="n"/>
      <c r="AJ364" s="8" t="n"/>
      <c r="AK364" s="8" t="n"/>
      <c r="AL364" s="15" t="n"/>
      <c r="AM364" s="15" t="n"/>
      <c r="AN364" s="15" t="n"/>
      <c r="AO364" s="15" t="n"/>
      <c r="AP364" s="10" t="n"/>
      <c r="AQ364" s="15" t="n"/>
      <c r="AR364" s="15" t="n"/>
    </row>
    <row r="365" ht="15" customHeight="1">
      <c r="A365" s="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6" t="n"/>
      <c r="N365" s="6" t="n"/>
      <c r="O365" s="6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8" t="n"/>
      <c r="Z365" s="8" t="n"/>
      <c r="AA365" s="8" t="n"/>
      <c r="AB365" s="8" t="n"/>
      <c r="AC365" s="8" t="n"/>
      <c r="AD365" s="8" t="n"/>
      <c r="AE365" s="8" t="n"/>
      <c r="AF365" s="8" t="n"/>
      <c r="AG365" s="8" t="n"/>
      <c r="AH365" s="8" t="n"/>
      <c r="AI365" s="9" t="n"/>
      <c r="AJ365" s="8" t="n"/>
      <c r="AK365" s="8" t="n"/>
      <c r="AL365" s="15" t="n"/>
      <c r="AM365" s="15" t="n"/>
      <c r="AN365" s="15" t="n"/>
      <c r="AO365" s="15" t="n"/>
      <c r="AP365" s="10" t="n"/>
      <c r="AQ365" s="15" t="n"/>
      <c r="AR365" s="15" t="n"/>
    </row>
    <row r="366" ht="15" customHeight="1">
      <c r="A366" s="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6" t="n"/>
      <c r="N366" s="6" t="n"/>
      <c r="O366" s="6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8" t="n"/>
      <c r="Z366" s="8" t="n"/>
      <c r="AA366" s="8" t="n"/>
      <c r="AB366" s="8" t="n"/>
      <c r="AC366" s="8" t="n"/>
      <c r="AD366" s="8" t="n"/>
      <c r="AE366" s="8" t="n"/>
      <c r="AF366" s="8" t="n"/>
      <c r="AG366" s="8" t="n"/>
      <c r="AH366" s="8" t="n"/>
      <c r="AI366" s="9" t="n"/>
      <c r="AJ366" s="8" t="n"/>
      <c r="AK366" s="8" t="n"/>
      <c r="AL366" s="15" t="n"/>
      <c r="AM366" s="15" t="n"/>
      <c r="AN366" s="15" t="n"/>
      <c r="AO366" s="15" t="n"/>
      <c r="AP366" s="10" t="n"/>
      <c r="AQ366" s="15" t="n"/>
      <c r="AR366" s="15" t="n"/>
    </row>
    <row r="367" ht="15" customHeight="1">
      <c r="A367" s="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6" t="n"/>
      <c r="N367" s="6" t="n"/>
      <c r="O367" s="6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8" t="n"/>
      <c r="Z367" s="8" t="n"/>
      <c r="AA367" s="8" t="n"/>
      <c r="AB367" s="8" t="n"/>
      <c r="AC367" s="8" t="n"/>
      <c r="AD367" s="8" t="n"/>
      <c r="AE367" s="8" t="n"/>
      <c r="AF367" s="8" t="n"/>
      <c r="AG367" s="8" t="n"/>
      <c r="AH367" s="8" t="n"/>
      <c r="AI367" s="9" t="n"/>
      <c r="AJ367" s="8" t="n"/>
      <c r="AK367" s="8" t="n"/>
      <c r="AL367" s="15" t="n"/>
      <c r="AM367" s="15" t="n"/>
      <c r="AN367" s="15" t="n"/>
      <c r="AO367" s="15" t="n"/>
      <c r="AP367" s="10" t="n"/>
      <c r="AQ367" s="15" t="n"/>
      <c r="AR367" s="15" t="n"/>
    </row>
    <row r="368" ht="15" customHeight="1">
      <c r="A368" s="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6" t="n"/>
      <c r="N368" s="6" t="n"/>
      <c r="O368" s="6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8" t="n"/>
      <c r="Z368" s="8" t="n"/>
      <c r="AA368" s="8" t="n"/>
      <c r="AB368" s="8" t="n"/>
      <c r="AC368" s="8" t="n"/>
      <c r="AD368" s="8" t="n"/>
      <c r="AE368" s="8" t="n"/>
      <c r="AF368" s="8" t="n"/>
      <c r="AG368" s="8" t="n"/>
      <c r="AH368" s="8" t="n"/>
      <c r="AI368" s="9" t="n"/>
      <c r="AJ368" s="8" t="n"/>
      <c r="AK368" s="8" t="n"/>
      <c r="AL368" s="15" t="n"/>
      <c r="AM368" s="15" t="n"/>
      <c r="AN368" s="15" t="n"/>
      <c r="AO368" s="15" t="n"/>
      <c r="AP368" s="10" t="n"/>
      <c r="AQ368" s="15" t="n"/>
      <c r="AR368" s="15" t="n"/>
    </row>
    <row r="369" ht="15" customHeight="1">
      <c r="A369" s="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6" t="n"/>
      <c r="N369" s="6" t="n"/>
      <c r="O369" s="6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8" t="n"/>
      <c r="Z369" s="8" t="n"/>
      <c r="AA369" s="8" t="n"/>
      <c r="AB369" s="8" t="n"/>
      <c r="AC369" s="8" t="n"/>
      <c r="AD369" s="8" t="n"/>
      <c r="AE369" s="8" t="n"/>
      <c r="AF369" s="8" t="n"/>
      <c r="AG369" s="8" t="n"/>
      <c r="AH369" s="8" t="n"/>
      <c r="AI369" s="9" t="n"/>
      <c r="AJ369" s="8" t="n"/>
      <c r="AK369" s="8" t="n"/>
      <c r="AL369" s="15" t="n"/>
      <c r="AM369" s="15" t="n"/>
      <c r="AN369" s="15" t="n"/>
      <c r="AO369" s="15" t="n"/>
      <c r="AP369" s="10" t="n"/>
      <c r="AQ369" s="15" t="n"/>
      <c r="AR369" s="15" t="n"/>
    </row>
    <row r="370" ht="15" customHeight="1">
      <c r="A370" s="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6" t="n"/>
      <c r="N370" s="6" t="n"/>
      <c r="O370" s="6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8" t="n"/>
      <c r="Z370" s="8" t="n"/>
      <c r="AA370" s="8" t="n"/>
      <c r="AB370" s="8" t="n"/>
      <c r="AC370" s="8" t="n"/>
      <c r="AD370" s="8" t="n"/>
      <c r="AE370" s="8" t="n"/>
      <c r="AF370" s="8" t="n"/>
      <c r="AG370" s="8" t="n"/>
      <c r="AH370" s="8" t="n"/>
      <c r="AI370" s="9" t="n"/>
      <c r="AJ370" s="8" t="n"/>
      <c r="AK370" s="8" t="n"/>
      <c r="AL370" s="15" t="n"/>
      <c r="AM370" s="15" t="n"/>
      <c r="AN370" s="15" t="n"/>
      <c r="AO370" s="15" t="n"/>
      <c r="AP370" s="10" t="n"/>
      <c r="AQ370" s="15" t="n"/>
      <c r="AR370" s="15" t="n"/>
    </row>
    <row r="371" ht="15" customHeight="1">
      <c r="A371" s="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6" t="n"/>
      <c r="N371" s="6" t="n"/>
      <c r="O371" s="6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8" t="n"/>
      <c r="Z371" s="8" t="n"/>
      <c r="AA371" s="8" t="n"/>
      <c r="AB371" s="8" t="n"/>
      <c r="AC371" s="8" t="n"/>
      <c r="AD371" s="8" t="n"/>
      <c r="AE371" s="8" t="n"/>
      <c r="AF371" s="8" t="n"/>
      <c r="AG371" s="8" t="n"/>
      <c r="AH371" s="8" t="n"/>
      <c r="AI371" s="9" t="n"/>
      <c r="AJ371" s="8" t="n"/>
      <c r="AK371" s="8" t="n"/>
      <c r="AL371" s="15" t="n"/>
      <c r="AM371" s="15" t="n"/>
      <c r="AN371" s="15" t="n"/>
      <c r="AO371" s="15" t="n"/>
      <c r="AP371" s="10" t="n"/>
      <c r="AQ371" s="15" t="n"/>
      <c r="AR371" s="15" t="n"/>
    </row>
    <row r="372" ht="15" customHeight="1">
      <c r="A372" s="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6" t="n"/>
      <c r="N372" s="6" t="n"/>
      <c r="O372" s="6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8" t="n"/>
      <c r="Z372" s="8" t="n"/>
      <c r="AA372" s="8" t="n"/>
      <c r="AB372" s="8" t="n"/>
      <c r="AC372" s="8" t="n"/>
      <c r="AD372" s="8" t="n"/>
      <c r="AE372" s="8" t="n"/>
      <c r="AF372" s="8" t="n"/>
      <c r="AG372" s="8" t="n"/>
      <c r="AH372" s="8" t="n"/>
      <c r="AI372" s="9" t="n"/>
      <c r="AJ372" s="8" t="n"/>
      <c r="AK372" s="8" t="n"/>
      <c r="AL372" s="15" t="n"/>
      <c r="AM372" s="15" t="n"/>
      <c r="AN372" s="15" t="n"/>
      <c r="AO372" s="15" t="n"/>
      <c r="AP372" s="10" t="n"/>
      <c r="AQ372" s="15" t="n"/>
      <c r="AR372" s="15" t="n"/>
    </row>
    <row r="373" ht="15" customHeight="1">
      <c r="A373" s="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6" t="n"/>
      <c r="N373" s="6" t="n"/>
      <c r="O373" s="6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8" t="n"/>
      <c r="Z373" s="8" t="n"/>
      <c r="AA373" s="8" t="n"/>
      <c r="AB373" s="8" t="n"/>
      <c r="AC373" s="8" t="n"/>
      <c r="AD373" s="8" t="n"/>
      <c r="AE373" s="8" t="n"/>
      <c r="AF373" s="8" t="n"/>
      <c r="AG373" s="8" t="n"/>
      <c r="AH373" s="8" t="n"/>
      <c r="AI373" s="9" t="n"/>
      <c r="AJ373" s="8" t="n"/>
      <c r="AK373" s="8" t="n"/>
      <c r="AL373" s="15" t="n"/>
      <c r="AM373" s="15" t="n"/>
      <c r="AN373" s="15" t="n"/>
      <c r="AO373" s="15" t="n"/>
      <c r="AP373" s="10" t="n"/>
      <c r="AQ373" s="15" t="n"/>
      <c r="AR373" s="15" t="n"/>
    </row>
    <row r="374" ht="15" customHeight="1">
      <c r="A374" s="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6" t="n"/>
      <c r="N374" s="6" t="n"/>
      <c r="O374" s="6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8" t="n"/>
      <c r="Z374" s="8" t="n"/>
      <c r="AA374" s="8" t="n"/>
      <c r="AB374" s="8" t="n"/>
      <c r="AC374" s="8" t="n"/>
      <c r="AD374" s="8" t="n"/>
      <c r="AE374" s="8" t="n"/>
      <c r="AF374" s="8" t="n"/>
      <c r="AG374" s="8" t="n"/>
      <c r="AH374" s="8" t="n"/>
      <c r="AI374" s="9" t="n"/>
      <c r="AJ374" s="8" t="n"/>
      <c r="AK374" s="8" t="n"/>
      <c r="AL374" s="15" t="n"/>
      <c r="AM374" s="15" t="n"/>
      <c r="AN374" s="15" t="n"/>
      <c r="AO374" s="15" t="n"/>
      <c r="AP374" s="10" t="n"/>
      <c r="AQ374" s="15" t="n"/>
      <c r="AR374" s="15" t="n"/>
    </row>
    <row r="375" ht="15" customHeight="1">
      <c r="A375" s="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6" t="n"/>
      <c r="N375" s="6" t="n"/>
      <c r="O375" s="6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8" t="n"/>
      <c r="Z375" s="8" t="n"/>
      <c r="AA375" s="8" t="n"/>
      <c r="AB375" s="8" t="n"/>
      <c r="AC375" s="8" t="n"/>
      <c r="AD375" s="8" t="n"/>
      <c r="AE375" s="8" t="n"/>
      <c r="AF375" s="8" t="n"/>
      <c r="AG375" s="8" t="n"/>
      <c r="AH375" s="8" t="n"/>
      <c r="AI375" s="9" t="n"/>
      <c r="AJ375" s="8" t="n"/>
      <c r="AK375" s="8" t="n"/>
      <c r="AL375" s="15" t="n"/>
      <c r="AM375" s="15" t="n"/>
      <c r="AN375" s="15" t="n"/>
      <c r="AO375" s="15" t="n"/>
      <c r="AP375" s="10" t="n"/>
      <c r="AQ375" s="15" t="n"/>
      <c r="AR375" s="15" t="n"/>
    </row>
    <row r="376" ht="15" customHeight="1">
      <c r="A376" s="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6" t="n"/>
      <c r="N376" s="6" t="n"/>
      <c r="O376" s="6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8" t="n"/>
      <c r="Z376" s="8" t="n"/>
      <c r="AA376" s="8" t="n"/>
      <c r="AB376" s="8" t="n"/>
      <c r="AC376" s="8" t="n"/>
      <c r="AD376" s="8" t="n"/>
      <c r="AE376" s="8" t="n"/>
      <c r="AF376" s="8" t="n"/>
      <c r="AG376" s="8" t="n"/>
      <c r="AH376" s="8" t="n"/>
      <c r="AI376" s="9" t="n"/>
      <c r="AJ376" s="8" t="n"/>
      <c r="AK376" s="8" t="n"/>
      <c r="AL376" s="15" t="n"/>
      <c r="AM376" s="15" t="n"/>
      <c r="AN376" s="15" t="n"/>
      <c r="AO376" s="15" t="n"/>
      <c r="AP376" s="10" t="n"/>
      <c r="AQ376" s="15" t="n"/>
      <c r="AR376" s="15" t="n"/>
    </row>
    <row r="377" ht="15" customHeight="1">
      <c r="A377" s="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6" t="n"/>
      <c r="N377" s="6" t="n"/>
      <c r="O377" s="6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8" t="n"/>
      <c r="Z377" s="8" t="n"/>
      <c r="AA377" s="8" t="n"/>
      <c r="AB377" s="8" t="n"/>
      <c r="AC377" s="8" t="n"/>
      <c r="AD377" s="8" t="n"/>
      <c r="AE377" s="8" t="n"/>
      <c r="AF377" s="8" t="n"/>
      <c r="AG377" s="8" t="n"/>
      <c r="AH377" s="8" t="n"/>
      <c r="AI377" s="9" t="n"/>
      <c r="AJ377" s="8" t="n"/>
      <c r="AK377" s="8" t="n"/>
      <c r="AL377" s="15" t="n"/>
      <c r="AM377" s="15" t="n"/>
      <c r="AN377" s="15" t="n"/>
      <c r="AO377" s="15" t="n"/>
      <c r="AP377" s="10" t="n"/>
      <c r="AQ377" s="15" t="n"/>
      <c r="AR377" s="15" t="n"/>
    </row>
    <row r="378" ht="15" customHeight="1">
      <c r="A378" s="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6" t="n"/>
      <c r="N378" s="6" t="n"/>
      <c r="O378" s="6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8" t="n"/>
      <c r="Z378" s="8" t="n"/>
      <c r="AA378" s="8" t="n"/>
      <c r="AB378" s="8" t="n"/>
      <c r="AC378" s="8" t="n"/>
      <c r="AD378" s="8" t="n"/>
      <c r="AE378" s="8" t="n"/>
      <c r="AF378" s="8" t="n"/>
      <c r="AG378" s="8" t="n"/>
      <c r="AH378" s="8" t="n"/>
      <c r="AI378" s="9" t="n"/>
      <c r="AJ378" s="8" t="n"/>
      <c r="AK378" s="8" t="n"/>
      <c r="AL378" s="15" t="n"/>
      <c r="AM378" s="15" t="n"/>
      <c r="AN378" s="15" t="n"/>
      <c r="AO378" s="15" t="n"/>
      <c r="AP378" s="10" t="n"/>
      <c r="AQ378" s="15" t="n"/>
      <c r="AR378" s="15" t="n"/>
    </row>
    <row r="379" ht="15" customHeight="1">
      <c r="A379" s="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6" t="n"/>
      <c r="N379" s="6" t="n"/>
      <c r="O379" s="6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9" t="n"/>
      <c r="AJ379" s="8" t="n"/>
      <c r="AK379" s="8" t="n"/>
      <c r="AL379" s="15" t="n"/>
      <c r="AM379" s="15" t="n"/>
      <c r="AN379" s="15" t="n"/>
      <c r="AO379" s="15" t="n"/>
      <c r="AP379" s="10" t="n"/>
      <c r="AQ379" s="15" t="n"/>
      <c r="AR379" s="15" t="n"/>
    </row>
    <row r="380" ht="15" customHeight="1">
      <c r="A380" s="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6" t="n"/>
      <c r="N380" s="6" t="n"/>
      <c r="O380" s="6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9" t="n"/>
      <c r="AJ380" s="8" t="n"/>
      <c r="AK380" s="8" t="n"/>
      <c r="AL380" s="15" t="n"/>
      <c r="AM380" s="15" t="n"/>
      <c r="AN380" s="15" t="n"/>
      <c r="AO380" s="15" t="n"/>
      <c r="AP380" s="10" t="n"/>
      <c r="AQ380" s="15" t="n"/>
      <c r="AR380" s="15" t="n"/>
    </row>
    <row r="381" ht="15" customHeight="1">
      <c r="A381" s="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6" t="n"/>
      <c r="N381" s="6" t="n"/>
      <c r="O381" s="6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8" t="n"/>
      <c r="Z381" s="8" t="n"/>
      <c r="AA381" s="8" t="n"/>
      <c r="AB381" s="8" t="n"/>
      <c r="AC381" s="8" t="n"/>
      <c r="AD381" s="8" t="n"/>
      <c r="AE381" s="8" t="n"/>
      <c r="AF381" s="8" t="n"/>
      <c r="AG381" s="8" t="n"/>
      <c r="AH381" s="8" t="n"/>
      <c r="AI381" s="9" t="n"/>
      <c r="AJ381" s="8" t="n"/>
      <c r="AK381" s="8" t="n"/>
      <c r="AL381" s="15" t="n"/>
      <c r="AM381" s="15" t="n"/>
      <c r="AN381" s="15" t="n"/>
      <c r="AO381" s="15" t="n"/>
      <c r="AP381" s="10" t="n"/>
      <c r="AQ381" s="15" t="n"/>
      <c r="AR381" s="15" t="n"/>
    </row>
    <row r="382" ht="15" customHeight="1">
      <c r="A382" s="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6" t="n"/>
      <c r="N382" s="6" t="n"/>
      <c r="O382" s="6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9" t="n"/>
      <c r="AJ382" s="8" t="n"/>
      <c r="AK382" s="8" t="n"/>
      <c r="AL382" s="15" t="n"/>
      <c r="AM382" s="15" t="n"/>
      <c r="AN382" s="15" t="n"/>
      <c r="AO382" s="15" t="n"/>
      <c r="AP382" s="10" t="n"/>
      <c r="AQ382" s="15" t="n"/>
      <c r="AR382" s="15" t="n"/>
    </row>
    <row r="383" ht="15" customHeight="1">
      <c r="A383" s="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6" t="n"/>
      <c r="N383" s="6" t="n"/>
      <c r="O383" s="6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9" t="n"/>
      <c r="AJ383" s="8" t="n"/>
      <c r="AK383" s="8" t="n"/>
      <c r="AL383" s="15" t="n"/>
      <c r="AM383" s="15" t="n"/>
      <c r="AN383" s="15" t="n"/>
      <c r="AO383" s="15" t="n"/>
      <c r="AP383" s="10" t="n"/>
      <c r="AQ383" s="15" t="n"/>
      <c r="AR383" s="15" t="n"/>
    </row>
    <row r="384" ht="15" customHeight="1">
      <c r="A384" s="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6" t="n"/>
      <c r="N384" s="6" t="n"/>
      <c r="O384" s="6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8" t="n"/>
      <c r="Z384" s="8" t="n"/>
      <c r="AA384" s="8" t="n"/>
      <c r="AB384" s="8" t="n"/>
      <c r="AC384" s="8" t="n"/>
      <c r="AD384" s="8" t="n"/>
      <c r="AE384" s="8" t="n"/>
      <c r="AF384" s="8" t="n"/>
      <c r="AG384" s="8" t="n"/>
      <c r="AH384" s="8" t="n"/>
      <c r="AI384" s="9" t="n"/>
      <c r="AJ384" s="8" t="n"/>
      <c r="AK384" s="8" t="n"/>
      <c r="AL384" s="15" t="n"/>
      <c r="AM384" s="15" t="n"/>
      <c r="AN384" s="15" t="n"/>
      <c r="AO384" s="15" t="n"/>
      <c r="AP384" s="10" t="n"/>
      <c r="AQ384" s="15" t="n"/>
      <c r="AR384" s="15" t="n"/>
    </row>
    <row r="385" ht="15" customHeight="1">
      <c r="A385" s="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6" t="n"/>
      <c r="N385" s="6" t="n"/>
      <c r="O385" s="6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8" t="n"/>
      <c r="Z385" s="8" t="n"/>
      <c r="AA385" s="8" t="n"/>
      <c r="AB385" s="8" t="n"/>
      <c r="AC385" s="8" t="n"/>
      <c r="AD385" s="8" t="n"/>
      <c r="AE385" s="8" t="n"/>
      <c r="AF385" s="8" t="n"/>
      <c r="AG385" s="8" t="n"/>
      <c r="AH385" s="8" t="n"/>
      <c r="AI385" s="9" t="n"/>
      <c r="AJ385" s="8" t="n"/>
      <c r="AK385" s="8" t="n"/>
      <c r="AL385" s="15" t="n"/>
      <c r="AM385" s="15" t="n"/>
      <c r="AN385" s="15" t="n"/>
      <c r="AO385" s="15" t="n"/>
      <c r="AP385" s="10" t="n"/>
      <c r="AQ385" s="15" t="n"/>
      <c r="AR385" s="15" t="n"/>
    </row>
    <row r="386" ht="15" customHeight="1">
      <c r="A386" s="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6" t="n"/>
      <c r="N386" s="6" t="n"/>
      <c r="O386" s="6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8" t="n"/>
      <c r="Z386" s="8" t="n"/>
      <c r="AA386" s="8" t="n"/>
      <c r="AB386" s="8" t="n"/>
      <c r="AC386" s="8" t="n"/>
      <c r="AD386" s="8" t="n"/>
      <c r="AE386" s="8" t="n"/>
      <c r="AF386" s="8" t="n"/>
      <c r="AG386" s="8" t="n"/>
      <c r="AH386" s="8" t="n"/>
      <c r="AI386" s="9" t="n"/>
      <c r="AJ386" s="8" t="n"/>
      <c r="AK386" s="8" t="n"/>
      <c r="AL386" s="15" t="n"/>
      <c r="AM386" s="15" t="n"/>
      <c r="AN386" s="15" t="n"/>
      <c r="AO386" s="15" t="n"/>
      <c r="AP386" s="10" t="n"/>
      <c r="AQ386" s="15" t="n"/>
      <c r="AR386" s="15" t="n"/>
    </row>
    <row r="387" ht="15" customHeight="1">
      <c r="A387" s="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6" t="n"/>
      <c r="N387" s="6" t="n"/>
      <c r="O387" s="6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8" t="n"/>
      <c r="Z387" s="8" t="n"/>
      <c r="AA387" s="8" t="n"/>
      <c r="AB387" s="8" t="n"/>
      <c r="AC387" s="8" t="n"/>
      <c r="AD387" s="8" t="n"/>
      <c r="AE387" s="8" t="n"/>
      <c r="AF387" s="8" t="n"/>
      <c r="AG387" s="8" t="n"/>
      <c r="AH387" s="8" t="n"/>
      <c r="AI387" s="9" t="n"/>
      <c r="AJ387" s="8" t="n"/>
      <c r="AK387" s="8" t="n"/>
      <c r="AL387" s="15" t="n"/>
      <c r="AM387" s="15" t="n"/>
      <c r="AN387" s="15" t="n"/>
      <c r="AO387" s="15" t="n"/>
      <c r="AP387" s="10" t="n"/>
      <c r="AQ387" s="15" t="n"/>
      <c r="AR387" s="15" t="n"/>
    </row>
    <row r="388" ht="15" customHeight="1">
      <c r="A388" s="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6" t="n"/>
      <c r="N388" s="6" t="n"/>
      <c r="O388" s="6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8" t="n"/>
      <c r="Z388" s="8" t="n"/>
      <c r="AA388" s="8" t="n"/>
      <c r="AB388" s="8" t="n"/>
      <c r="AC388" s="8" t="n"/>
      <c r="AD388" s="8" t="n"/>
      <c r="AE388" s="8" t="n"/>
      <c r="AF388" s="8" t="n"/>
      <c r="AG388" s="8" t="n"/>
      <c r="AH388" s="8" t="n"/>
      <c r="AI388" s="9" t="n"/>
      <c r="AJ388" s="8" t="n"/>
      <c r="AK388" s="8" t="n"/>
      <c r="AL388" s="15" t="n"/>
      <c r="AM388" s="15" t="n"/>
      <c r="AN388" s="15" t="n"/>
      <c r="AO388" s="15" t="n"/>
      <c r="AP388" s="10" t="n"/>
      <c r="AQ388" s="15" t="n"/>
      <c r="AR388" s="15" t="n"/>
    </row>
    <row r="389" ht="15" customHeight="1">
      <c r="A389" s="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6" t="n"/>
      <c r="N389" s="6" t="n"/>
      <c r="O389" s="6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9" t="n"/>
      <c r="AJ389" s="8" t="n"/>
      <c r="AK389" s="8" t="n"/>
      <c r="AL389" s="15" t="n"/>
      <c r="AM389" s="15" t="n"/>
      <c r="AN389" s="15" t="n"/>
      <c r="AO389" s="15" t="n"/>
      <c r="AP389" s="10" t="n"/>
      <c r="AQ389" s="15" t="n"/>
      <c r="AR389" s="15" t="n"/>
    </row>
    <row r="390" ht="15" customHeight="1">
      <c r="A390" s="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6" t="n"/>
      <c r="N390" s="6" t="n"/>
      <c r="O390" s="6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8" t="n"/>
      <c r="Z390" s="8" t="n"/>
      <c r="AA390" s="8" t="n"/>
      <c r="AB390" s="8" t="n"/>
      <c r="AC390" s="8" t="n"/>
      <c r="AD390" s="8" t="n"/>
      <c r="AE390" s="8" t="n"/>
      <c r="AF390" s="8" t="n"/>
      <c r="AG390" s="8" t="n"/>
      <c r="AH390" s="8" t="n"/>
      <c r="AI390" s="9" t="n"/>
      <c r="AJ390" s="8" t="n"/>
      <c r="AK390" s="8" t="n"/>
      <c r="AL390" s="15" t="n"/>
      <c r="AM390" s="15" t="n"/>
      <c r="AN390" s="15" t="n"/>
      <c r="AO390" s="15" t="n"/>
      <c r="AP390" s="10" t="n"/>
      <c r="AQ390" s="15" t="n"/>
      <c r="AR390" s="15" t="n"/>
    </row>
    <row r="391" ht="15" customHeight="1">
      <c r="A391" s="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6" t="n"/>
      <c r="N391" s="6" t="n"/>
      <c r="O391" s="6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8" t="n"/>
      <c r="Z391" s="8" t="n"/>
      <c r="AA391" s="8" t="n"/>
      <c r="AB391" s="8" t="n"/>
      <c r="AC391" s="8" t="n"/>
      <c r="AD391" s="8" t="n"/>
      <c r="AE391" s="8" t="n"/>
      <c r="AF391" s="8" t="n"/>
      <c r="AG391" s="8" t="n"/>
      <c r="AH391" s="8" t="n"/>
      <c r="AI391" s="9" t="n"/>
      <c r="AJ391" s="8" t="n"/>
      <c r="AK391" s="8" t="n"/>
      <c r="AL391" s="15" t="n"/>
      <c r="AM391" s="15" t="n"/>
      <c r="AN391" s="15" t="n"/>
      <c r="AO391" s="15" t="n"/>
      <c r="AP391" s="10" t="n"/>
      <c r="AQ391" s="15" t="n"/>
      <c r="AR391" s="15" t="n"/>
    </row>
    <row r="392" ht="15" customHeight="1">
      <c r="A392" s="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6" t="n"/>
      <c r="N392" s="6" t="n"/>
      <c r="O392" s="6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8" t="n"/>
      <c r="Z392" s="8" t="n"/>
      <c r="AA392" s="8" t="n"/>
      <c r="AB392" s="8" t="n"/>
      <c r="AC392" s="8" t="n"/>
      <c r="AD392" s="8" t="n"/>
      <c r="AE392" s="8" t="n"/>
      <c r="AF392" s="8" t="n"/>
      <c r="AG392" s="8" t="n"/>
      <c r="AH392" s="8" t="n"/>
      <c r="AI392" s="9" t="n"/>
      <c r="AJ392" s="8" t="n"/>
      <c r="AK392" s="8" t="n"/>
      <c r="AL392" s="15" t="n"/>
      <c r="AM392" s="15" t="n"/>
      <c r="AN392" s="15" t="n"/>
      <c r="AO392" s="15" t="n"/>
      <c r="AP392" s="10" t="n"/>
      <c r="AQ392" s="15" t="n"/>
      <c r="AR392" s="15" t="n"/>
    </row>
    <row r="393" ht="15" customHeight="1">
      <c r="A393" s="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6" t="n"/>
      <c r="N393" s="6" t="n"/>
      <c r="O393" s="6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9" t="n"/>
      <c r="AJ393" s="8" t="n"/>
      <c r="AK393" s="8" t="n"/>
      <c r="AL393" s="15" t="n"/>
      <c r="AM393" s="15" t="n"/>
      <c r="AN393" s="15" t="n"/>
      <c r="AO393" s="15" t="n"/>
      <c r="AP393" s="10" t="n"/>
      <c r="AQ393" s="15" t="n"/>
      <c r="AR393" s="15" t="n"/>
    </row>
    <row r="394" ht="15" customHeight="1">
      <c r="A394" s="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6" t="n"/>
      <c r="N394" s="6" t="n"/>
      <c r="O394" s="6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8" t="n"/>
      <c r="Z394" s="8" t="n"/>
      <c r="AA394" s="8" t="n"/>
      <c r="AB394" s="8" t="n"/>
      <c r="AC394" s="8" t="n"/>
      <c r="AD394" s="8" t="n"/>
      <c r="AE394" s="8" t="n"/>
      <c r="AF394" s="8" t="n"/>
      <c r="AG394" s="8" t="n"/>
      <c r="AH394" s="8" t="n"/>
      <c r="AI394" s="9" t="n"/>
      <c r="AJ394" s="8" t="n"/>
      <c r="AK394" s="8" t="n"/>
      <c r="AL394" s="15" t="n"/>
      <c r="AM394" s="15" t="n"/>
      <c r="AN394" s="15" t="n"/>
      <c r="AO394" s="15" t="n"/>
      <c r="AP394" s="10" t="n"/>
      <c r="AQ394" s="15" t="n"/>
      <c r="AR394" s="15" t="n"/>
    </row>
    <row r="395" ht="15" customHeight="1">
      <c r="A395" s="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6" t="n"/>
      <c r="N395" s="6" t="n"/>
      <c r="O395" s="6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8" t="n"/>
      <c r="Z395" s="8" t="n"/>
      <c r="AA395" s="8" t="n"/>
      <c r="AB395" s="8" t="n"/>
      <c r="AC395" s="8" t="n"/>
      <c r="AD395" s="8" t="n"/>
      <c r="AE395" s="8" t="n"/>
      <c r="AF395" s="8" t="n"/>
      <c r="AG395" s="8" t="n"/>
      <c r="AH395" s="8" t="n"/>
      <c r="AI395" s="9" t="n"/>
      <c r="AJ395" s="8" t="n"/>
      <c r="AK395" s="8" t="n"/>
      <c r="AL395" s="15" t="n"/>
      <c r="AM395" s="15" t="n"/>
      <c r="AN395" s="15" t="n"/>
      <c r="AO395" s="15" t="n"/>
      <c r="AP395" s="10" t="n"/>
      <c r="AQ395" s="15" t="n"/>
      <c r="AR395" s="15" t="n"/>
    </row>
    <row r="396" ht="15" customHeight="1">
      <c r="A396" s="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6" t="n"/>
      <c r="N396" s="6" t="n"/>
      <c r="O396" s="6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8" t="n"/>
      <c r="Z396" s="8" t="n"/>
      <c r="AA396" s="8" t="n"/>
      <c r="AB396" s="8" t="n"/>
      <c r="AC396" s="8" t="n"/>
      <c r="AD396" s="8" t="n"/>
      <c r="AE396" s="8" t="n"/>
      <c r="AF396" s="8" t="n"/>
      <c r="AG396" s="8" t="n"/>
      <c r="AH396" s="8" t="n"/>
      <c r="AI396" s="9" t="n"/>
      <c r="AJ396" s="8" t="n"/>
      <c r="AK396" s="8" t="n"/>
      <c r="AL396" s="15" t="n"/>
      <c r="AM396" s="15" t="n"/>
      <c r="AN396" s="15" t="n"/>
      <c r="AO396" s="15" t="n"/>
      <c r="AP396" s="10" t="n"/>
      <c r="AQ396" s="15" t="n"/>
      <c r="AR396" s="15" t="n"/>
    </row>
    <row r="397" ht="15" customHeight="1">
      <c r="A397" s="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6" t="n"/>
      <c r="N397" s="6" t="n"/>
      <c r="O397" s="6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8" t="n"/>
      <c r="Z397" s="8" t="n"/>
      <c r="AA397" s="8" t="n"/>
      <c r="AB397" s="8" t="n"/>
      <c r="AC397" s="8" t="n"/>
      <c r="AD397" s="8" t="n"/>
      <c r="AE397" s="8" t="n"/>
      <c r="AF397" s="8" t="n"/>
      <c r="AG397" s="8" t="n"/>
      <c r="AH397" s="8" t="n"/>
      <c r="AI397" s="9" t="n"/>
      <c r="AJ397" s="8" t="n"/>
      <c r="AK397" s="8" t="n"/>
      <c r="AL397" s="15" t="n"/>
      <c r="AM397" s="15" t="n"/>
      <c r="AN397" s="15" t="n"/>
      <c r="AO397" s="15" t="n"/>
      <c r="AP397" s="10" t="n"/>
      <c r="AQ397" s="15" t="n"/>
      <c r="AR397" s="15" t="n"/>
    </row>
    <row r="398" ht="15" customHeight="1">
      <c r="A398" s="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6" t="n"/>
      <c r="N398" s="6" t="n"/>
      <c r="O398" s="6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8" t="n"/>
      <c r="Z398" s="8" t="n"/>
      <c r="AA398" s="8" t="n"/>
      <c r="AB398" s="8" t="n"/>
      <c r="AC398" s="8" t="n"/>
      <c r="AD398" s="8" t="n"/>
      <c r="AE398" s="8" t="n"/>
      <c r="AF398" s="8" t="n"/>
      <c r="AG398" s="8" t="n"/>
      <c r="AH398" s="8" t="n"/>
      <c r="AI398" s="9" t="n"/>
      <c r="AJ398" s="8" t="n"/>
      <c r="AK398" s="8" t="n"/>
      <c r="AL398" s="15" t="n"/>
      <c r="AM398" s="15" t="n"/>
      <c r="AN398" s="15" t="n"/>
      <c r="AO398" s="15" t="n"/>
      <c r="AP398" s="10" t="n"/>
      <c r="AQ398" s="15" t="n"/>
      <c r="AR398" s="15" t="n"/>
    </row>
    <row r="399" ht="15" customHeight="1">
      <c r="A399" s="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6" t="n"/>
      <c r="N399" s="6" t="n"/>
      <c r="O399" s="6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8" t="n"/>
      <c r="Z399" s="8" t="n"/>
      <c r="AA399" s="8" t="n"/>
      <c r="AB399" s="8" t="n"/>
      <c r="AC399" s="8" t="n"/>
      <c r="AD399" s="8" t="n"/>
      <c r="AE399" s="8" t="n"/>
      <c r="AF399" s="8" t="n"/>
      <c r="AG399" s="8" t="n"/>
      <c r="AH399" s="8" t="n"/>
      <c r="AI399" s="9" t="n"/>
      <c r="AJ399" s="8" t="n"/>
      <c r="AK399" s="8" t="n"/>
      <c r="AL399" s="15" t="n"/>
      <c r="AM399" s="15" t="n"/>
      <c r="AN399" s="15" t="n"/>
      <c r="AO399" s="15" t="n"/>
      <c r="AP399" s="10" t="n"/>
      <c r="AQ399" s="15" t="n"/>
      <c r="AR399" s="15" t="n"/>
    </row>
    <row r="400" ht="15" customHeight="1">
      <c r="A400" s="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6" t="n"/>
      <c r="N400" s="6" t="n"/>
      <c r="O400" s="6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8" t="n"/>
      <c r="Z400" s="8" t="n"/>
      <c r="AA400" s="8" t="n"/>
      <c r="AB400" s="8" t="n"/>
      <c r="AC400" s="8" t="n"/>
      <c r="AD400" s="8" t="n"/>
      <c r="AE400" s="8" t="n"/>
      <c r="AF400" s="8" t="n"/>
      <c r="AG400" s="8" t="n"/>
      <c r="AH400" s="8" t="n"/>
      <c r="AI400" s="9" t="n"/>
      <c r="AJ400" s="8" t="n"/>
      <c r="AK400" s="8" t="n"/>
      <c r="AL400" s="15" t="n"/>
      <c r="AM400" s="15" t="n"/>
      <c r="AN400" s="15" t="n"/>
      <c r="AO400" s="15" t="n"/>
      <c r="AP400" s="10" t="n"/>
      <c r="AQ400" s="15" t="n"/>
      <c r="AR400" s="15" t="n"/>
    </row>
    <row r="401" ht="15" customHeight="1">
      <c r="A401" s="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6" t="n"/>
      <c r="N401" s="6" t="n"/>
      <c r="O401" s="6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8" t="n"/>
      <c r="Z401" s="8" t="n"/>
      <c r="AA401" s="8" t="n"/>
      <c r="AB401" s="8" t="n"/>
      <c r="AC401" s="8" t="n"/>
      <c r="AD401" s="8" t="n"/>
      <c r="AE401" s="8" t="n"/>
      <c r="AF401" s="8" t="n"/>
      <c r="AG401" s="8" t="n"/>
      <c r="AH401" s="8" t="n"/>
      <c r="AI401" s="9" t="n"/>
      <c r="AJ401" s="8" t="n"/>
      <c r="AK401" s="8" t="n"/>
      <c r="AL401" s="15" t="n"/>
      <c r="AM401" s="15" t="n"/>
      <c r="AN401" s="15" t="n"/>
      <c r="AO401" s="15" t="n"/>
      <c r="AP401" s="10" t="n"/>
      <c r="AQ401" s="15" t="n"/>
      <c r="AR401" s="15" t="n"/>
    </row>
    <row r="402" ht="15" customHeight="1">
      <c r="A402" s="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6" t="n"/>
      <c r="N402" s="6" t="n"/>
      <c r="O402" s="6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9" t="n"/>
      <c r="AJ402" s="8" t="n"/>
      <c r="AK402" s="8" t="n"/>
      <c r="AL402" s="15" t="n"/>
      <c r="AM402" s="15" t="n"/>
      <c r="AN402" s="15" t="n"/>
      <c r="AO402" s="15" t="n"/>
      <c r="AP402" s="10" t="n"/>
      <c r="AQ402" s="15" t="n"/>
      <c r="AR402" s="15" t="n"/>
    </row>
    <row r="403" ht="15" customHeight="1">
      <c r="A403" s="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6" t="n"/>
      <c r="N403" s="6" t="n"/>
      <c r="O403" s="6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8" t="n"/>
      <c r="Z403" s="8" t="n"/>
      <c r="AA403" s="8" t="n"/>
      <c r="AB403" s="8" t="n"/>
      <c r="AC403" s="8" t="n"/>
      <c r="AD403" s="8" t="n"/>
      <c r="AE403" s="8" t="n"/>
      <c r="AF403" s="8" t="n"/>
      <c r="AG403" s="8" t="n"/>
      <c r="AH403" s="8" t="n"/>
      <c r="AI403" s="9" t="n"/>
      <c r="AJ403" s="8" t="n"/>
      <c r="AK403" s="8" t="n"/>
      <c r="AL403" s="15" t="n"/>
      <c r="AM403" s="15" t="n"/>
      <c r="AN403" s="15" t="n"/>
      <c r="AO403" s="15" t="n"/>
      <c r="AP403" s="10" t="n"/>
      <c r="AQ403" s="15" t="n"/>
      <c r="AR403" s="15" t="n"/>
    </row>
    <row r="404" ht="15" customHeight="1">
      <c r="A404" s="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6" t="n"/>
      <c r="N404" s="6" t="n"/>
      <c r="O404" s="6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8" t="n"/>
      <c r="Z404" s="8" t="n"/>
      <c r="AA404" s="8" t="n"/>
      <c r="AB404" s="8" t="n"/>
      <c r="AC404" s="8" t="n"/>
      <c r="AD404" s="8" t="n"/>
      <c r="AE404" s="8" t="n"/>
      <c r="AF404" s="8" t="n"/>
      <c r="AG404" s="8" t="n"/>
      <c r="AH404" s="8" t="n"/>
      <c r="AI404" s="9" t="n"/>
      <c r="AJ404" s="8" t="n"/>
      <c r="AK404" s="8" t="n"/>
      <c r="AL404" s="15" t="n"/>
      <c r="AM404" s="15" t="n"/>
      <c r="AN404" s="15" t="n"/>
      <c r="AO404" s="15" t="n"/>
      <c r="AP404" s="10" t="n"/>
      <c r="AQ404" s="15" t="n"/>
      <c r="AR404" s="15" t="n"/>
    </row>
    <row r="405" ht="15" customHeight="1">
      <c r="A405" s="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6" t="n"/>
      <c r="N405" s="6" t="n"/>
      <c r="O405" s="6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8" t="n"/>
      <c r="Z405" s="8" t="n"/>
      <c r="AA405" s="8" t="n"/>
      <c r="AB405" s="8" t="n"/>
      <c r="AC405" s="8" t="n"/>
      <c r="AD405" s="8" t="n"/>
      <c r="AE405" s="8" t="n"/>
      <c r="AF405" s="8" t="n"/>
      <c r="AG405" s="8" t="n"/>
      <c r="AH405" s="8" t="n"/>
      <c r="AI405" s="9" t="n"/>
      <c r="AJ405" s="8" t="n"/>
      <c r="AK405" s="8" t="n"/>
      <c r="AL405" s="15" t="n"/>
      <c r="AM405" s="15" t="n"/>
      <c r="AN405" s="15" t="n"/>
      <c r="AO405" s="15" t="n"/>
      <c r="AP405" s="10" t="n"/>
      <c r="AQ405" s="15" t="n"/>
      <c r="AR405" s="15" t="n"/>
    </row>
    <row r="406" ht="15" customHeight="1">
      <c r="A406" s="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6" t="n"/>
      <c r="N406" s="6" t="n"/>
      <c r="O406" s="6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9" t="n"/>
      <c r="AJ406" s="8" t="n"/>
      <c r="AK406" s="8" t="n"/>
      <c r="AL406" s="15" t="n"/>
      <c r="AM406" s="15" t="n"/>
      <c r="AN406" s="15" t="n"/>
      <c r="AO406" s="15" t="n"/>
      <c r="AP406" s="10" t="n"/>
      <c r="AQ406" s="15" t="n"/>
      <c r="AR406" s="15" t="n"/>
    </row>
    <row r="407" ht="15" customHeight="1">
      <c r="A407" s="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6" t="n"/>
      <c r="N407" s="6" t="n"/>
      <c r="O407" s="6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8" t="n"/>
      <c r="Z407" s="8" t="n"/>
      <c r="AA407" s="8" t="n"/>
      <c r="AB407" s="8" t="n"/>
      <c r="AC407" s="8" t="n"/>
      <c r="AD407" s="8" t="n"/>
      <c r="AE407" s="8" t="n"/>
      <c r="AF407" s="8" t="n"/>
      <c r="AG407" s="8" t="n"/>
      <c r="AH407" s="8" t="n"/>
      <c r="AI407" s="9" t="n"/>
      <c r="AJ407" s="8" t="n"/>
      <c r="AK407" s="8" t="n"/>
      <c r="AL407" s="15" t="n"/>
      <c r="AM407" s="15" t="n"/>
      <c r="AN407" s="15" t="n"/>
      <c r="AO407" s="15" t="n"/>
      <c r="AP407" s="10" t="n"/>
      <c r="AQ407" s="15" t="n"/>
      <c r="AR407" s="15" t="n"/>
    </row>
    <row r="408" ht="15" customHeight="1">
      <c r="A408" s="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6" t="n"/>
      <c r="N408" s="6" t="n"/>
      <c r="O408" s="6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9" t="n"/>
      <c r="AJ408" s="8" t="n"/>
      <c r="AK408" s="8" t="n"/>
      <c r="AL408" s="15" t="n"/>
      <c r="AM408" s="15" t="n"/>
      <c r="AN408" s="15" t="n"/>
      <c r="AO408" s="15" t="n"/>
      <c r="AP408" s="10" t="n"/>
      <c r="AQ408" s="15" t="n"/>
      <c r="AR408" s="15" t="n"/>
    </row>
    <row r="409" ht="15" customHeight="1">
      <c r="A409" s="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6" t="n"/>
      <c r="N409" s="6" t="n"/>
      <c r="O409" s="6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8" t="n"/>
      <c r="Z409" s="8" t="n"/>
      <c r="AA409" s="8" t="n"/>
      <c r="AB409" s="8" t="n"/>
      <c r="AC409" s="8" t="n"/>
      <c r="AD409" s="8" t="n"/>
      <c r="AE409" s="8" t="n"/>
      <c r="AF409" s="8" t="n"/>
      <c r="AG409" s="8" t="n"/>
      <c r="AH409" s="8" t="n"/>
      <c r="AI409" s="9" t="n"/>
      <c r="AJ409" s="8" t="n"/>
      <c r="AK409" s="8" t="n"/>
      <c r="AL409" s="15" t="n"/>
      <c r="AM409" s="15" t="n"/>
      <c r="AN409" s="15" t="n"/>
      <c r="AO409" s="15" t="n"/>
      <c r="AP409" s="10" t="n"/>
      <c r="AQ409" s="15" t="n"/>
      <c r="AR409" s="15" t="n"/>
    </row>
    <row r="410" ht="15" customHeight="1">
      <c r="A410" s="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6" t="n"/>
      <c r="N410" s="6" t="n"/>
      <c r="O410" s="6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8" t="n"/>
      <c r="Z410" s="8" t="n"/>
      <c r="AA410" s="8" t="n"/>
      <c r="AB410" s="8" t="n"/>
      <c r="AC410" s="8" t="n"/>
      <c r="AD410" s="8" t="n"/>
      <c r="AE410" s="8" t="n"/>
      <c r="AF410" s="8" t="n"/>
      <c r="AG410" s="8" t="n"/>
      <c r="AH410" s="8" t="n"/>
      <c r="AI410" s="9" t="n"/>
      <c r="AJ410" s="8" t="n"/>
      <c r="AK410" s="8" t="n"/>
      <c r="AL410" s="15" t="n"/>
      <c r="AM410" s="15" t="n"/>
      <c r="AN410" s="15" t="n"/>
      <c r="AO410" s="15" t="n"/>
      <c r="AP410" s="10" t="n"/>
      <c r="AQ410" s="15" t="n"/>
      <c r="AR410" s="15" t="n"/>
    </row>
    <row r="411" ht="15" customHeight="1">
      <c r="A411" s="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6" t="n"/>
      <c r="N411" s="6" t="n"/>
      <c r="O411" s="6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8" t="n"/>
      <c r="Z411" s="8" t="n"/>
      <c r="AA411" s="8" t="n"/>
      <c r="AB411" s="8" t="n"/>
      <c r="AC411" s="8" t="n"/>
      <c r="AD411" s="8" t="n"/>
      <c r="AE411" s="8" t="n"/>
      <c r="AF411" s="8" t="n"/>
      <c r="AG411" s="8" t="n"/>
      <c r="AH411" s="8" t="n"/>
      <c r="AI411" s="9" t="n"/>
      <c r="AJ411" s="8" t="n"/>
      <c r="AK411" s="8" t="n"/>
      <c r="AL411" s="15" t="n"/>
      <c r="AM411" s="15" t="n"/>
      <c r="AN411" s="15" t="n"/>
      <c r="AO411" s="15" t="n"/>
      <c r="AP411" s="10" t="n"/>
      <c r="AQ411" s="15" t="n"/>
      <c r="AR411" s="15" t="n"/>
    </row>
    <row r="412" ht="15" customHeight="1">
      <c r="A412" s="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6" t="n"/>
      <c r="N412" s="6" t="n"/>
      <c r="O412" s="6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8" t="n"/>
      <c r="Z412" s="8" t="n"/>
      <c r="AA412" s="8" t="n"/>
      <c r="AB412" s="8" t="n"/>
      <c r="AC412" s="8" t="n"/>
      <c r="AD412" s="8" t="n"/>
      <c r="AE412" s="8" t="n"/>
      <c r="AF412" s="8" t="n"/>
      <c r="AG412" s="8" t="n"/>
      <c r="AH412" s="8" t="n"/>
      <c r="AI412" s="9" t="n"/>
      <c r="AJ412" s="8" t="n"/>
      <c r="AK412" s="8" t="n"/>
      <c r="AL412" s="15" t="n"/>
      <c r="AM412" s="15" t="n"/>
      <c r="AN412" s="15" t="n"/>
      <c r="AO412" s="15" t="n"/>
      <c r="AP412" s="10" t="n"/>
      <c r="AQ412" s="15" t="n"/>
      <c r="AR412" s="15" t="n"/>
    </row>
    <row r="413" ht="15" customHeight="1">
      <c r="A413" s="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6" t="n"/>
      <c r="N413" s="6" t="n"/>
      <c r="O413" s="6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8" t="n"/>
      <c r="Z413" s="8" t="n"/>
      <c r="AA413" s="8" t="n"/>
      <c r="AB413" s="8" t="n"/>
      <c r="AC413" s="8" t="n"/>
      <c r="AD413" s="8" t="n"/>
      <c r="AE413" s="8" t="n"/>
      <c r="AF413" s="8" t="n"/>
      <c r="AG413" s="8" t="n"/>
      <c r="AH413" s="8" t="n"/>
      <c r="AI413" s="9" t="n"/>
      <c r="AJ413" s="8" t="n"/>
      <c r="AK413" s="8" t="n"/>
      <c r="AL413" s="15" t="n"/>
      <c r="AM413" s="15" t="n"/>
      <c r="AN413" s="15" t="n"/>
      <c r="AO413" s="15" t="n"/>
      <c r="AP413" s="10" t="n"/>
      <c r="AQ413" s="15" t="n"/>
      <c r="AR413" s="15" t="n"/>
    </row>
    <row r="414" ht="15" customHeight="1">
      <c r="A414" s="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6" t="n"/>
      <c r="N414" s="6" t="n"/>
      <c r="O414" s="6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8" t="n"/>
      <c r="Z414" s="8" t="n"/>
      <c r="AA414" s="8" t="n"/>
      <c r="AB414" s="8" t="n"/>
      <c r="AC414" s="8" t="n"/>
      <c r="AD414" s="8" t="n"/>
      <c r="AE414" s="8" t="n"/>
      <c r="AF414" s="8" t="n"/>
      <c r="AG414" s="8" t="n"/>
      <c r="AH414" s="8" t="n"/>
      <c r="AI414" s="9" t="n"/>
      <c r="AJ414" s="8" t="n"/>
      <c r="AK414" s="8" t="n"/>
      <c r="AL414" s="15" t="n"/>
      <c r="AM414" s="15" t="n"/>
      <c r="AN414" s="15" t="n"/>
      <c r="AO414" s="15" t="n"/>
      <c r="AP414" s="10" t="n"/>
      <c r="AQ414" s="15" t="n"/>
      <c r="AR414" s="15" t="n"/>
    </row>
    <row r="415" ht="15" customHeight="1">
      <c r="A415" s="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6" t="n"/>
      <c r="N415" s="6" t="n"/>
      <c r="O415" s="6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8" t="n"/>
      <c r="Z415" s="8" t="n"/>
      <c r="AA415" s="8" t="n"/>
      <c r="AB415" s="8" t="n"/>
      <c r="AC415" s="8" t="n"/>
      <c r="AD415" s="8" t="n"/>
      <c r="AE415" s="8" t="n"/>
      <c r="AF415" s="8" t="n"/>
      <c r="AG415" s="8" t="n"/>
      <c r="AH415" s="8" t="n"/>
      <c r="AI415" s="9" t="n"/>
      <c r="AJ415" s="8" t="n"/>
      <c r="AK415" s="8" t="n"/>
      <c r="AL415" s="15" t="n"/>
      <c r="AM415" s="15" t="n"/>
      <c r="AN415" s="15" t="n"/>
      <c r="AO415" s="15" t="n"/>
      <c r="AP415" s="10" t="n"/>
      <c r="AQ415" s="15" t="n"/>
      <c r="AR415" s="15" t="n"/>
    </row>
    <row r="416" ht="15" customHeight="1">
      <c r="A416" s="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6" t="n"/>
      <c r="N416" s="6" t="n"/>
      <c r="O416" s="6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8" t="n"/>
      <c r="Z416" s="8" t="n"/>
      <c r="AA416" s="8" t="n"/>
      <c r="AB416" s="8" t="n"/>
      <c r="AC416" s="8" t="n"/>
      <c r="AD416" s="8" t="n"/>
      <c r="AE416" s="8" t="n"/>
      <c r="AF416" s="8" t="n"/>
      <c r="AG416" s="8" t="n"/>
      <c r="AH416" s="8" t="n"/>
      <c r="AI416" s="9" t="n"/>
      <c r="AJ416" s="8" t="n"/>
      <c r="AK416" s="8" t="n"/>
      <c r="AL416" s="15" t="n"/>
      <c r="AM416" s="15" t="n"/>
      <c r="AN416" s="15" t="n"/>
      <c r="AO416" s="15" t="n"/>
      <c r="AP416" s="10" t="n"/>
      <c r="AQ416" s="15" t="n"/>
      <c r="AR416" s="15" t="n"/>
    </row>
    <row r="417" ht="15" customHeight="1">
      <c r="A417" s="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6" t="n"/>
      <c r="N417" s="6" t="n"/>
      <c r="O417" s="6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8" t="n"/>
      <c r="Z417" s="8" t="n"/>
      <c r="AA417" s="8" t="n"/>
      <c r="AB417" s="8" t="n"/>
      <c r="AC417" s="8" t="n"/>
      <c r="AD417" s="8" t="n"/>
      <c r="AE417" s="8" t="n"/>
      <c r="AF417" s="8" t="n"/>
      <c r="AG417" s="8" t="n"/>
      <c r="AH417" s="8" t="n"/>
      <c r="AI417" s="9" t="n"/>
      <c r="AJ417" s="8" t="n"/>
      <c r="AK417" s="8" t="n"/>
      <c r="AL417" s="15" t="n"/>
      <c r="AM417" s="15" t="n"/>
      <c r="AN417" s="15" t="n"/>
      <c r="AO417" s="15" t="n"/>
      <c r="AP417" s="10" t="n"/>
      <c r="AQ417" s="15" t="n"/>
      <c r="AR417" s="15" t="n"/>
    </row>
    <row r="418" ht="15" customHeight="1">
      <c r="A418" s="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6" t="n"/>
      <c r="N418" s="6" t="n"/>
      <c r="O418" s="6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8" t="n"/>
      <c r="Z418" s="8" t="n"/>
      <c r="AA418" s="8" t="n"/>
      <c r="AB418" s="8" t="n"/>
      <c r="AC418" s="8" t="n"/>
      <c r="AD418" s="8" t="n"/>
      <c r="AE418" s="8" t="n"/>
      <c r="AF418" s="8" t="n"/>
      <c r="AG418" s="8" t="n"/>
      <c r="AH418" s="8" t="n"/>
      <c r="AI418" s="9" t="n"/>
      <c r="AJ418" s="8" t="n"/>
      <c r="AK418" s="8" t="n"/>
      <c r="AL418" s="15" t="n"/>
      <c r="AM418" s="15" t="n"/>
      <c r="AN418" s="15" t="n"/>
      <c r="AO418" s="15" t="n"/>
      <c r="AP418" s="10" t="n"/>
      <c r="AQ418" s="15" t="n"/>
      <c r="AR418" s="15" t="n"/>
    </row>
    <row r="419" ht="15" customHeight="1">
      <c r="A419" s="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6" t="n"/>
      <c r="N419" s="6" t="n"/>
      <c r="O419" s="6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8" t="n"/>
      <c r="Z419" s="8" t="n"/>
      <c r="AA419" s="8" t="n"/>
      <c r="AB419" s="8" t="n"/>
      <c r="AC419" s="8" t="n"/>
      <c r="AD419" s="8" t="n"/>
      <c r="AE419" s="8" t="n"/>
      <c r="AF419" s="8" t="n"/>
      <c r="AG419" s="8" t="n"/>
      <c r="AH419" s="8" t="n"/>
      <c r="AI419" s="9" t="n"/>
      <c r="AJ419" s="8" t="n"/>
      <c r="AK419" s="8" t="n"/>
      <c r="AL419" s="15" t="n"/>
      <c r="AM419" s="15" t="n"/>
      <c r="AN419" s="15" t="n"/>
      <c r="AO419" s="15" t="n"/>
      <c r="AP419" s="10" t="n"/>
      <c r="AQ419" s="15" t="n"/>
      <c r="AR419" s="15" t="n"/>
    </row>
    <row r="420" ht="15" customHeight="1">
      <c r="A420" s="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6" t="n"/>
      <c r="N420" s="6" t="n"/>
      <c r="O420" s="6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8" t="n"/>
      <c r="Z420" s="8" t="n"/>
      <c r="AA420" s="8" t="n"/>
      <c r="AB420" s="8" t="n"/>
      <c r="AC420" s="8" t="n"/>
      <c r="AD420" s="8" t="n"/>
      <c r="AE420" s="8" t="n"/>
      <c r="AF420" s="8" t="n"/>
      <c r="AG420" s="8" t="n"/>
      <c r="AH420" s="8" t="n"/>
      <c r="AI420" s="9" t="n"/>
      <c r="AJ420" s="8" t="n"/>
      <c r="AK420" s="8" t="n"/>
      <c r="AL420" s="15" t="n"/>
      <c r="AM420" s="15" t="n"/>
      <c r="AN420" s="15" t="n"/>
      <c r="AO420" s="15" t="n"/>
      <c r="AP420" s="10" t="n"/>
      <c r="AQ420" s="15" t="n"/>
      <c r="AR420" s="15" t="n"/>
    </row>
    <row r="421" ht="15" customHeight="1">
      <c r="A421" s="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6" t="n"/>
      <c r="N421" s="6" t="n"/>
      <c r="O421" s="6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8" t="n"/>
      <c r="Z421" s="8" t="n"/>
      <c r="AA421" s="8" t="n"/>
      <c r="AB421" s="8" t="n"/>
      <c r="AC421" s="8" t="n"/>
      <c r="AD421" s="8" t="n"/>
      <c r="AE421" s="8" t="n"/>
      <c r="AF421" s="8" t="n"/>
      <c r="AG421" s="8" t="n"/>
      <c r="AH421" s="8" t="n"/>
      <c r="AI421" s="9" t="n"/>
      <c r="AJ421" s="8" t="n"/>
      <c r="AK421" s="8" t="n"/>
      <c r="AL421" s="15" t="n"/>
      <c r="AM421" s="15" t="n"/>
      <c r="AN421" s="15" t="n"/>
      <c r="AO421" s="15" t="n"/>
      <c r="AP421" s="10" t="n"/>
      <c r="AQ421" s="15" t="n"/>
      <c r="AR421" s="15" t="n"/>
    </row>
    <row r="422" ht="15" customHeight="1">
      <c r="A422" s="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6" t="n"/>
      <c r="N422" s="6" t="n"/>
      <c r="O422" s="6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8" t="n"/>
      <c r="Z422" s="8" t="n"/>
      <c r="AA422" s="8" t="n"/>
      <c r="AB422" s="8" t="n"/>
      <c r="AC422" s="8" t="n"/>
      <c r="AD422" s="8" t="n"/>
      <c r="AE422" s="8" t="n"/>
      <c r="AF422" s="8" t="n"/>
      <c r="AG422" s="8" t="n"/>
      <c r="AH422" s="8" t="n"/>
      <c r="AI422" s="9" t="n"/>
      <c r="AJ422" s="8" t="n"/>
      <c r="AK422" s="8" t="n"/>
      <c r="AL422" s="15" t="n"/>
      <c r="AM422" s="15" t="n"/>
      <c r="AN422" s="15" t="n"/>
      <c r="AO422" s="15" t="n"/>
      <c r="AP422" s="10" t="n"/>
      <c r="AQ422" s="15" t="n"/>
      <c r="AR422" s="15" t="n"/>
    </row>
    <row r="423" ht="15" customHeight="1">
      <c r="A423" s="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6" t="n"/>
      <c r="N423" s="6" t="n"/>
      <c r="O423" s="6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8" t="n"/>
      <c r="Z423" s="8" t="n"/>
      <c r="AA423" s="8" t="n"/>
      <c r="AB423" s="8" t="n"/>
      <c r="AC423" s="8" t="n"/>
      <c r="AD423" s="8" t="n"/>
      <c r="AE423" s="8" t="n"/>
      <c r="AF423" s="8" t="n"/>
      <c r="AG423" s="8" t="n"/>
      <c r="AH423" s="8" t="n"/>
      <c r="AI423" s="9" t="n"/>
      <c r="AJ423" s="8" t="n"/>
      <c r="AK423" s="8" t="n"/>
      <c r="AL423" s="15" t="n"/>
      <c r="AM423" s="15" t="n"/>
      <c r="AN423" s="15" t="n"/>
      <c r="AO423" s="15" t="n"/>
      <c r="AP423" s="10" t="n"/>
      <c r="AQ423" s="15" t="n"/>
      <c r="AR423" s="15" t="n"/>
    </row>
    <row r="424" ht="15" customHeight="1">
      <c r="A424" s="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6" t="n"/>
      <c r="N424" s="6" t="n"/>
      <c r="O424" s="6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8" t="n"/>
      <c r="Z424" s="8" t="n"/>
      <c r="AA424" s="8" t="n"/>
      <c r="AB424" s="8" t="n"/>
      <c r="AC424" s="8" t="n"/>
      <c r="AD424" s="8" t="n"/>
      <c r="AE424" s="8" t="n"/>
      <c r="AF424" s="8" t="n"/>
      <c r="AG424" s="8" t="n"/>
      <c r="AH424" s="8" t="n"/>
      <c r="AI424" s="9" t="n"/>
      <c r="AJ424" s="8" t="n"/>
      <c r="AK424" s="8" t="n"/>
      <c r="AL424" s="15" t="n"/>
      <c r="AM424" s="15" t="n"/>
      <c r="AN424" s="15" t="n"/>
      <c r="AO424" s="15" t="n"/>
      <c r="AP424" s="10" t="n"/>
      <c r="AQ424" s="15" t="n"/>
      <c r="AR424" s="15" t="n"/>
    </row>
    <row r="425" ht="15" customHeight="1">
      <c r="A425" s="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6" t="n"/>
      <c r="N425" s="6" t="n"/>
      <c r="O425" s="6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8" t="n"/>
      <c r="Z425" s="8" t="n"/>
      <c r="AA425" s="8" t="n"/>
      <c r="AB425" s="8" t="n"/>
      <c r="AC425" s="8" t="n"/>
      <c r="AD425" s="8" t="n"/>
      <c r="AE425" s="8" t="n"/>
      <c r="AF425" s="8" t="n"/>
      <c r="AG425" s="8" t="n"/>
      <c r="AH425" s="8" t="n"/>
      <c r="AI425" s="9" t="n"/>
      <c r="AJ425" s="8" t="n"/>
      <c r="AK425" s="8" t="n"/>
      <c r="AL425" s="15" t="n"/>
      <c r="AM425" s="15" t="n"/>
      <c r="AN425" s="15" t="n"/>
      <c r="AO425" s="15" t="n"/>
      <c r="AP425" s="10" t="n"/>
      <c r="AQ425" s="15" t="n"/>
      <c r="AR425" s="15" t="n"/>
    </row>
    <row r="426" ht="15" customHeight="1">
      <c r="A426" s="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6" t="n"/>
      <c r="N426" s="6" t="n"/>
      <c r="O426" s="6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8" t="n"/>
      <c r="Z426" s="8" t="n"/>
      <c r="AA426" s="8" t="n"/>
      <c r="AB426" s="8" t="n"/>
      <c r="AC426" s="8" t="n"/>
      <c r="AD426" s="8" t="n"/>
      <c r="AE426" s="8" t="n"/>
      <c r="AF426" s="8" t="n"/>
      <c r="AG426" s="8" t="n"/>
      <c r="AH426" s="8" t="n"/>
      <c r="AI426" s="9" t="n"/>
      <c r="AJ426" s="8" t="n"/>
      <c r="AK426" s="8" t="n"/>
      <c r="AL426" s="15" t="n"/>
      <c r="AM426" s="15" t="n"/>
      <c r="AN426" s="15" t="n"/>
      <c r="AO426" s="15" t="n"/>
      <c r="AP426" s="10" t="n"/>
      <c r="AQ426" s="15" t="n"/>
      <c r="AR426" s="15" t="n"/>
    </row>
    <row r="427" ht="15" customHeight="1">
      <c r="A427" s="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6" t="n"/>
      <c r="N427" s="6" t="n"/>
      <c r="O427" s="6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8" t="n"/>
      <c r="Z427" s="8" t="n"/>
      <c r="AA427" s="8" t="n"/>
      <c r="AB427" s="8" t="n"/>
      <c r="AC427" s="8" t="n"/>
      <c r="AD427" s="8" t="n"/>
      <c r="AE427" s="8" t="n"/>
      <c r="AF427" s="8" t="n"/>
      <c r="AG427" s="8" t="n"/>
      <c r="AH427" s="8" t="n"/>
      <c r="AI427" s="9" t="n"/>
      <c r="AJ427" s="8" t="n"/>
      <c r="AK427" s="8" t="n"/>
      <c r="AL427" s="15" t="n"/>
      <c r="AM427" s="15" t="n"/>
      <c r="AN427" s="15" t="n"/>
      <c r="AO427" s="15" t="n"/>
      <c r="AP427" s="10" t="n"/>
      <c r="AQ427" s="15" t="n"/>
      <c r="AR427" s="15" t="n"/>
    </row>
    <row r="428" ht="15" customHeight="1">
      <c r="A428" s="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6" t="n"/>
      <c r="N428" s="6" t="n"/>
      <c r="O428" s="6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8" t="n"/>
      <c r="Z428" s="8" t="n"/>
      <c r="AA428" s="8" t="n"/>
      <c r="AB428" s="8" t="n"/>
      <c r="AC428" s="8" t="n"/>
      <c r="AD428" s="8" t="n"/>
      <c r="AE428" s="8" t="n"/>
      <c r="AF428" s="8" t="n"/>
      <c r="AG428" s="8" t="n"/>
      <c r="AH428" s="8" t="n"/>
      <c r="AI428" s="9" t="n"/>
      <c r="AJ428" s="8" t="n"/>
      <c r="AK428" s="8" t="n"/>
      <c r="AL428" s="15" t="n"/>
      <c r="AM428" s="15" t="n"/>
      <c r="AN428" s="15" t="n"/>
      <c r="AO428" s="15" t="n"/>
      <c r="AP428" s="10" t="n"/>
      <c r="AQ428" s="15" t="n"/>
      <c r="AR428" s="15" t="n"/>
    </row>
    <row r="429" ht="15" customHeight="1">
      <c r="A429" s="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6" t="n"/>
      <c r="N429" s="6" t="n"/>
      <c r="O429" s="6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  <c r="AH429" s="8" t="n"/>
      <c r="AI429" s="9" t="n"/>
      <c r="AJ429" s="8" t="n"/>
      <c r="AK429" s="8" t="n"/>
      <c r="AL429" s="15" t="n"/>
      <c r="AM429" s="15" t="n"/>
      <c r="AN429" s="15" t="n"/>
      <c r="AO429" s="15" t="n"/>
      <c r="AP429" s="10" t="n"/>
      <c r="AQ429" s="15" t="n"/>
      <c r="AR429" s="15" t="n"/>
    </row>
    <row r="430" ht="15" customHeight="1">
      <c r="A430" s="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6" t="n"/>
      <c r="N430" s="6" t="n"/>
      <c r="O430" s="6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8" t="n"/>
      <c r="Z430" s="8" t="n"/>
      <c r="AA430" s="8" t="n"/>
      <c r="AB430" s="8" t="n"/>
      <c r="AC430" s="8" t="n"/>
      <c r="AD430" s="8" t="n"/>
      <c r="AE430" s="8" t="n"/>
      <c r="AF430" s="8" t="n"/>
      <c r="AG430" s="8" t="n"/>
      <c r="AH430" s="8" t="n"/>
      <c r="AI430" s="9" t="n"/>
      <c r="AJ430" s="8" t="n"/>
      <c r="AK430" s="8" t="n"/>
      <c r="AL430" s="15" t="n"/>
      <c r="AM430" s="15" t="n"/>
      <c r="AN430" s="15" t="n"/>
      <c r="AO430" s="15" t="n"/>
      <c r="AP430" s="10" t="n"/>
      <c r="AQ430" s="15" t="n"/>
      <c r="AR430" s="15" t="n"/>
    </row>
    <row r="431" ht="15" customHeight="1">
      <c r="A431" s="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6" t="n"/>
      <c r="N431" s="6" t="n"/>
      <c r="O431" s="6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9" t="n"/>
      <c r="AJ431" s="8" t="n"/>
      <c r="AK431" s="8" t="n"/>
      <c r="AL431" s="15" t="n"/>
      <c r="AM431" s="15" t="n"/>
      <c r="AN431" s="15" t="n"/>
      <c r="AO431" s="15" t="n"/>
      <c r="AP431" s="10" t="n"/>
      <c r="AQ431" s="15" t="n"/>
      <c r="AR431" s="15" t="n"/>
    </row>
    <row r="432" ht="15" customHeight="1">
      <c r="A432" s="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6" t="n"/>
      <c r="N432" s="6" t="n"/>
      <c r="O432" s="6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8" t="n"/>
      <c r="Z432" s="8" t="n"/>
      <c r="AA432" s="8" t="n"/>
      <c r="AB432" s="8" t="n"/>
      <c r="AC432" s="8" t="n"/>
      <c r="AD432" s="8" t="n"/>
      <c r="AE432" s="8" t="n"/>
      <c r="AF432" s="8" t="n"/>
      <c r="AG432" s="8" t="n"/>
      <c r="AH432" s="8" t="n"/>
      <c r="AI432" s="9" t="n"/>
      <c r="AJ432" s="8" t="n"/>
      <c r="AK432" s="8" t="n"/>
      <c r="AL432" s="15" t="n"/>
      <c r="AM432" s="15" t="n"/>
      <c r="AN432" s="15" t="n"/>
      <c r="AO432" s="15" t="n"/>
      <c r="AP432" s="10" t="n"/>
      <c r="AQ432" s="15" t="n"/>
      <c r="AR432" s="15" t="n"/>
    </row>
    <row r="433" ht="15" customHeight="1">
      <c r="A433" s="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6" t="n"/>
      <c r="N433" s="6" t="n"/>
      <c r="O433" s="6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8" t="n"/>
      <c r="Z433" s="8" t="n"/>
      <c r="AA433" s="8" t="n"/>
      <c r="AB433" s="8" t="n"/>
      <c r="AC433" s="8" t="n"/>
      <c r="AD433" s="8" t="n"/>
      <c r="AE433" s="8" t="n"/>
      <c r="AF433" s="8" t="n"/>
      <c r="AG433" s="8" t="n"/>
      <c r="AH433" s="8" t="n"/>
      <c r="AI433" s="9" t="n"/>
      <c r="AJ433" s="8" t="n"/>
      <c r="AK433" s="8" t="n"/>
      <c r="AL433" s="15" t="n"/>
      <c r="AM433" s="15" t="n"/>
      <c r="AN433" s="15" t="n"/>
      <c r="AO433" s="15" t="n"/>
      <c r="AP433" s="10" t="n"/>
      <c r="AQ433" s="15" t="n"/>
      <c r="AR433" s="15" t="n"/>
    </row>
    <row r="434" ht="15" customHeight="1">
      <c r="A434" s="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6" t="n"/>
      <c r="N434" s="6" t="n"/>
      <c r="O434" s="6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8" t="n"/>
      <c r="Z434" s="8" t="n"/>
      <c r="AA434" s="8" t="n"/>
      <c r="AB434" s="8" t="n"/>
      <c r="AC434" s="8" t="n"/>
      <c r="AD434" s="8" t="n"/>
      <c r="AE434" s="8" t="n"/>
      <c r="AF434" s="8" t="n"/>
      <c r="AG434" s="8" t="n"/>
      <c r="AH434" s="8" t="n"/>
      <c r="AI434" s="9" t="n"/>
      <c r="AJ434" s="8" t="n"/>
      <c r="AK434" s="8" t="n"/>
      <c r="AL434" s="15" t="n"/>
      <c r="AM434" s="15" t="n"/>
      <c r="AN434" s="15" t="n"/>
      <c r="AO434" s="15" t="n"/>
      <c r="AP434" s="10" t="n"/>
      <c r="AQ434" s="15" t="n"/>
      <c r="AR434" s="15" t="n"/>
    </row>
    <row r="435" ht="15" customHeight="1">
      <c r="A435" s="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6" t="n"/>
      <c r="N435" s="6" t="n"/>
      <c r="O435" s="6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8" t="n"/>
      <c r="Z435" s="8" t="n"/>
      <c r="AA435" s="8" t="n"/>
      <c r="AB435" s="8" t="n"/>
      <c r="AC435" s="8" t="n"/>
      <c r="AD435" s="8" t="n"/>
      <c r="AE435" s="8" t="n"/>
      <c r="AF435" s="8" t="n"/>
      <c r="AG435" s="8" t="n"/>
      <c r="AH435" s="8" t="n"/>
      <c r="AI435" s="9" t="n"/>
      <c r="AJ435" s="8" t="n"/>
      <c r="AK435" s="8" t="n"/>
      <c r="AL435" s="15" t="n"/>
      <c r="AM435" s="15" t="n"/>
      <c r="AN435" s="15" t="n"/>
      <c r="AO435" s="15" t="n"/>
      <c r="AP435" s="10" t="n"/>
      <c r="AQ435" s="15" t="n"/>
      <c r="AR435" s="15" t="n"/>
    </row>
    <row r="436" ht="15" customHeight="1">
      <c r="A436" s="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6" t="n"/>
      <c r="N436" s="6" t="n"/>
      <c r="O436" s="6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8" t="n"/>
      <c r="Z436" s="8" t="n"/>
      <c r="AA436" s="8" t="n"/>
      <c r="AB436" s="8" t="n"/>
      <c r="AC436" s="8" t="n"/>
      <c r="AD436" s="8" t="n"/>
      <c r="AE436" s="8" t="n"/>
      <c r="AF436" s="8" t="n"/>
      <c r="AG436" s="8" t="n"/>
      <c r="AH436" s="8" t="n"/>
      <c r="AI436" s="9" t="n"/>
      <c r="AJ436" s="8" t="n"/>
      <c r="AK436" s="8" t="n"/>
      <c r="AL436" s="15" t="n"/>
      <c r="AM436" s="15" t="n"/>
      <c r="AN436" s="15" t="n"/>
      <c r="AO436" s="15" t="n"/>
      <c r="AP436" s="10" t="n"/>
      <c r="AQ436" s="15" t="n"/>
      <c r="AR436" s="15" t="n"/>
    </row>
    <row r="437" ht="15" customHeight="1">
      <c r="A437" s="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6" t="n"/>
      <c r="N437" s="6" t="n"/>
      <c r="O437" s="6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  <c r="AH437" s="8" t="n"/>
      <c r="AI437" s="9" t="n"/>
      <c r="AJ437" s="8" t="n"/>
      <c r="AK437" s="8" t="n"/>
      <c r="AL437" s="15" t="n"/>
      <c r="AM437" s="15" t="n"/>
      <c r="AN437" s="15" t="n"/>
      <c r="AO437" s="15" t="n"/>
      <c r="AP437" s="10" t="n"/>
      <c r="AQ437" s="15" t="n"/>
      <c r="AR437" s="15" t="n"/>
    </row>
    <row r="438" ht="15" customHeight="1">
      <c r="A438" s="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6" t="n"/>
      <c r="N438" s="6" t="n"/>
      <c r="O438" s="6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8" t="n"/>
      <c r="Z438" s="8" t="n"/>
      <c r="AA438" s="8" t="n"/>
      <c r="AB438" s="8" t="n"/>
      <c r="AC438" s="8" t="n"/>
      <c r="AD438" s="8" t="n"/>
      <c r="AE438" s="8" t="n"/>
      <c r="AF438" s="8" t="n"/>
      <c r="AG438" s="8" t="n"/>
      <c r="AH438" s="8" t="n"/>
      <c r="AI438" s="9" t="n"/>
      <c r="AJ438" s="8" t="n"/>
      <c r="AK438" s="8" t="n"/>
      <c r="AL438" s="15" t="n"/>
      <c r="AM438" s="15" t="n"/>
      <c r="AN438" s="15" t="n"/>
      <c r="AO438" s="15" t="n"/>
      <c r="AP438" s="10" t="n"/>
      <c r="AQ438" s="15" t="n"/>
      <c r="AR438" s="15" t="n"/>
    </row>
    <row r="439" ht="15" customHeight="1">
      <c r="A439" s="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6" t="n"/>
      <c r="N439" s="6" t="n"/>
      <c r="O439" s="6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8" t="n"/>
      <c r="Z439" s="8" t="n"/>
      <c r="AA439" s="8" t="n"/>
      <c r="AB439" s="8" t="n"/>
      <c r="AC439" s="8" t="n"/>
      <c r="AD439" s="8" t="n"/>
      <c r="AE439" s="8" t="n"/>
      <c r="AF439" s="8" t="n"/>
      <c r="AG439" s="8" t="n"/>
      <c r="AH439" s="8" t="n"/>
      <c r="AI439" s="9" t="n"/>
      <c r="AJ439" s="8" t="n"/>
      <c r="AK439" s="8" t="n"/>
      <c r="AL439" s="15" t="n"/>
      <c r="AM439" s="15" t="n"/>
      <c r="AN439" s="15" t="n"/>
      <c r="AO439" s="15" t="n"/>
      <c r="AP439" s="10" t="n"/>
      <c r="AQ439" s="15" t="n"/>
      <c r="AR439" s="15" t="n"/>
    </row>
    <row r="440" ht="15" customHeight="1">
      <c r="A440" s="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6" t="n"/>
      <c r="N440" s="6" t="n"/>
      <c r="O440" s="6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8" t="n"/>
      <c r="Z440" s="8" t="n"/>
      <c r="AA440" s="8" t="n"/>
      <c r="AB440" s="8" t="n"/>
      <c r="AC440" s="8" t="n"/>
      <c r="AD440" s="8" t="n"/>
      <c r="AE440" s="8" t="n"/>
      <c r="AF440" s="8" t="n"/>
      <c r="AG440" s="8" t="n"/>
      <c r="AH440" s="8" t="n"/>
      <c r="AI440" s="9" t="n"/>
      <c r="AJ440" s="8" t="n"/>
      <c r="AK440" s="8" t="n"/>
      <c r="AL440" s="15" t="n"/>
      <c r="AM440" s="15" t="n"/>
      <c r="AN440" s="15" t="n"/>
      <c r="AO440" s="15" t="n"/>
      <c r="AP440" s="10" t="n"/>
      <c r="AQ440" s="15" t="n"/>
      <c r="AR440" s="15" t="n"/>
    </row>
    <row r="441" ht="15" customHeight="1">
      <c r="A441" s="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6" t="n"/>
      <c r="N441" s="6" t="n"/>
      <c r="O441" s="6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8" t="n"/>
      <c r="Z441" s="8" t="n"/>
      <c r="AA441" s="8" t="n"/>
      <c r="AB441" s="8" t="n"/>
      <c r="AC441" s="8" t="n"/>
      <c r="AD441" s="8" t="n"/>
      <c r="AE441" s="8" t="n"/>
      <c r="AF441" s="8" t="n"/>
      <c r="AG441" s="8" t="n"/>
      <c r="AH441" s="8" t="n"/>
      <c r="AI441" s="9" t="n"/>
      <c r="AJ441" s="8" t="n"/>
      <c r="AK441" s="8" t="n"/>
      <c r="AL441" s="15" t="n"/>
      <c r="AM441" s="15" t="n"/>
      <c r="AN441" s="15" t="n"/>
      <c r="AO441" s="15" t="n"/>
      <c r="AP441" s="10" t="n"/>
      <c r="AQ441" s="15" t="n"/>
      <c r="AR441" s="15" t="n"/>
    </row>
    <row r="442" ht="15" customHeight="1">
      <c r="A442" s="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6" t="n"/>
      <c r="N442" s="6" t="n"/>
      <c r="O442" s="6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8" t="n"/>
      <c r="Z442" s="8" t="n"/>
      <c r="AA442" s="8" t="n"/>
      <c r="AB442" s="8" t="n"/>
      <c r="AC442" s="8" t="n"/>
      <c r="AD442" s="8" t="n"/>
      <c r="AE442" s="8" t="n"/>
      <c r="AF442" s="8" t="n"/>
      <c r="AG442" s="8" t="n"/>
      <c r="AH442" s="8" t="n"/>
      <c r="AI442" s="9" t="n"/>
      <c r="AJ442" s="8" t="n"/>
      <c r="AK442" s="8" t="n"/>
      <c r="AL442" s="15" t="n"/>
      <c r="AM442" s="15" t="n"/>
      <c r="AN442" s="15" t="n"/>
      <c r="AO442" s="15" t="n"/>
      <c r="AP442" s="10" t="n"/>
      <c r="AQ442" s="15" t="n"/>
      <c r="AR442" s="15" t="n"/>
    </row>
    <row r="443" ht="15" customHeight="1">
      <c r="A443" s="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6" t="n"/>
      <c r="N443" s="6" t="n"/>
      <c r="O443" s="6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8" t="n"/>
      <c r="Z443" s="8" t="n"/>
      <c r="AA443" s="8" t="n"/>
      <c r="AB443" s="8" t="n"/>
      <c r="AC443" s="8" t="n"/>
      <c r="AD443" s="8" t="n"/>
      <c r="AE443" s="8" t="n"/>
      <c r="AF443" s="8" t="n"/>
      <c r="AG443" s="8" t="n"/>
      <c r="AH443" s="8" t="n"/>
      <c r="AI443" s="9" t="n"/>
      <c r="AJ443" s="8" t="n"/>
      <c r="AK443" s="8" t="n"/>
      <c r="AL443" s="15" t="n"/>
      <c r="AM443" s="15" t="n"/>
      <c r="AN443" s="15" t="n"/>
      <c r="AO443" s="15" t="n"/>
      <c r="AP443" s="10" t="n"/>
      <c r="AQ443" s="15" t="n"/>
      <c r="AR443" s="15" t="n"/>
    </row>
    <row r="444" ht="15" customHeight="1">
      <c r="A444" s="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6" t="n"/>
      <c r="N444" s="6" t="n"/>
      <c r="O444" s="6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8" t="n"/>
      <c r="Z444" s="8" t="n"/>
      <c r="AA444" s="8" t="n"/>
      <c r="AB444" s="8" t="n"/>
      <c r="AC444" s="8" t="n"/>
      <c r="AD444" s="8" t="n"/>
      <c r="AE444" s="8" t="n"/>
      <c r="AF444" s="8" t="n"/>
      <c r="AG444" s="8" t="n"/>
      <c r="AH444" s="8" t="n"/>
      <c r="AI444" s="9" t="n"/>
      <c r="AJ444" s="8" t="n"/>
      <c r="AK444" s="8" t="n"/>
      <c r="AL444" s="15" t="n"/>
      <c r="AM444" s="15" t="n"/>
      <c r="AN444" s="15" t="n"/>
      <c r="AO444" s="15" t="n"/>
      <c r="AP444" s="10" t="n"/>
      <c r="AQ444" s="15" t="n"/>
      <c r="AR444" s="15" t="n"/>
    </row>
    <row r="445" ht="15" customHeight="1">
      <c r="A445" s="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6" t="n"/>
      <c r="N445" s="6" t="n"/>
      <c r="O445" s="6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8" t="n"/>
      <c r="Z445" s="8" t="n"/>
      <c r="AA445" s="8" t="n"/>
      <c r="AB445" s="8" t="n"/>
      <c r="AC445" s="8" t="n"/>
      <c r="AD445" s="8" t="n"/>
      <c r="AE445" s="8" t="n"/>
      <c r="AF445" s="8" t="n"/>
      <c r="AG445" s="8" t="n"/>
      <c r="AH445" s="8" t="n"/>
      <c r="AI445" s="9" t="n"/>
      <c r="AJ445" s="8" t="n"/>
      <c r="AK445" s="8" t="n"/>
      <c r="AL445" s="15" t="n"/>
      <c r="AM445" s="15" t="n"/>
      <c r="AN445" s="15" t="n"/>
      <c r="AO445" s="15" t="n"/>
      <c r="AP445" s="10" t="n"/>
      <c r="AQ445" s="15" t="n"/>
      <c r="AR445" s="15" t="n"/>
    </row>
    <row r="446" ht="15" customHeight="1">
      <c r="A446" s="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6" t="n"/>
      <c r="N446" s="6" t="n"/>
      <c r="O446" s="6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8" t="n"/>
      <c r="Z446" s="8" t="n"/>
      <c r="AA446" s="8" t="n"/>
      <c r="AB446" s="8" t="n"/>
      <c r="AC446" s="8" t="n"/>
      <c r="AD446" s="8" t="n"/>
      <c r="AE446" s="8" t="n"/>
      <c r="AF446" s="8" t="n"/>
      <c r="AG446" s="8" t="n"/>
      <c r="AH446" s="8" t="n"/>
      <c r="AI446" s="9" t="n"/>
      <c r="AJ446" s="8" t="n"/>
      <c r="AK446" s="8" t="n"/>
      <c r="AL446" s="15" t="n"/>
      <c r="AM446" s="15" t="n"/>
      <c r="AN446" s="15" t="n"/>
      <c r="AO446" s="15" t="n"/>
      <c r="AP446" s="10" t="n"/>
      <c r="AQ446" s="15" t="n"/>
      <c r="AR446" s="15" t="n"/>
    </row>
    <row r="447" ht="15" customHeight="1">
      <c r="A447" s="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6" t="n"/>
      <c r="N447" s="6" t="n"/>
      <c r="O447" s="6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8" t="n"/>
      <c r="Z447" s="8" t="n"/>
      <c r="AA447" s="8" t="n"/>
      <c r="AB447" s="8" t="n"/>
      <c r="AC447" s="8" t="n"/>
      <c r="AD447" s="8" t="n"/>
      <c r="AE447" s="8" t="n"/>
      <c r="AF447" s="8" t="n"/>
      <c r="AG447" s="8" t="n"/>
      <c r="AH447" s="8" t="n"/>
      <c r="AI447" s="9" t="n"/>
      <c r="AJ447" s="8" t="n"/>
      <c r="AK447" s="8" t="n"/>
      <c r="AL447" s="15" t="n"/>
      <c r="AM447" s="15" t="n"/>
      <c r="AN447" s="15" t="n"/>
      <c r="AO447" s="15" t="n"/>
      <c r="AP447" s="10" t="n"/>
      <c r="AQ447" s="15" t="n"/>
      <c r="AR447" s="15" t="n"/>
    </row>
    <row r="448" ht="15" customHeight="1">
      <c r="A448" s="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6" t="n"/>
      <c r="N448" s="6" t="n"/>
      <c r="O448" s="6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8" t="n"/>
      <c r="Z448" s="8" t="n"/>
      <c r="AA448" s="8" t="n"/>
      <c r="AB448" s="8" t="n"/>
      <c r="AC448" s="8" t="n"/>
      <c r="AD448" s="8" t="n"/>
      <c r="AE448" s="8" t="n"/>
      <c r="AF448" s="8" t="n"/>
      <c r="AG448" s="8" t="n"/>
      <c r="AH448" s="8" t="n"/>
      <c r="AI448" s="9" t="n"/>
      <c r="AJ448" s="8" t="n"/>
      <c r="AK448" s="8" t="n"/>
      <c r="AL448" s="15" t="n"/>
      <c r="AM448" s="15" t="n"/>
      <c r="AN448" s="15" t="n"/>
      <c r="AO448" s="15" t="n"/>
      <c r="AP448" s="10" t="n"/>
      <c r="AQ448" s="15" t="n"/>
      <c r="AR448" s="15" t="n"/>
    </row>
    <row r="449" ht="15" customHeight="1">
      <c r="A449" s="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6" t="n"/>
      <c r="N449" s="6" t="n"/>
      <c r="O449" s="6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8" t="n"/>
      <c r="Z449" s="8" t="n"/>
      <c r="AA449" s="8" t="n"/>
      <c r="AB449" s="8" t="n"/>
      <c r="AC449" s="8" t="n"/>
      <c r="AD449" s="8" t="n"/>
      <c r="AE449" s="8" t="n"/>
      <c r="AF449" s="8" t="n"/>
      <c r="AG449" s="8" t="n"/>
      <c r="AH449" s="8" t="n"/>
      <c r="AI449" s="9" t="n"/>
      <c r="AJ449" s="8" t="n"/>
      <c r="AK449" s="8" t="n"/>
      <c r="AL449" s="15" t="n"/>
      <c r="AM449" s="15" t="n"/>
      <c r="AN449" s="15" t="n"/>
      <c r="AO449" s="15" t="n"/>
      <c r="AP449" s="10" t="n"/>
      <c r="AQ449" s="15" t="n"/>
      <c r="AR449" s="15" t="n"/>
    </row>
    <row r="450" ht="15" customHeight="1">
      <c r="A450" s="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6" t="n"/>
      <c r="N450" s="6" t="n"/>
      <c r="O450" s="6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9" t="n"/>
      <c r="AJ450" s="8" t="n"/>
      <c r="AK450" s="8" t="n"/>
      <c r="AL450" s="15" t="n"/>
      <c r="AM450" s="15" t="n"/>
      <c r="AN450" s="15" t="n"/>
      <c r="AO450" s="15" t="n"/>
      <c r="AP450" s="10" t="n"/>
      <c r="AQ450" s="15" t="n"/>
      <c r="AR450" s="15" t="n"/>
    </row>
    <row r="451" ht="15" customHeight="1">
      <c r="A451" s="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6" t="n"/>
      <c r="N451" s="6" t="n"/>
      <c r="O451" s="6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8" t="n"/>
      <c r="Z451" s="8" t="n"/>
      <c r="AA451" s="8" t="n"/>
      <c r="AB451" s="8" t="n"/>
      <c r="AC451" s="8" t="n"/>
      <c r="AD451" s="8" t="n"/>
      <c r="AE451" s="8" t="n"/>
      <c r="AF451" s="8" t="n"/>
      <c r="AG451" s="8" t="n"/>
      <c r="AH451" s="8" t="n"/>
      <c r="AI451" s="9" t="n"/>
      <c r="AJ451" s="8" t="n"/>
      <c r="AK451" s="8" t="n"/>
      <c r="AL451" s="15" t="n"/>
      <c r="AM451" s="15" t="n"/>
      <c r="AN451" s="15" t="n"/>
      <c r="AO451" s="15" t="n"/>
      <c r="AP451" s="10" t="n"/>
      <c r="AQ451" s="15" t="n"/>
      <c r="AR451" s="15" t="n"/>
    </row>
    <row r="452" ht="15" customHeight="1">
      <c r="A452" s="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6" t="n"/>
      <c r="N452" s="6" t="n"/>
      <c r="O452" s="6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8" t="n"/>
      <c r="Z452" s="8" t="n"/>
      <c r="AA452" s="8" t="n"/>
      <c r="AB452" s="8" t="n"/>
      <c r="AC452" s="8" t="n"/>
      <c r="AD452" s="8" t="n"/>
      <c r="AE452" s="8" t="n"/>
      <c r="AF452" s="8" t="n"/>
      <c r="AG452" s="8" t="n"/>
      <c r="AH452" s="8" t="n"/>
      <c r="AI452" s="9" t="n"/>
      <c r="AJ452" s="8" t="n"/>
      <c r="AK452" s="8" t="n"/>
      <c r="AL452" s="15" t="n"/>
      <c r="AM452" s="15" t="n"/>
      <c r="AN452" s="15" t="n"/>
      <c r="AO452" s="15" t="n"/>
      <c r="AP452" s="10" t="n"/>
      <c r="AQ452" s="15" t="n"/>
      <c r="AR452" s="15" t="n"/>
    </row>
    <row r="453" ht="15" customHeight="1">
      <c r="A453" s="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6" t="n"/>
      <c r="N453" s="6" t="n"/>
      <c r="O453" s="6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8" t="n"/>
      <c r="Z453" s="8" t="n"/>
      <c r="AA453" s="8" t="n"/>
      <c r="AB453" s="8" t="n"/>
      <c r="AC453" s="8" t="n"/>
      <c r="AD453" s="8" t="n"/>
      <c r="AE453" s="8" t="n"/>
      <c r="AF453" s="8" t="n"/>
      <c r="AG453" s="8" t="n"/>
      <c r="AH453" s="8" t="n"/>
      <c r="AI453" s="9" t="n"/>
      <c r="AJ453" s="8" t="n"/>
      <c r="AK453" s="8" t="n"/>
      <c r="AL453" s="15" t="n"/>
      <c r="AM453" s="15" t="n"/>
      <c r="AN453" s="15" t="n"/>
      <c r="AO453" s="15" t="n"/>
      <c r="AP453" s="10" t="n"/>
      <c r="AQ453" s="15" t="n"/>
      <c r="AR453" s="15" t="n"/>
    </row>
    <row r="454" ht="15" customHeight="1">
      <c r="A454" s="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6" t="n"/>
      <c r="N454" s="6" t="n"/>
      <c r="O454" s="6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8" t="n"/>
      <c r="Z454" s="8" t="n"/>
      <c r="AA454" s="8" t="n"/>
      <c r="AB454" s="8" t="n"/>
      <c r="AC454" s="8" t="n"/>
      <c r="AD454" s="8" t="n"/>
      <c r="AE454" s="8" t="n"/>
      <c r="AF454" s="8" t="n"/>
      <c r="AG454" s="8" t="n"/>
      <c r="AH454" s="8" t="n"/>
      <c r="AI454" s="9" t="n"/>
      <c r="AJ454" s="8" t="n"/>
      <c r="AK454" s="8" t="n"/>
      <c r="AL454" s="15" t="n"/>
      <c r="AM454" s="15" t="n"/>
      <c r="AN454" s="15" t="n"/>
      <c r="AO454" s="15" t="n"/>
      <c r="AP454" s="10" t="n"/>
      <c r="AQ454" s="15" t="n"/>
      <c r="AR454" s="15" t="n"/>
    </row>
    <row r="455" ht="15" customHeight="1">
      <c r="A455" s="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6" t="n"/>
      <c r="N455" s="6" t="n"/>
      <c r="O455" s="6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8" t="n"/>
      <c r="Z455" s="8" t="n"/>
      <c r="AA455" s="8" t="n"/>
      <c r="AB455" s="8" t="n"/>
      <c r="AC455" s="8" t="n"/>
      <c r="AD455" s="8" t="n"/>
      <c r="AE455" s="8" t="n"/>
      <c r="AF455" s="8" t="n"/>
      <c r="AG455" s="8" t="n"/>
      <c r="AH455" s="8" t="n"/>
      <c r="AI455" s="9" t="n"/>
      <c r="AJ455" s="8" t="n"/>
      <c r="AK455" s="8" t="n"/>
      <c r="AL455" s="15" t="n"/>
      <c r="AM455" s="15" t="n"/>
      <c r="AN455" s="15" t="n"/>
      <c r="AO455" s="15" t="n"/>
      <c r="AP455" s="10" t="n"/>
      <c r="AQ455" s="15" t="n"/>
      <c r="AR455" s="15" t="n"/>
    </row>
    <row r="456" ht="15" customHeight="1">
      <c r="A456" s="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6" t="n"/>
      <c r="N456" s="6" t="n"/>
      <c r="O456" s="6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  <c r="AH456" s="8" t="n"/>
      <c r="AI456" s="9" t="n"/>
      <c r="AJ456" s="8" t="n"/>
      <c r="AK456" s="8" t="n"/>
      <c r="AL456" s="15" t="n"/>
      <c r="AM456" s="15" t="n"/>
      <c r="AN456" s="15" t="n"/>
      <c r="AO456" s="15" t="n"/>
      <c r="AP456" s="10" t="n"/>
      <c r="AQ456" s="15" t="n"/>
      <c r="AR456" s="15" t="n"/>
    </row>
    <row r="457" ht="15" customHeight="1">
      <c r="A457" s="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6" t="n"/>
      <c r="N457" s="6" t="n"/>
      <c r="O457" s="6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8" t="n"/>
      <c r="Z457" s="8" t="n"/>
      <c r="AA457" s="8" t="n"/>
      <c r="AB457" s="8" t="n"/>
      <c r="AC457" s="8" t="n"/>
      <c r="AD457" s="8" t="n"/>
      <c r="AE457" s="8" t="n"/>
      <c r="AF457" s="8" t="n"/>
      <c r="AG457" s="8" t="n"/>
      <c r="AH457" s="8" t="n"/>
      <c r="AI457" s="9" t="n"/>
      <c r="AJ457" s="8" t="n"/>
      <c r="AK457" s="8" t="n"/>
      <c r="AL457" s="15" t="n"/>
      <c r="AM457" s="15" t="n"/>
      <c r="AN457" s="15" t="n"/>
      <c r="AO457" s="15" t="n"/>
      <c r="AP457" s="10" t="n"/>
      <c r="AQ457" s="15" t="n"/>
      <c r="AR457" s="15" t="n"/>
    </row>
    <row r="458" ht="15" customHeight="1">
      <c r="A458" s="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6" t="n"/>
      <c r="N458" s="6" t="n"/>
      <c r="O458" s="6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8" t="n"/>
      <c r="Z458" s="8" t="n"/>
      <c r="AA458" s="8" t="n"/>
      <c r="AB458" s="8" t="n"/>
      <c r="AC458" s="8" t="n"/>
      <c r="AD458" s="8" t="n"/>
      <c r="AE458" s="8" t="n"/>
      <c r="AF458" s="8" t="n"/>
      <c r="AG458" s="8" t="n"/>
      <c r="AH458" s="8" t="n"/>
      <c r="AI458" s="9" t="n"/>
      <c r="AJ458" s="8" t="n"/>
      <c r="AK458" s="8" t="n"/>
      <c r="AL458" s="15" t="n"/>
      <c r="AM458" s="15" t="n"/>
      <c r="AN458" s="15" t="n"/>
      <c r="AO458" s="15" t="n"/>
      <c r="AP458" s="10" t="n"/>
      <c r="AQ458" s="15" t="n"/>
      <c r="AR458" s="15" t="n"/>
    </row>
    <row r="459" ht="15" customHeight="1">
      <c r="A459" s="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6" t="n"/>
      <c r="N459" s="6" t="n"/>
      <c r="O459" s="6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8" t="n"/>
      <c r="Z459" s="8" t="n"/>
      <c r="AA459" s="8" t="n"/>
      <c r="AB459" s="8" t="n"/>
      <c r="AC459" s="8" t="n"/>
      <c r="AD459" s="8" t="n"/>
      <c r="AE459" s="8" t="n"/>
      <c r="AF459" s="8" t="n"/>
      <c r="AG459" s="8" t="n"/>
      <c r="AH459" s="8" t="n"/>
      <c r="AI459" s="9" t="n"/>
      <c r="AJ459" s="8" t="n"/>
      <c r="AK459" s="8" t="n"/>
      <c r="AL459" s="15" t="n"/>
      <c r="AM459" s="15" t="n"/>
      <c r="AN459" s="15" t="n"/>
      <c r="AO459" s="15" t="n"/>
      <c r="AP459" s="10" t="n"/>
      <c r="AQ459" s="15" t="n"/>
      <c r="AR459" s="15" t="n"/>
    </row>
    <row r="460" ht="15" customHeight="1">
      <c r="A460" s="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6" t="n"/>
      <c r="N460" s="6" t="n"/>
      <c r="O460" s="6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8" t="n"/>
      <c r="Z460" s="8" t="n"/>
      <c r="AA460" s="8" t="n"/>
      <c r="AB460" s="8" t="n"/>
      <c r="AC460" s="8" t="n"/>
      <c r="AD460" s="8" t="n"/>
      <c r="AE460" s="8" t="n"/>
      <c r="AF460" s="8" t="n"/>
      <c r="AG460" s="8" t="n"/>
      <c r="AH460" s="8" t="n"/>
      <c r="AI460" s="9" t="n"/>
      <c r="AJ460" s="8" t="n"/>
      <c r="AK460" s="8" t="n"/>
      <c r="AL460" s="15" t="n"/>
      <c r="AM460" s="15" t="n"/>
      <c r="AN460" s="15" t="n"/>
      <c r="AO460" s="15" t="n"/>
      <c r="AP460" s="10" t="n"/>
      <c r="AQ460" s="15" t="n"/>
      <c r="AR460" s="15" t="n"/>
    </row>
    <row r="461" ht="15" customHeight="1">
      <c r="A461" s="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6" t="n"/>
      <c r="N461" s="6" t="n"/>
      <c r="O461" s="6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8" t="n"/>
      <c r="Z461" s="8" t="n"/>
      <c r="AA461" s="8" t="n"/>
      <c r="AB461" s="8" t="n"/>
      <c r="AC461" s="8" t="n"/>
      <c r="AD461" s="8" t="n"/>
      <c r="AE461" s="8" t="n"/>
      <c r="AF461" s="8" t="n"/>
      <c r="AG461" s="8" t="n"/>
      <c r="AH461" s="8" t="n"/>
      <c r="AI461" s="9" t="n"/>
      <c r="AJ461" s="8" t="n"/>
      <c r="AK461" s="8" t="n"/>
      <c r="AL461" s="15" t="n"/>
      <c r="AM461" s="15" t="n"/>
      <c r="AN461" s="15" t="n"/>
      <c r="AO461" s="15" t="n"/>
      <c r="AP461" s="10" t="n"/>
      <c r="AQ461" s="15" t="n"/>
      <c r="AR461" s="15" t="n"/>
    </row>
    <row r="462" ht="15" customHeight="1">
      <c r="A462" s="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6" t="n"/>
      <c r="N462" s="6" t="n"/>
      <c r="O462" s="6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8" t="n"/>
      <c r="Z462" s="8" t="n"/>
      <c r="AA462" s="8" t="n"/>
      <c r="AB462" s="8" t="n"/>
      <c r="AC462" s="8" t="n"/>
      <c r="AD462" s="8" t="n"/>
      <c r="AE462" s="8" t="n"/>
      <c r="AF462" s="8" t="n"/>
      <c r="AG462" s="8" t="n"/>
      <c r="AH462" s="8" t="n"/>
      <c r="AI462" s="9" t="n"/>
      <c r="AJ462" s="8" t="n"/>
      <c r="AK462" s="8" t="n"/>
      <c r="AL462" s="15" t="n"/>
      <c r="AM462" s="15" t="n"/>
      <c r="AN462" s="15" t="n"/>
      <c r="AO462" s="15" t="n"/>
      <c r="AP462" s="10" t="n"/>
      <c r="AQ462" s="15" t="n"/>
      <c r="AR462" s="15" t="n"/>
    </row>
    <row r="463" ht="15" customHeight="1">
      <c r="A463" s="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6" t="n"/>
      <c r="N463" s="6" t="n"/>
      <c r="O463" s="6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  <c r="AH463" s="8" t="n"/>
      <c r="AI463" s="9" t="n"/>
      <c r="AJ463" s="8" t="n"/>
      <c r="AK463" s="8" t="n"/>
      <c r="AL463" s="15" t="n"/>
      <c r="AM463" s="15" t="n"/>
      <c r="AN463" s="15" t="n"/>
      <c r="AO463" s="15" t="n"/>
      <c r="AP463" s="10" t="n"/>
      <c r="AQ463" s="15" t="n"/>
      <c r="AR463" s="15" t="n"/>
    </row>
    <row r="464" ht="15" customHeight="1">
      <c r="A464" s="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6" t="n"/>
      <c r="N464" s="6" t="n"/>
      <c r="O464" s="6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8" t="n"/>
      <c r="Z464" s="8" t="n"/>
      <c r="AA464" s="8" t="n"/>
      <c r="AB464" s="8" t="n"/>
      <c r="AC464" s="8" t="n"/>
      <c r="AD464" s="8" t="n"/>
      <c r="AE464" s="8" t="n"/>
      <c r="AF464" s="8" t="n"/>
      <c r="AG464" s="8" t="n"/>
      <c r="AH464" s="8" t="n"/>
      <c r="AI464" s="9" t="n"/>
      <c r="AJ464" s="8" t="n"/>
      <c r="AK464" s="8" t="n"/>
      <c r="AL464" s="15" t="n"/>
      <c r="AM464" s="15" t="n"/>
      <c r="AN464" s="15" t="n"/>
      <c r="AO464" s="15" t="n"/>
      <c r="AP464" s="10" t="n"/>
      <c r="AQ464" s="15" t="n"/>
      <c r="AR464" s="15" t="n"/>
    </row>
    <row r="465" ht="15" customHeight="1">
      <c r="A465" s="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6" t="n"/>
      <c r="N465" s="6" t="n"/>
      <c r="O465" s="6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9" t="n"/>
      <c r="AJ465" s="8" t="n"/>
      <c r="AK465" s="8" t="n"/>
      <c r="AL465" s="15" t="n"/>
      <c r="AM465" s="15" t="n"/>
      <c r="AN465" s="15" t="n"/>
      <c r="AO465" s="15" t="n"/>
      <c r="AP465" s="10" t="n"/>
      <c r="AQ465" s="15" t="n"/>
      <c r="AR465" s="15" t="n"/>
    </row>
    <row r="466" ht="15" customHeight="1">
      <c r="A466" s="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6" t="n"/>
      <c r="N466" s="6" t="n"/>
      <c r="O466" s="6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8" t="n"/>
      <c r="Z466" s="8" t="n"/>
      <c r="AA466" s="8" t="n"/>
      <c r="AB466" s="8" t="n"/>
      <c r="AC466" s="8" t="n"/>
      <c r="AD466" s="8" t="n"/>
      <c r="AE466" s="8" t="n"/>
      <c r="AF466" s="8" t="n"/>
      <c r="AG466" s="8" t="n"/>
      <c r="AH466" s="8" t="n"/>
      <c r="AI466" s="9" t="n"/>
      <c r="AJ466" s="8" t="n"/>
      <c r="AK466" s="8" t="n"/>
      <c r="AL466" s="15" t="n"/>
      <c r="AM466" s="15" t="n"/>
      <c r="AN466" s="15" t="n"/>
      <c r="AO466" s="15" t="n"/>
      <c r="AP466" s="10" t="n"/>
      <c r="AQ466" s="15" t="n"/>
      <c r="AR466" s="15" t="n"/>
    </row>
    <row r="467" ht="15" customHeight="1">
      <c r="A467" s="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6" t="n"/>
      <c r="N467" s="6" t="n"/>
      <c r="O467" s="6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9" t="n"/>
      <c r="AJ467" s="8" t="n"/>
      <c r="AK467" s="8" t="n"/>
      <c r="AL467" s="15" t="n"/>
      <c r="AM467" s="15" t="n"/>
      <c r="AN467" s="15" t="n"/>
      <c r="AO467" s="15" t="n"/>
      <c r="AP467" s="10" t="n"/>
      <c r="AQ467" s="15" t="n"/>
      <c r="AR467" s="15" t="n"/>
    </row>
    <row r="468" ht="15" customHeight="1">
      <c r="A468" s="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6" t="n"/>
      <c r="N468" s="6" t="n"/>
      <c r="O468" s="6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  <c r="AH468" s="8" t="n"/>
      <c r="AI468" s="9" t="n"/>
      <c r="AJ468" s="8" t="n"/>
      <c r="AK468" s="8" t="n"/>
      <c r="AL468" s="15" t="n"/>
      <c r="AM468" s="15" t="n"/>
      <c r="AN468" s="15" t="n"/>
      <c r="AO468" s="15" t="n"/>
      <c r="AP468" s="10" t="n"/>
      <c r="AQ468" s="15" t="n"/>
      <c r="AR468" s="15" t="n"/>
    </row>
    <row r="469" ht="15" customHeight="1">
      <c r="A469" s="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6" t="n"/>
      <c r="N469" s="6" t="n"/>
      <c r="O469" s="6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9" t="n"/>
      <c r="AJ469" s="8" t="n"/>
      <c r="AK469" s="8" t="n"/>
      <c r="AL469" s="15" t="n"/>
      <c r="AM469" s="15" t="n"/>
      <c r="AN469" s="15" t="n"/>
      <c r="AO469" s="15" t="n"/>
      <c r="AP469" s="10" t="n"/>
      <c r="AQ469" s="15" t="n"/>
      <c r="AR469" s="15" t="n"/>
    </row>
    <row r="470" ht="15" customHeight="1">
      <c r="A470" s="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6" t="n"/>
      <c r="N470" s="6" t="n"/>
      <c r="O470" s="6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8" t="n"/>
      <c r="Z470" s="8" t="n"/>
      <c r="AA470" s="8" t="n"/>
      <c r="AB470" s="8" t="n"/>
      <c r="AC470" s="8" t="n"/>
      <c r="AD470" s="8" t="n"/>
      <c r="AE470" s="8" t="n"/>
      <c r="AF470" s="8" t="n"/>
      <c r="AG470" s="8" t="n"/>
      <c r="AH470" s="8" t="n"/>
      <c r="AI470" s="9" t="n"/>
      <c r="AJ470" s="8" t="n"/>
      <c r="AK470" s="8" t="n"/>
      <c r="AL470" s="15" t="n"/>
      <c r="AM470" s="15" t="n"/>
      <c r="AN470" s="15" t="n"/>
      <c r="AO470" s="15" t="n"/>
      <c r="AP470" s="10" t="n"/>
      <c r="AQ470" s="15" t="n"/>
      <c r="AR470" s="15" t="n"/>
    </row>
    <row r="471" ht="15" customHeight="1">
      <c r="A471" s="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6" t="n"/>
      <c r="N471" s="6" t="n"/>
      <c r="O471" s="6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8" t="n"/>
      <c r="Z471" s="8" t="n"/>
      <c r="AA471" s="8" t="n"/>
      <c r="AB471" s="8" t="n"/>
      <c r="AC471" s="8" t="n"/>
      <c r="AD471" s="8" t="n"/>
      <c r="AE471" s="8" t="n"/>
      <c r="AF471" s="8" t="n"/>
      <c r="AG471" s="8" t="n"/>
      <c r="AH471" s="8" t="n"/>
      <c r="AI471" s="9" t="n"/>
      <c r="AJ471" s="8" t="n"/>
      <c r="AK471" s="8" t="n"/>
      <c r="AL471" s="15" t="n"/>
      <c r="AM471" s="15" t="n"/>
      <c r="AN471" s="15" t="n"/>
      <c r="AO471" s="15" t="n"/>
      <c r="AP471" s="10" t="n"/>
      <c r="AQ471" s="15" t="n"/>
      <c r="AR471" s="15" t="n"/>
    </row>
    <row r="472" ht="15" customHeight="1">
      <c r="A472" s="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6" t="n"/>
      <c r="N472" s="6" t="n"/>
      <c r="O472" s="6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8" t="n"/>
      <c r="Z472" s="8" t="n"/>
      <c r="AA472" s="8" t="n"/>
      <c r="AB472" s="8" t="n"/>
      <c r="AC472" s="8" t="n"/>
      <c r="AD472" s="8" t="n"/>
      <c r="AE472" s="8" t="n"/>
      <c r="AF472" s="8" t="n"/>
      <c r="AG472" s="8" t="n"/>
      <c r="AH472" s="8" t="n"/>
      <c r="AI472" s="9" t="n"/>
      <c r="AJ472" s="8" t="n"/>
      <c r="AK472" s="8" t="n"/>
      <c r="AL472" s="15" t="n"/>
      <c r="AM472" s="15" t="n"/>
      <c r="AN472" s="15" t="n"/>
      <c r="AO472" s="15" t="n"/>
      <c r="AP472" s="10" t="n"/>
      <c r="AQ472" s="15" t="n"/>
      <c r="AR472" s="15" t="n"/>
    </row>
    <row r="473" ht="15" customHeight="1">
      <c r="A473" s="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6" t="n"/>
      <c r="N473" s="6" t="n"/>
      <c r="O473" s="6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8" t="n"/>
      <c r="Z473" s="8" t="n"/>
      <c r="AA473" s="8" t="n"/>
      <c r="AB473" s="8" t="n"/>
      <c r="AC473" s="8" t="n"/>
      <c r="AD473" s="8" t="n"/>
      <c r="AE473" s="8" t="n"/>
      <c r="AF473" s="8" t="n"/>
      <c r="AG473" s="8" t="n"/>
      <c r="AH473" s="8" t="n"/>
      <c r="AI473" s="9" t="n"/>
      <c r="AJ473" s="8" t="n"/>
      <c r="AK473" s="8" t="n"/>
      <c r="AL473" s="15" t="n"/>
      <c r="AM473" s="15" t="n"/>
      <c r="AN473" s="15" t="n"/>
      <c r="AO473" s="15" t="n"/>
      <c r="AP473" s="10" t="n"/>
      <c r="AQ473" s="15" t="n"/>
      <c r="AR473" s="15" t="n"/>
    </row>
    <row r="474" ht="15" customHeight="1">
      <c r="A474" s="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6" t="n"/>
      <c r="N474" s="6" t="n"/>
      <c r="O474" s="6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8" t="n"/>
      <c r="Z474" s="8" t="n"/>
      <c r="AA474" s="8" t="n"/>
      <c r="AB474" s="8" t="n"/>
      <c r="AC474" s="8" t="n"/>
      <c r="AD474" s="8" t="n"/>
      <c r="AE474" s="8" t="n"/>
      <c r="AF474" s="8" t="n"/>
      <c r="AG474" s="8" t="n"/>
      <c r="AH474" s="8" t="n"/>
      <c r="AI474" s="9" t="n"/>
      <c r="AJ474" s="8" t="n"/>
      <c r="AK474" s="8" t="n"/>
      <c r="AL474" s="15" t="n"/>
      <c r="AM474" s="15" t="n"/>
      <c r="AN474" s="15" t="n"/>
      <c r="AO474" s="15" t="n"/>
      <c r="AP474" s="10" t="n"/>
      <c r="AQ474" s="15" t="n"/>
      <c r="AR474" s="15" t="n"/>
    </row>
    <row r="475" ht="15" customHeight="1">
      <c r="A475" s="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6" t="n"/>
      <c r="N475" s="6" t="n"/>
      <c r="O475" s="6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8" t="n"/>
      <c r="Z475" s="8" t="n"/>
      <c r="AA475" s="8" t="n"/>
      <c r="AB475" s="8" t="n"/>
      <c r="AC475" s="8" t="n"/>
      <c r="AD475" s="8" t="n"/>
      <c r="AE475" s="8" t="n"/>
      <c r="AF475" s="8" t="n"/>
      <c r="AG475" s="8" t="n"/>
      <c r="AH475" s="8" t="n"/>
      <c r="AI475" s="9" t="n"/>
      <c r="AJ475" s="8" t="n"/>
      <c r="AK475" s="8" t="n"/>
      <c r="AL475" s="15" t="n"/>
      <c r="AM475" s="15" t="n"/>
      <c r="AN475" s="15" t="n"/>
      <c r="AO475" s="15" t="n"/>
      <c r="AP475" s="10" t="n"/>
      <c r="AQ475" s="15" t="n"/>
      <c r="AR475" s="15" t="n"/>
    </row>
    <row r="476" ht="15" customHeight="1">
      <c r="A476" s="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6" t="n"/>
      <c r="N476" s="6" t="n"/>
      <c r="O476" s="6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8" t="n"/>
      <c r="Z476" s="8" t="n"/>
      <c r="AA476" s="8" t="n"/>
      <c r="AB476" s="8" t="n"/>
      <c r="AC476" s="8" t="n"/>
      <c r="AD476" s="8" t="n"/>
      <c r="AE476" s="8" t="n"/>
      <c r="AF476" s="8" t="n"/>
      <c r="AG476" s="8" t="n"/>
      <c r="AH476" s="8" t="n"/>
      <c r="AI476" s="9" t="n"/>
      <c r="AJ476" s="8" t="n"/>
      <c r="AK476" s="8" t="n"/>
      <c r="AL476" s="15" t="n"/>
      <c r="AM476" s="15" t="n"/>
      <c r="AN476" s="15" t="n"/>
      <c r="AO476" s="15" t="n"/>
      <c r="AP476" s="10" t="n"/>
      <c r="AQ476" s="15" t="n"/>
      <c r="AR476" s="15" t="n"/>
    </row>
    <row r="477" ht="15" customHeight="1">
      <c r="A477" s="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6" t="n"/>
      <c r="N477" s="6" t="n"/>
      <c r="O477" s="6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8" t="n"/>
      <c r="Z477" s="8" t="n"/>
      <c r="AA477" s="8" t="n"/>
      <c r="AB477" s="8" t="n"/>
      <c r="AC477" s="8" t="n"/>
      <c r="AD477" s="8" t="n"/>
      <c r="AE477" s="8" t="n"/>
      <c r="AF477" s="8" t="n"/>
      <c r="AG477" s="8" t="n"/>
      <c r="AH477" s="8" t="n"/>
      <c r="AI477" s="9" t="n"/>
      <c r="AJ477" s="8" t="n"/>
      <c r="AK477" s="8" t="n"/>
      <c r="AL477" s="15" t="n"/>
      <c r="AM477" s="15" t="n"/>
      <c r="AN477" s="15" t="n"/>
      <c r="AO477" s="15" t="n"/>
      <c r="AP477" s="10" t="n"/>
      <c r="AQ477" s="15" t="n"/>
      <c r="AR477" s="15" t="n"/>
    </row>
    <row r="478" ht="15" customHeight="1">
      <c r="A478" s="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6" t="n"/>
      <c r="N478" s="6" t="n"/>
      <c r="O478" s="6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8" t="n"/>
      <c r="Z478" s="8" t="n"/>
      <c r="AA478" s="8" t="n"/>
      <c r="AB478" s="8" t="n"/>
      <c r="AC478" s="8" t="n"/>
      <c r="AD478" s="8" t="n"/>
      <c r="AE478" s="8" t="n"/>
      <c r="AF478" s="8" t="n"/>
      <c r="AG478" s="8" t="n"/>
      <c r="AH478" s="8" t="n"/>
      <c r="AI478" s="9" t="n"/>
      <c r="AJ478" s="8" t="n"/>
      <c r="AK478" s="8" t="n"/>
      <c r="AL478" s="15" t="n"/>
      <c r="AM478" s="15" t="n"/>
      <c r="AN478" s="15" t="n"/>
      <c r="AO478" s="15" t="n"/>
      <c r="AP478" s="10" t="n"/>
      <c r="AQ478" s="15" t="n"/>
      <c r="AR478" s="15" t="n"/>
    </row>
    <row r="479" ht="15" customHeight="1">
      <c r="A479" s="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6" t="n"/>
      <c r="N479" s="6" t="n"/>
      <c r="O479" s="6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8" t="n"/>
      <c r="Z479" s="8" t="n"/>
      <c r="AA479" s="8" t="n"/>
      <c r="AB479" s="8" t="n"/>
      <c r="AC479" s="8" t="n"/>
      <c r="AD479" s="8" t="n"/>
      <c r="AE479" s="8" t="n"/>
      <c r="AF479" s="8" t="n"/>
      <c r="AG479" s="8" t="n"/>
      <c r="AH479" s="8" t="n"/>
      <c r="AI479" s="9" t="n"/>
      <c r="AJ479" s="8" t="n"/>
      <c r="AK479" s="8" t="n"/>
      <c r="AL479" s="15" t="n"/>
      <c r="AM479" s="15" t="n"/>
      <c r="AN479" s="15" t="n"/>
      <c r="AO479" s="15" t="n"/>
      <c r="AP479" s="10" t="n"/>
      <c r="AQ479" s="15" t="n"/>
      <c r="AR479" s="15" t="n"/>
    </row>
    <row r="480" ht="15" customHeight="1">
      <c r="A480" s="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6" t="n"/>
      <c r="N480" s="6" t="n"/>
      <c r="O480" s="6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  <c r="AH480" s="8" t="n"/>
      <c r="AI480" s="9" t="n"/>
      <c r="AJ480" s="8" t="n"/>
      <c r="AK480" s="8" t="n"/>
      <c r="AL480" s="15" t="n"/>
      <c r="AM480" s="15" t="n"/>
      <c r="AN480" s="15" t="n"/>
      <c r="AO480" s="15" t="n"/>
      <c r="AP480" s="10" t="n"/>
      <c r="AQ480" s="15" t="n"/>
      <c r="AR480" s="15" t="n"/>
    </row>
    <row r="481" ht="15" customHeight="1">
      <c r="A481" s="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6" t="n"/>
      <c r="N481" s="6" t="n"/>
      <c r="O481" s="6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  <c r="AH481" s="8" t="n"/>
      <c r="AI481" s="9" t="n"/>
      <c r="AJ481" s="8" t="n"/>
      <c r="AK481" s="8" t="n"/>
      <c r="AL481" s="15" t="n"/>
      <c r="AM481" s="15" t="n"/>
      <c r="AN481" s="15" t="n"/>
      <c r="AO481" s="15" t="n"/>
      <c r="AP481" s="10" t="n"/>
      <c r="AQ481" s="15" t="n"/>
      <c r="AR481" s="15" t="n"/>
    </row>
    <row r="482" ht="15" customHeight="1">
      <c r="A482" s="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6" t="n"/>
      <c r="N482" s="6" t="n"/>
      <c r="O482" s="6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8" t="n"/>
      <c r="Z482" s="8" t="n"/>
      <c r="AA482" s="8" t="n"/>
      <c r="AB482" s="8" t="n"/>
      <c r="AC482" s="8" t="n"/>
      <c r="AD482" s="8" t="n"/>
      <c r="AE482" s="8" t="n"/>
      <c r="AF482" s="8" t="n"/>
      <c r="AG482" s="8" t="n"/>
      <c r="AH482" s="8" t="n"/>
      <c r="AI482" s="9" t="n"/>
      <c r="AJ482" s="8" t="n"/>
      <c r="AK482" s="8" t="n"/>
      <c r="AL482" s="15" t="n"/>
      <c r="AM482" s="15" t="n"/>
      <c r="AN482" s="15" t="n"/>
      <c r="AO482" s="15" t="n"/>
      <c r="AP482" s="10" t="n"/>
      <c r="AQ482" s="15" t="n"/>
      <c r="AR482" s="15" t="n"/>
    </row>
    <row r="483" ht="15" customHeight="1">
      <c r="A483" s="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6" t="n"/>
      <c r="N483" s="6" t="n"/>
      <c r="O483" s="6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8" t="n"/>
      <c r="Z483" s="8" t="n"/>
      <c r="AA483" s="8" t="n"/>
      <c r="AB483" s="8" t="n"/>
      <c r="AC483" s="8" t="n"/>
      <c r="AD483" s="8" t="n"/>
      <c r="AE483" s="8" t="n"/>
      <c r="AF483" s="8" t="n"/>
      <c r="AG483" s="8" t="n"/>
      <c r="AH483" s="8" t="n"/>
      <c r="AI483" s="9" t="n"/>
      <c r="AJ483" s="8" t="n"/>
      <c r="AK483" s="8" t="n"/>
      <c r="AL483" s="15" t="n"/>
      <c r="AM483" s="15" t="n"/>
      <c r="AN483" s="15" t="n"/>
      <c r="AO483" s="15" t="n"/>
      <c r="AP483" s="10" t="n"/>
      <c r="AQ483" s="15" t="n"/>
      <c r="AR483" s="15" t="n"/>
    </row>
    <row r="484" ht="15" customHeight="1">
      <c r="A484" s="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6" t="n"/>
      <c r="N484" s="6" t="n"/>
      <c r="O484" s="6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  <c r="AH484" s="8" t="n"/>
      <c r="AI484" s="9" t="n"/>
      <c r="AJ484" s="8" t="n"/>
      <c r="AK484" s="8" t="n"/>
      <c r="AL484" s="15" t="n"/>
      <c r="AM484" s="15" t="n"/>
      <c r="AN484" s="15" t="n"/>
      <c r="AO484" s="15" t="n"/>
      <c r="AP484" s="10" t="n"/>
      <c r="AQ484" s="15" t="n"/>
      <c r="AR484" s="15" t="n"/>
    </row>
    <row r="485" ht="15" customHeight="1">
      <c r="A485" s="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6" t="n"/>
      <c r="N485" s="6" t="n"/>
      <c r="O485" s="6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8" t="n"/>
      <c r="Z485" s="8" t="n"/>
      <c r="AA485" s="8" t="n"/>
      <c r="AB485" s="8" t="n"/>
      <c r="AC485" s="8" t="n"/>
      <c r="AD485" s="8" t="n"/>
      <c r="AE485" s="8" t="n"/>
      <c r="AF485" s="8" t="n"/>
      <c r="AG485" s="8" t="n"/>
      <c r="AH485" s="8" t="n"/>
      <c r="AI485" s="9" t="n"/>
      <c r="AJ485" s="8" t="n"/>
      <c r="AK485" s="8" t="n"/>
      <c r="AL485" s="15" t="n"/>
      <c r="AM485" s="15" t="n"/>
      <c r="AN485" s="15" t="n"/>
      <c r="AO485" s="15" t="n"/>
      <c r="AP485" s="10" t="n"/>
      <c r="AQ485" s="15" t="n"/>
      <c r="AR485" s="15" t="n"/>
    </row>
    <row r="486" ht="15" customHeight="1">
      <c r="A486" s="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6" t="n"/>
      <c r="N486" s="6" t="n"/>
      <c r="O486" s="6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8" t="n"/>
      <c r="Z486" s="8" t="n"/>
      <c r="AA486" s="8" t="n"/>
      <c r="AB486" s="8" t="n"/>
      <c r="AC486" s="8" t="n"/>
      <c r="AD486" s="8" t="n"/>
      <c r="AE486" s="8" t="n"/>
      <c r="AF486" s="8" t="n"/>
      <c r="AG486" s="8" t="n"/>
      <c r="AH486" s="8" t="n"/>
      <c r="AI486" s="9" t="n"/>
      <c r="AJ486" s="8" t="n"/>
      <c r="AK486" s="8" t="n"/>
      <c r="AL486" s="15" t="n"/>
      <c r="AM486" s="15" t="n"/>
      <c r="AN486" s="15" t="n"/>
      <c r="AO486" s="15" t="n"/>
      <c r="AP486" s="10" t="n"/>
      <c r="AQ486" s="15" t="n"/>
      <c r="AR486" s="15" t="n"/>
    </row>
    <row r="487" ht="15" customHeight="1">
      <c r="A487" s="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6" t="n"/>
      <c r="N487" s="6" t="n"/>
      <c r="O487" s="6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8" t="n"/>
      <c r="Z487" s="8" t="n"/>
      <c r="AA487" s="8" t="n"/>
      <c r="AB487" s="8" t="n"/>
      <c r="AC487" s="8" t="n"/>
      <c r="AD487" s="8" t="n"/>
      <c r="AE487" s="8" t="n"/>
      <c r="AF487" s="8" t="n"/>
      <c r="AG487" s="8" t="n"/>
      <c r="AH487" s="8" t="n"/>
      <c r="AI487" s="9" t="n"/>
      <c r="AJ487" s="8" t="n"/>
      <c r="AK487" s="8" t="n"/>
      <c r="AL487" s="15" t="n"/>
      <c r="AM487" s="15" t="n"/>
      <c r="AN487" s="15" t="n"/>
      <c r="AO487" s="15" t="n"/>
      <c r="AP487" s="10" t="n"/>
      <c r="AQ487" s="15" t="n"/>
      <c r="AR487" s="15" t="n"/>
    </row>
    <row r="488" ht="15" customHeight="1">
      <c r="A488" s="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6" t="n"/>
      <c r="N488" s="6" t="n"/>
      <c r="O488" s="6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8" t="n"/>
      <c r="Z488" s="8" t="n"/>
      <c r="AA488" s="8" t="n"/>
      <c r="AB488" s="8" t="n"/>
      <c r="AC488" s="8" t="n"/>
      <c r="AD488" s="8" t="n"/>
      <c r="AE488" s="8" t="n"/>
      <c r="AF488" s="8" t="n"/>
      <c r="AG488" s="8" t="n"/>
      <c r="AH488" s="8" t="n"/>
      <c r="AI488" s="9" t="n"/>
      <c r="AJ488" s="8" t="n"/>
      <c r="AK488" s="8" t="n"/>
      <c r="AL488" s="15" t="n"/>
      <c r="AM488" s="15" t="n"/>
      <c r="AN488" s="15" t="n"/>
      <c r="AO488" s="15" t="n"/>
      <c r="AP488" s="10" t="n"/>
      <c r="AQ488" s="15" t="n"/>
      <c r="AR488" s="15" t="n"/>
    </row>
    <row r="489" ht="15" customHeight="1">
      <c r="A489" s="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6" t="n"/>
      <c r="N489" s="6" t="n"/>
      <c r="O489" s="6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8" t="n"/>
      <c r="Z489" s="8" t="n"/>
      <c r="AA489" s="8" t="n"/>
      <c r="AB489" s="8" t="n"/>
      <c r="AC489" s="8" t="n"/>
      <c r="AD489" s="8" t="n"/>
      <c r="AE489" s="8" t="n"/>
      <c r="AF489" s="8" t="n"/>
      <c r="AG489" s="8" t="n"/>
      <c r="AH489" s="8" t="n"/>
      <c r="AI489" s="9" t="n"/>
      <c r="AJ489" s="8" t="n"/>
      <c r="AK489" s="8" t="n"/>
      <c r="AL489" s="15" t="n"/>
      <c r="AM489" s="15" t="n"/>
      <c r="AN489" s="15" t="n"/>
      <c r="AO489" s="15" t="n"/>
      <c r="AP489" s="10" t="n"/>
      <c r="AQ489" s="15" t="n"/>
      <c r="AR489" s="15" t="n"/>
    </row>
    <row r="490" ht="15" customHeight="1">
      <c r="A490" s="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6" t="n"/>
      <c r="N490" s="6" t="n"/>
      <c r="O490" s="6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8" t="n"/>
      <c r="Z490" s="8" t="n"/>
      <c r="AA490" s="8" t="n"/>
      <c r="AB490" s="8" t="n"/>
      <c r="AC490" s="8" t="n"/>
      <c r="AD490" s="8" t="n"/>
      <c r="AE490" s="8" t="n"/>
      <c r="AF490" s="8" t="n"/>
      <c r="AG490" s="8" t="n"/>
      <c r="AH490" s="8" t="n"/>
      <c r="AI490" s="9" t="n"/>
      <c r="AJ490" s="8" t="n"/>
      <c r="AK490" s="8" t="n"/>
      <c r="AL490" s="15" t="n"/>
      <c r="AM490" s="15" t="n"/>
      <c r="AN490" s="15" t="n"/>
      <c r="AO490" s="15" t="n"/>
      <c r="AP490" s="10" t="n"/>
      <c r="AQ490" s="15" t="n"/>
      <c r="AR490" s="15" t="n"/>
    </row>
    <row r="491" ht="15" customHeight="1">
      <c r="A491" s="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6" t="n"/>
      <c r="N491" s="6" t="n"/>
      <c r="O491" s="6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8" t="n"/>
      <c r="Z491" s="8" t="n"/>
      <c r="AA491" s="8" t="n"/>
      <c r="AB491" s="8" t="n"/>
      <c r="AC491" s="8" t="n"/>
      <c r="AD491" s="8" t="n"/>
      <c r="AE491" s="8" t="n"/>
      <c r="AF491" s="8" t="n"/>
      <c r="AG491" s="8" t="n"/>
      <c r="AH491" s="8" t="n"/>
      <c r="AI491" s="9" t="n"/>
      <c r="AJ491" s="8" t="n"/>
      <c r="AK491" s="8" t="n"/>
      <c r="AL491" s="15" t="n"/>
      <c r="AM491" s="15" t="n"/>
      <c r="AN491" s="15" t="n"/>
      <c r="AO491" s="15" t="n"/>
      <c r="AP491" s="10" t="n"/>
      <c r="AQ491" s="15" t="n"/>
      <c r="AR491" s="15" t="n"/>
    </row>
    <row r="492" ht="15" customHeight="1">
      <c r="A492" s="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6" t="n"/>
      <c r="N492" s="6" t="n"/>
      <c r="O492" s="6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9" t="n"/>
      <c r="AJ492" s="8" t="n"/>
      <c r="AK492" s="8" t="n"/>
      <c r="AL492" s="15" t="n"/>
      <c r="AM492" s="15" t="n"/>
      <c r="AN492" s="15" t="n"/>
      <c r="AO492" s="15" t="n"/>
      <c r="AP492" s="10" t="n"/>
      <c r="AQ492" s="15" t="n"/>
      <c r="AR492" s="15" t="n"/>
    </row>
    <row r="493" ht="15" customHeight="1">
      <c r="A493" s="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6" t="n"/>
      <c r="N493" s="6" t="n"/>
      <c r="O493" s="6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8" t="n"/>
      <c r="Z493" s="8" t="n"/>
      <c r="AA493" s="8" t="n"/>
      <c r="AB493" s="8" t="n"/>
      <c r="AC493" s="8" t="n"/>
      <c r="AD493" s="8" t="n"/>
      <c r="AE493" s="8" t="n"/>
      <c r="AF493" s="8" t="n"/>
      <c r="AG493" s="8" t="n"/>
      <c r="AH493" s="8" t="n"/>
      <c r="AI493" s="9" t="n"/>
      <c r="AJ493" s="8" t="n"/>
      <c r="AK493" s="8" t="n"/>
      <c r="AL493" s="15" t="n"/>
      <c r="AM493" s="15" t="n"/>
      <c r="AN493" s="15" t="n"/>
      <c r="AO493" s="15" t="n"/>
      <c r="AP493" s="10" t="n"/>
      <c r="AQ493" s="15" t="n"/>
      <c r="AR493" s="15" t="n"/>
    </row>
    <row r="494" ht="15" customHeight="1">
      <c r="A494" s="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6" t="n"/>
      <c r="N494" s="6" t="n"/>
      <c r="O494" s="6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8" t="n"/>
      <c r="Z494" s="8" t="n"/>
      <c r="AA494" s="8" t="n"/>
      <c r="AB494" s="8" t="n"/>
      <c r="AC494" s="8" t="n"/>
      <c r="AD494" s="8" t="n"/>
      <c r="AE494" s="8" t="n"/>
      <c r="AF494" s="8" t="n"/>
      <c r="AG494" s="8" t="n"/>
      <c r="AH494" s="8" t="n"/>
      <c r="AI494" s="9" t="n"/>
      <c r="AJ494" s="8" t="n"/>
      <c r="AK494" s="8" t="n"/>
      <c r="AL494" s="15" t="n"/>
      <c r="AM494" s="15" t="n"/>
      <c r="AN494" s="15" t="n"/>
      <c r="AO494" s="15" t="n"/>
      <c r="AP494" s="10" t="n"/>
      <c r="AQ494" s="15" t="n"/>
      <c r="AR494" s="15" t="n"/>
    </row>
    <row r="495" ht="15" customHeight="1">
      <c r="A495" s="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6" t="n"/>
      <c r="N495" s="6" t="n"/>
      <c r="O495" s="6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9" t="n"/>
      <c r="AJ495" s="8" t="n"/>
      <c r="AK495" s="8" t="n"/>
      <c r="AL495" s="15" t="n"/>
      <c r="AM495" s="15" t="n"/>
      <c r="AN495" s="15" t="n"/>
      <c r="AO495" s="15" t="n"/>
      <c r="AP495" s="10" t="n"/>
      <c r="AQ495" s="15" t="n"/>
      <c r="AR495" s="15" t="n"/>
    </row>
    <row r="496" ht="15" customHeight="1">
      <c r="A496" s="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6" t="n"/>
      <c r="N496" s="6" t="n"/>
      <c r="O496" s="6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9" t="n"/>
      <c r="AJ496" s="8" t="n"/>
      <c r="AK496" s="8" t="n"/>
      <c r="AL496" s="15" t="n"/>
      <c r="AM496" s="15" t="n"/>
      <c r="AN496" s="15" t="n"/>
      <c r="AO496" s="15" t="n"/>
      <c r="AP496" s="10" t="n"/>
      <c r="AQ496" s="15" t="n"/>
      <c r="AR496" s="15" t="n"/>
    </row>
    <row r="497" ht="15" customHeight="1">
      <c r="A497" s="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6" t="n"/>
      <c r="N497" s="6" t="n"/>
      <c r="O497" s="6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8" t="n"/>
      <c r="Z497" s="8" t="n"/>
      <c r="AA497" s="8" t="n"/>
      <c r="AB497" s="8" t="n"/>
      <c r="AC497" s="8" t="n"/>
      <c r="AD497" s="8" t="n"/>
      <c r="AE497" s="8" t="n"/>
      <c r="AF497" s="8" t="n"/>
      <c r="AG497" s="8" t="n"/>
      <c r="AH497" s="8" t="n"/>
      <c r="AI497" s="9" t="n"/>
      <c r="AJ497" s="8" t="n"/>
      <c r="AK497" s="8" t="n"/>
      <c r="AL497" s="15" t="n"/>
      <c r="AM497" s="15" t="n"/>
      <c r="AN497" s="15" t="n"/>
      <c r="AO497" s="15" t="n"/>
      <c r="AP497" s="10" t="n"/>
      <c r="AQ497" s="15" t="n"/>
      <c r="AR497" s="15" t="n"/>
    </row>
    <row r="498" ht="15" customHeight="1">
      <c r="A498" s="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6" t="n"/>
      <c r="N498" s="6" t="n"/>
      <c r="O498" s="6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8" t="n"/>
      <c r="Z498" s="8" t="n"/>
      <c r="AA498" s="8" t="n"/>
      <c r="AB498" s="8" t="n"/>
      <c r="AC498" s="8" t="n"/>
      <c r="AD498" s="8" t="n"/>
      <c r="AE498" s="8" t="n"/>
      <c r="AF498" s="8" t="n"/>
      <c r="AG498" s="8" t="n"/>
      <c r="AH498" s="8" t="n"/>
      <c r="AI498" s="9" t="n"/>
      <c r="AJ498" s="8" t="n"/>
      <c r="AK498" s="8" t="n"/>
      <c r="AL498" s="15" t="n"/>
      <c r="AM498" s="15" t="n"/>
      <c r="AN498" s="15" t="n"/>
      <c r="AO498" s="15" t="n"/>
      <c r="AP498" s="10" t="n"/>
      <c r="AQ498" s="15" t="n"/>
      <c r="AR498" s="15" t="n"/>
    </row>
    <row r="499" ht="15" customHeight="1">
      <c r="A499" s="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6" t="n"/>
      <c r="N499" s="6" t="n"/>
      <c r="O499" s="6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  <c r="AH499" s="8" t="n"/>
      <c r="AI499" s="9" t="n"/>
      <c r="AJ499" s="8" t="n"/>
      <c r="AK499" s="8" t="n"/>
      <c r="AL499" s="15" t="n"/>
      <c r="AM499" s="15" t="n"/>
      <c r="AN499" s="15" t="n"/>
      <c r="AO499" s="15" t="n"/>
      <c r="AP499" s="10" t="n"/>
      <c r="AQ499" s="15" t="n"/>
      <c r="AR499" s="15" t="n"/>
    </row>
    <row r="500" ht="15" customHeight="1">
      <c r="A500" s="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6" t="n"/>
      <c r="N500" s="6" t="n"/>
      <c r="O500" s="6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8" t="n"/>
      <c r="Z500" s="8" t="n"/>
      <c r="AA500" s="8" t="n"/>
      <c r="AB500" s="8" t="n"/>
      <c r="AC500" s="8" t="n"/>
      <c r="AD500" s="8" t="n"/>
      <c r="AE500" s="8" t="n"/>
      <c r="AF500" s="8" t="n"/>
      <c r="AG500" s="8" t="n"/>
      <c r="AH500" s="8" t="n"/>
      <c r="AI500" s="9" t="n"/>
      <c r="AJ500" s="8" t="n"/>
      <c r="AK500" s="8" t="n"/>
      <c r="AL500" s="15" t="n"/>
      <c r="AM500" s="15" t="n"/>
      <c r="AN500" s="15" t="n"/>
      <c r="AO500" s="15" t="n"/>
      <c r="AP500" s="10" t="n"/>
      <c r="AQ500" s="15" t="n"/>
      <c r="AR500" s="15" t="n"/>
    </row>
    <row r="501" ht="15" customHeight="1">
      <c r="A501" s="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6" t="n"/>
      <c r="N501" s="6" t="n"/>
      <c r="O501" s="6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8" t="n"/>
      <c r="Z501" s="8" t="n"/>
      <c r="AA501" s="8" t="n"/>
      <c r="AB501" s="8" t="n"/>
      <c r="AC501" s="8" t="n"/>
      <c r="AD501" s="8" t="n"/>
      <c r="AE501" s="8" t="n"/>
      <c r="AF501" s="8" t="n"/>
      <c r="AG501" s="8" t="n"/>
      <c r="AH501" s="8" t="n"/>
      <c r="AI501" s="9" t="n"/>
      <c r="AJ501" s="8" t="n"/>
      <c r="AK501" s="8" t="n"/>
      <c r="AL501" s="15" t="n"/>
      <c r="AM501" s="15" t="n"/>
      <c r="AN501" s="15" t="n"/>
      <c r="AO501" s="15" t="n"/>
      <c r="AP501" s="10" t="n"/>
      <c r="AQ501" s="15" t="n"/>
      <c r="AR501" s="15" t="n"/>
    </row>
  </sheetData>
  <conditionalFormatting sqref="M2:N501">
    <cfRule type="colorScale" priority="3">
      <colorScale>
        <cfvo type="min"/>
        <cfvo type="percentile" val="50"/>
        <cfvo type="max"/>
        <color rgb="FFFCA5A5"/>
        <color rgb="FFFDE68A"/>
        <color rgb="FFBBF7D0"/>
      </colorScale>
    </cfRule>
  </conditionalFormatting>
  <conditionalFormatting sqref="AQ2:AQ501">
    <cfRule type="containsText" priority="1" operator="containsText" dxfId="3" text="ERROR"/>
    <cfRule type="containsText" priority="2" operator="containsText" dxfId="0" text="OK"/>
  </conditionalFormatting>
  <dataValidations count="5">
    <dataValidation sqref="B2:B501" showDropDown="0" showInputMessage="0" showErrorMessage="1" allowBlank="0" errorTitle="Invalid Community_ID" error="Use a Community_ID from Community_Master."/>
    <dataValidation sqref="A2:A501" showDropDown="0" showInputMessage="0" showErrorMessage="1" allowBlank="0" errorTitle="Invalid month" error="Use the first day of the reporting month." type="date" errorStyle="warning">
      <formula1>DATE(2025,1,1)</formula1>
      <formula2>DATE(2035,12,31)</formula2>
    </dataValidation>
    <dataValidation sqref="AI2:AI501" showDropDown="0" showInputMessage="0" showErrorMessage="1" allowBlank="1" errorTitle="Rating out of range" error="Review rating must be between 0 and 5." type="decimal" errorStyle="warning">
      <formula1>0</formula1>
      <formula2>5</formula2>
    </dataValidation>
    <dataValidation sqref="AL2:AL501" showDropDown="0" showInputMessage="0" showErrorMessage="0" allowBlank="0" type="list">
      <formula1>"Actual,Budget,Forecast,Prior Month Restatement"</formula1>
    </dataValidation>
    <dataValidation sqref="AM2:AM501" showDropDown="0" showInputMessage="0" showErrorMessage="0" allowBlank="1" type="list">
      <formula1>"Manual Upload,Yardi,Entrata,ResMan,RealPage,AppFolio,Excel Export,Other"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G18" sqref="G18"/>
    </sheetView>
  </sheetViews>
  <sheetFormatPr baseColWidth="10" defaultColWidth="8.83203125" defaultRowHeight="14"/>
  <cols>
    <col width="14" customWidth="1" min="1" max="1"/>
    <col width="22" customWidth="1" min="2" max="2"/>
    <col width="16" customWidth="1" min="3" max="4"/>
    <col width="18" customWidth="1" min="5" max="5"/>
    <col width="16" customWidth="1" min="6" max="6"/>
    <col width="12" customWidth="1" min="7" max="7"/>
    <col width="20" customWidth="1" min="8" max="8"/>
    <col width="16" customWidth="1" min="9" max="9"/>
    <col width="12" customWidth="1" min="10" max="10"/>
    <col width="48" customWidth="1" min="11" max="11"/>
  </cols>
  <sheetData>
    <row r="1" ht="15" customHeight="1">
      <c r="A1" s="19" t="inlineStr">
        <is>
          <t>Community_ID</t>
        </is>
      </c>
      <c r="B1" s="19" t="inlineStr">
        <is>
          <t>Community_Name</t>
        </is>
      </c>
      <c r="C1" s="19" t="inlineStr">
        <is>
          <t>Short_Name</t>
        </is>
      </c>
      <c r="D1" s="19" t="inlineStr">
        <is>
          <t>Region</t>
        </is>
      </c>
      <c r="E1" s="19" t="inlineStr">
        <is>
          <t>Market</t>
        </is>
      </c>
      <c r="F1" s="19" t="inlineStr">
        <is>
          <t>Asset_Type</t>
        </is>
      </c>
      <c r="G1" s="19" t="inlineStr">
        <is>
          <t>Total_Units</t>
        </is>
      </c>
      <c r="H1" s="19" t="inlineStr">
        <is>
          <t>PMS_Property_Code</t>
        </is>
      </c>
      <c r="I1" s="19" t="inlineStr">
        <is>
          <t>Dashboard_Group</t>
        </is>
      </c>
      <c r="J1" s="19" t="inlineStr">
        <is>
          <t>Active_Flag</t>
        </is>
      </c>
      <c r="K1" s="13" t="inlineStr">
        <is>
          <t>Notes</t>
        </is>
      </c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SER</t>
        </is>
      </c>
      <c r="B2" s="15" t="inlineStr">
        <is>
          <t>Sereno</t>
        </is>
      </c>
      <c r="C2" s="15" t="inlineStr">
        <is>
          <t>Sereno</t>
        </is>
      </c>
      <c r="D2" s="15" t="inlineStr">
        <is>
          <t>Florida</t>
        </is>
      </c>
      <c r="E2" s="15" t="inlineStr">
        <is>
          <t>Jacksonville</t>
        </is>
      </c>
      <c r="F2" s="15" t="inlineStr">
        <is>
          <t>Multifamily</t>
        </is>
      </c>
      <c r="G2" s="15" t="n">
        <v>320</v>
      </c>
      <c r="H2" s="15" t="inlineStr">
        <is>
          <t>SERENO</t>
        </is>
      </c>
      <c r="I2" s="15" t="inlineStr">
        <is>
          <t>Stabilized</t>
        </is>
      </c>
      <c r="J2" s="15" t="inlineStr">
        <is>
          <t>Yes</t>
        </is>
      </c>
      <c r="K2" s="15" t="inlineStr">
        <is>
          <t>Known total units from current ATLAS context.</t>
        </is>
      </c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GKP</t>
        </is>
      </c>
      <c r="B3" s="15" t="inlineStr">
        <is>
          <t>Glen Kernan Park</t>
        </is>
      </c>
      <c r="C3" s="15" t="inlineStr">
        <is>
          <t>GKP</t>
        </is>
      </c>
      <c r="D3" s="15" t="inlineStr">
        <is>
          <t>Florida</t>
        </is>
      </c>
      <c r="E3" s="15" t="inlineStr">
        <is>
          <t>Jacksonville</t>
        </is>
      </c>
      <c r="F3" s="15" t="inlineStr">
        <is>
          <t>Senior</t>
        </is>
      </c>
      <c r="G3" s="15" t="n">
        <v>308</v>
      </c>
      <c r="H3" s="15" t="inlineStr">
        <is>
          <t>GKP</t>
        </is>
      </c>
      <c r="I3" s="15" t="inlineStr">
        <is>
          <t>Lease-Up</t>
        </is>
      </c>
      <c r="J3" s="15" t="inlineStr">
        <is>
          <t>Yes</t>
        </is>
      </c>
      <c r="K3" s="15" t="inlineStr">
        <is>
          <t>Also referred to as GKP.</t>
        </is>
      </c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NOC</t>
        </is>
      </c>
      <c r="B4" s="15" t="inlineStr">
        <is>
          <t>Nocatee</t>
        </is>
      </c>
      <c r="C4" s="15" t="inlineStr">
        <is>
          <t>Nocatee</t>
        </is>
      </c>
      <c r="D4" s="15" t="inlineStr">
        <is>
          <t>Florida</t>
        </is>
      </c>
      <c r="E4" s="15" t="inlineStr">
        <is>
          <t>Jacksonville</t>
        </is>
      </c>
      <c r="F4" s="15" t="inlineStr">
        <is>
          <t>Senior</t>
        </is>
      </c>
      <c r="G4" s="15" t="n">
        <v>178</v>
      </c>
      <c r="H4" s="15" t="inlineStr">
        <is>
          <t>NOCATEE</t>
        </is>
      </c>
      <c r="I4" s="15" t="inlineStr">
        <is>
          <t>Lease-Up</t>
        </is>
      </c>
      <c r="J4" s="15" t="inlineStr">
        <is>
          <t>Yes</t>
        </is>
      </c>
      <c r="K4" s="15" t="inlineStr">
        <is>
          <t>Community included in dashboard lease-up tracking.</t>
        </is>
      </c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FLO</t>
        </is>
      </c>
      <c r="B5" s="15" t="inlineStr">
        <is>
          <t>Florence Villa</t>
        </is>
      </c>
      <c r="C5" s="15" t="inlineStr">
        <is>
          <t>Florence Villa</t>
        </is>
      </c>
      <c r="D5" s="15" t="inlineStr">
        <is>
          <t>Florida</t>
        </is>
      </c>
      <c r="E5" s="15" t="inlineStr">
        <is>
          <t>Central Florida</t>
        </is>
      </c>
      <c r="F5" s="15" t="inlineStr">
        <is>
          <t>Multifamily</t>
        </is>
      </c>
      <c r="G5" s="15" t="n">
        <v>224</v>
      </c>
      <c r="H5" s="15" t="inlineStr">
        <is>
          <t>FLOVILLA</t>
        </is>
      </c>
      <c r="I5" s="15" t="inlineStr">
        <is>
          <t>Lease-Up</t>
        </is>
      </c>
      <c r="J5" s="15" t="inlineStr">
        <is>
          <t>Yes</t>
        </is>
      </c>
      <c r="K5" s="15" t="inlineStr">
        <is>
          <t>Community included in dashboard lease-up tracking.</t>
        </is>
      </c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BAR</t>
        </is>
      </c>
      <c r="B6" s="15" t="inlineStr">
        <is>
          <t>Bartram</t>
        </is>
      </c>
      <c r="C6" s="15" t="inlineStr">
        <is>
          <t>Bartram</t>
        </is>
      </c>
      <c r="D6" s="15" t="inlineStr">
        <is>
          <t>Florida</t>
        </is>
      </c>
      <c r="E6" s="15" t="inlineStr">
        <is>
          <t>Jacksonville</t>
        </is>
      </c>
      <c r="F6" s="15" t="inlineStr">
        <is>
          <t>Multifamily</t>
        </is>
      </c>
      <c r="G6" s="15" t="n">
        <v>297</v>
      </c>
      <c r="H6" s="15" t="inlineStr">
        <is>
          <t>BARTRAM</t>
        </is>
      </c>
      <c r="I6" s="15" t="inlineStr">
        <is>
          <t>Stabilized</t>
        </is>
      </c>
      <c r="J6" s="15" t="inlineStr">
        <is>
          <t>Yes</t>
        </is>
      </c>
      <c r="K6" s="15" t="inlineStr">
        <is>
          <t>Community included in dashboard occupancy tracking.</t>
        </is>
      </c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CIT</t>
        </is>
      </c>
      <c r="B7" s="15" t="inlineStr">
        <is>
          <t>Citrus Ridge</t>
        </is>
      </c>
      <c r="C7" s="15" t="inlineStr">
        <is>
          <t>Citrus Ridge</t>
        </is>
      </c>
      <c r="D7" s="15" t="inlineStr">
        <is>
          <t>Florida</t>
        </is>
      </c>
      <c r="E7" s="15" t="inlineStr">
        <is>
          <t>Central Florida</t>
        </is>
      </c>
      <c r="F7" s="15" t="inlineStr">
        <is>
          <t>Multifamily</t>
        </is>
      </c>
      <c r="G7" s="15" t="n">
        <v>222</v>
      </c>
      <c r="H7" s="15" t="inlineStr">
        <is>
          <t>CITRIDGE</t>
        </is>
      </c>
      <c r="I7" s="15" t="inlineStr">
        <is>
          <t>Lease-Up</t>
        </is>
      </c>
      <c r="J7" s="15" t="inlineStr">
        <is>
          <t>Yes</t>
        </is>
      </c>
      <c r="K7" s="15" t="inlineStr">
        <is>
          <t>Community included in dashboard lease-up tracking.</t>
        </is>
      </c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VIE</t>
        </is>
      </c>
      <c r="B8" s="15" t="inlineStr">
        <is>
          <t>Viera</t>
        </is>
      </c>
      <c r="C8" s="15" t="inlineStr">
        <is>
          <t>Viera</t>
        </is>
      </c>
      <c r="D8" s="15" t="inlineStr">
        <is>
          <t>Florida</t>
        </is>
      </c>
      <c r="E8" s="15" t="inlineStr">
        <is>
          <t>Space Coast</t>
        </is>
      </c>
      <c r="F8" s="15" t="inlineStr">
        <is>
          <t>Senior</t>
        </is>
      </c>
      <c r="G8" s="15" t="n">
        <v>166</v>
      </c>
      <c r="H8" s="15" t="inlineStr">
        <is>
          <t>VIERA</t>
        </is>
      </c>
      <c r="I8" s="15" t="inlineStr">
        <is>
          <t>Lease-Up</t>
        </is>
      </c>
      <c r="J8" s="15" t="inlineStr">
        <is>
          <t>Yes</t>
        </is>
      </c>
      <c r="K8" s="15" t="inlineStr">
        <is>
          <t>Community included in dashboard lease-up tracking.</t>
        </is>
      </c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BAY</t>
        </is>
      </c>
      <c r="B9" s="15" t="inlineStr">
        <is>
          <t>Baymeadows</t>
        </is>
      </c>
      <c r="C9" s="15" t="inlineStr">
        <is>
          <t>Baymeadows</t>
        </is>
      </c>
      <c r="D9" s="15" t="inlineStr">
        <is>
          <t>Florida</t>
        </is>
      </c>
      <c r="E9" s="15" t="inlineStr">
        <is>
          <t>Jacksonville</t>
        </is>
      </c>
      <c r="F9" s="15" t="inlineStr">
        <is>
          <t>Multifamily</t>
        </is>
      </c>
      <c r="G9" s="15" t="n">
        <v>340</v>
      </c>
      <c r="H9" s="15" t="inlineStr">
        <is>
          <t>BAYMEADOWS</t>
        </is>
      </c>
      <c r="I9" s="15" t="inlineStr">
        <is>
          <t>Lease-Up</t>
        </is>
      </c>
      <c r="J9" s="15" t="inlineStr">
        <is>
          <t>Yes</t>
        </is>
      </c>
      <c r="K9" s="15" t="inlineStr">
        <is>
          <t>Community included in dashboard lease-up tracking.</t>
        </is>
      </c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DOR</t>
        </is>
      </c>
      <c r="B10" s="15" t="inlineStr">
        <is>
          <t>Doro</t>
        </is>
      </c>
      <c r="C10" s="15" t="inlineStr">
        <is>
          <t>Doro</t>
        </is>
      </c>
      <c r="D10" s="15" t="inlineStr">
        <is>
          <t>Florida</t>
        </is>
      </c>
      <c r="E10" s="15" t="inlineStr">
        <is>
          <t>Jacksonville</t>
        </is>
      </c>
      <c r="F10" s="15" t="inlineStr">
        <is>
          <t>Multifamily</t>
        </is>
      </c>
      <c r="G10" s="15" t="n">
        <v>247</v>
      </c>
      <c r="H10" s="15" t="inlineStr">
        <is>
          <t>DORO</t>
        </is>
      </c>
      <c r="I10" s="15" t="inlineStr">
        <is>
          <t>Stabilized</t>
        </is>
      </c>
      <c r="J10" s="15" t="inlineStr">
        <is>
          <t>Yes</t>
        </is>
      </c>
      <c r="K10" s="15" t="inlineStr">
        <is>
          <t>Known total units from portfolio context.</t>
        </is>
      </c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06"/>
  <sheetViews>
    <sheetView workbookViewId="0">
      <selection activeCell="A1" sqref="A1"/>
    </sheetView>
  </sheetViews>
  <sheetFormatPr baseColWidth="10" defaultColWidth="8.83203125" defaultRowHeight="14"/>
  <cols>
    <col width="24" customWidth="1" min="1" max="1"/>
    <col width="10" customWidth="1" min="2" max="2"/>
    <col width="18" customWidth="1" min="3" max="3"/>
    <col width="34" customWidth="1" min="4" max="4"/>
    <col width="48" customWidth="1" min="5" max="5"/>
    <col width="18" customWidth="1" min="6" max="6"/>
  </cols>
  <sheetData>
    <row r="1" ht="15" customHeight="1">
      <c r="A1" s="19" t="inlineStr">
        <is>
          <t>Field</t>
        </is>
      </c>
      <c r="B1" s="19" t="inlineStr">
        <is>
          <t>Required</t>
        </is>
      </c>
      <c r="C1" s="19" t="inlineStr">
        <is>
          <t>Type</t>
        </is>
      </c>
      <c r="D1" s="13" t="inlineStr">
        <is>
          <t>Allowed / Formula</t>
        </is>
      </c>
      <c r="E1" s="13" t="inlineStr">
        <is>
          <t>Agent Rule</t>
        </is>
      </c>
      <c r="F1" s="13" t="inlineStr">
        <is>
          <t>Power BI Role</t>
        </is>
      </c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Report_Month</t>
        </is>
      </c>
      <c r="B2" s="15" t="inlineStr">
        <is>
          <t>Yes</t>
        </is>
      </c>
      <c r="C2" s="15" t="inlineStr">
        <is>
          <t>Date</t>
        </is>
      </c>
      <c r="D2" s="15" t="inlineStr">
        <is>
          <t>First day of reporting month</t>
        </is>
      </c>
      <c r="E2" s="15" t="inlineStr">
        <is>
          <t>Load or calculate per ATLAS monthly update rules</t>
        </is>
      </c>
      <c r="F2" s="15" t="inlineStr">
        <is>
          <t>Date key</t>
        </is>
      </c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Community_ID</t>
        </is>
      </c>
      <c r="B3" s="15" t="inlineStr">
        <is>
          <t>Yes</t>
        </is>
      </c>
      <c r="C3" s="15" t="inlineStr">
        <is>
          <t>Text</t>
        </is>
      </c>
      <c r="D3" s="15" t="inlineStr">
        <is>
          <t>Use dropdown where available</t>
        </is>
      </c>
      <c r="E3" s="15" t="inlineStr">
        <is>
          <t>Load or calculate per ATLAS monthly update rules</t>
        </is>
      </c>
      <c r="F3" s="15" t="inlineStr">
        <is>
          <t>Dimension key</t>
        </is>
      </c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Community_Name</t>
        </is>
      </c>
      <c r="B4" s="15" t="inlineStr">
        <is>
          <t>No</t>
        </is>
      </c>
      <c r="C4" s="15" t="inlineStr">
        <is>
          <t>Formula / Derived</t>
        </is>
      </c>
      <c r="D4" s="15" t="inlineStr">
        <is>
          <t>Do not manually overwrite unless correcting formula logic</t>
        </is>
      </c>
      <c r="E4" s="15" t="inlineStr">
        <is>
          <t>Map from Community_Master using Community_ID</t>
        </is>
      </c>
      <c r="F4" s="15" t="inlineStr">
        <is>
          <t>Attribute</t>
        </is>
      </c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Region</t>
        </is>
      </c>
      <c r="B5" s="15" t="inlineStr">
        <is>
          <t>No</t>
        </is>
      </c>
      <c r="C5" s="15" t="inlineStr">
        <is>
          <t>Formula / Derived</t>
        </is>
      </c>
      <c r="D5" s="15" t="inlineStr">
        <is>
          <t>Do not manually overwrite unless correcting formula logic</t>
        </is>
      </c>
      <c r="E5" s="15" t="inlineStr">
        <is>
          <t>Map from Community_Master using Community_ID</t>
        </is>
      </c>
      <c r="F5" s="15" t="inlineStr">
        <is>
          <t>Attribute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Market</t>
        </is>
      </c>
      <c r="B6" s="15" t="inlineStr">
        <is>
          <t>No</t>
        </is>
      </c>
      <c r="C6" s="15" t="inlineStr">
        <is>
          <t>Formula / Derived</t>
        </is>
      </c>
      <c r="D6" s="15" t="inlineStr">
        <is>
          <t>Do not manually overwrite unless correcting formula logic</t>
        </is>
      </c>
      <c r="E6" s="15" t="inlineStr">
        <is>
          <t>Map from Community_Master using Community_ID</t>
        </is>
      </c>
      <c r="F6" s="15" t="inlineStr">
        <is>
          <t>Attribute</t>
        </is>
      </c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Asset_Type</t>
        </is>
      </c>
      <c r="B7" s="15" t="inlineStr">
        <is>
          <t>No</t>
        </is>
      </c>
      <c r="C7" s="15" t="inlineStr">
        <is>
          <t>Formula / Derived</t>
        </is>
      </c>
      <c r="D7" s="15" t="inlineStr">
        <is>
          <t>Do not manually overwrite unless correcting formula logic</t>
        </is>
      </c>
      <c r="E7" s="15" t="inlineStr">
        <is>
          <t>Map from Community_Master using Community_ID</t>
        </is>
      </c>
      <c r="F7" s="15" t="inlineStr">
        <is>
          <t>Attribute</t>
        </is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PMS_Property_Code</t>
        </is>
      </c>
      <c r="B8" s="15" t="inlineStr">
        <is>
          <t>No</t>
        </is>
      </c>
      <c r="C8" s="15" t="inlineStr">
        <is>
          <t>Formula / Derived</t>
        </is>
      </c>
      <c r="D8" s="15" t="inlineStr">
        <is>
          <t>Do not manually overwrite unless correcting formula logic</t>
        </is>
      </c>
      <c r="E8" s="15" t="inlineStr">
        <is>
          <t>Map from Community_Master using Community_ID</t>
        </is>
      </c>
      <c r="F8" s="15" t="inlineStr">
        <is>
          <t>Attribute</t>
        </is>
      </c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Total_Units</t>
        </is>
      </c>
      <c r="B9" s="15" t="inlineStr">
        <is>
          <t>No</t>
        </is>
      </c>
      <c r="C9" s="15" t="inlineStr">
        <is>
          <t>Number</t>
        </is>
      </c>
      <c r="D9" s="15" t="inlineStr">
        <is>
          <t>&gt;= 0 unless otherwise noted</t>
        </is>
      </c>
      <c r="E9" s="15" t="inlineStr">
        <is>
          <t>Map from Community_Master using Community_ID</t>
        </is>
      </c>
      <c r="F9" s="15" t="inlineStr">
        <is>
          <t>Measure</t>
        </is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Occupied_Units</t>
        </is>
      </c>
      <c r="B10" s="15" t="inlineStr">
        <is>
          <t>Yes</t>
        </is>
      </c>
      <c r="C10" s="15" t="inlineStr">
        <is>
          <t>Number</t>
        </is>
      </c>
      <c r="D10" s="15" t="inlineStr">
        <is>
          <t>&gt;= 0 unless otherwise noted</t>
        </is>
      </c>
      <c r="E10" s="15" t="inlineStr">
        <is>
          <t>Load or calculate per ATLAS monthly update rules</t>
        </is>
      </c>
      <c r="F10" s="15" t="inlineStr">
        <is>
          <t>Measure</t>
        </is>
      </c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inlineStr">
        <is>
          <t>Leased_Units</t>
        </is>
      </c>
      <c r="B11" s="15" t="inlineStr">
        <is>
          <t>Yes</t>
        </is>
      </c>
      <c r="C11" s="15" t="inlineStr">
        <is>
          <t>Number</t>
        </is>
      </c>
      <c r="D11" s="15" t="inlineStr">
        <is>
          <t>&gt;= 0 unless otherwise noted</t>
        </is>
      </c>
      <c r="E11" s="15" t="inlineStr">
        <is>
          <t>Load or calculate per ATLAS monthly update rules</t>
        </is>
      </c>
      <c r="F11" s="15" t="inlineStr">
        <is>
          <t>Measure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inlineStr">
        <is>
          <t>Preleased_Units</t>
        </is>
      </c>
      <c r="B12" s="15" t="inlineStr">
        <is>
          <t>No</t>
        </is>
      </c>
      <c r="C12" s="15" t="inlineStr">
        <is>
          <t>Number</t>
        </is>
      </c>
      <c r="D12" s="15" t="inlineStr">
        <is>
          <t>&gt;= 0 unless otherwise noted</t>
        </is>
      </c>
      <c r="E12" s="15" t="inlineStr">
        <is>
          <t>Load or calculate per ATLAS monthly update rules</t>
        </is>
      </c>
      <c r="F12" s="15" t="inlineStr">
        <is>
          <t>Measure</t>
        </is>
      </c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inlineStr">
        <is>
          <t>Vacant_Units</t>
        </is>
      </c>
      <c r="B13" s="15" t="inlineStr">
        <is>
          <t>No</t>
        </is>
      </c>
      <c r="C13" s="15" t="inlineStr">
        <is>
          <t>Number</t>
        </is>
      </c>
      <c r="D13" s="15" t="inlineStr">
        <is>
          <t>&gt;= 0 unless otherwise noted</t>
        </is>
      </c>
      <c r="E13" s="15" t="inlineStr">
        <is>
          <t>Load or calculate per ATLAS monthly update rules</t>
        </is>
      </c>
      <c r="F13" s="15" t="inlineStr">
        <is>
          <t>Measure</t>
        </is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inlineStr">
        <is>
          <t>Physical_Occupancy_%</t>
        </is>
      </c>
      <c r="B14" s="15" t="inlineStr">
        <is>
          <t>No</t>
        </is>
      </c>
      <c r="C14" s="15" t="inlineStr">
        <is>
          <t>Number</t>
        </is>
      </c>
      <c r="D14" s="15" t="inlineStr">
        <is>
          <t>&gt;= 0 unless otherwise noted</t>
        </is>
      </c>
      <c r="E14" s="15" t="inlineStr">
        <is>
          <t>Load or calculate per ATLAS monthly update rules</t>
        </is>
      </c>
      <c r="F14" s="15" t="inlineStr">
        <is>
          <t>Measure</t>
        </is>
      </c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inlineStr">
        <is>
          <t>Leased_%</t>
        </is>
      </c>
      <c r="B15" s="15" t="inlineStr">
        <is>
          <t>No</t>
        </is>
      </c>
      <c r="C15" s="15" t="inlineStr">
        <is>
          <t>Number</t>
        </is>
      </c>
      <c r="D15" s="15" t="inlineStr">
        <is>
          <t>&gt;= 0 unless otherwise noted</t>
        </is>
      </c>
      <c r="E15" s="15" t="inlineStr">
        <is>
          <t>Load or calculate per ATLAS monthly update rules</t>
        </is>
      </c>
      <c r="F15" s="15" t="inlineStr">
        <is>
          <t>Measure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inlineStr">
        <is>
          <t>Economic_Occupancy_%</t>
        </is>
      </c>
      <c r="B16" s="15" t="inlineStr">
        <is>
          <t>No</t>
        </is>
      </c>
      <c r="C16" s="15" t="inlineStr">
        <is>
          <t>Number</t>
        </is>
      </c>
      <c r="D16" s="15" t="inlineStr">
        <is>
          <t>&gt;= 0 unless otherwise noted</t>
        </is>
      </c>
      <c r="E16" s="15" t="inlineStr">
        <is>
          <t>Load or calculate per ATLAS monthly update rules</t>
        </is>
      </c>
      <c r="F16" s="15" t="inlineStr">
        <is>
          <t>Measure</t>
        </is>
      </c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inlineStr">
        <is>
          <t>Avg_Market_Rent</t>
        </is>
      </c>
      <c r="B17" s="15" t="inlineStr">
        <is>
          <t>No</t>
        </is>
      </c>
      <c r="C17" s="15" t="inlineStr">
        <is>
          <t>Number</t>
        </is>
      </c>
      <c r="D17" s="15" t="inlineStr">
        <is>
          <t>&gt;= 0 unless otherwise noted</t>
        </is>
      </c>
      <c r="E17" s="15" t="inlineStr">
        <is>
          <t>Load or calculate per ATLAS monthly update rules</t>
        </is>
      </c>
      <c r="F17" s="15" t="inlineStr">
        <is>
          <t>Measure</t>
        </is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inlineStr">
        <is>
          <t>Actual_Rent</t>
        </is>
      </c>
      <c r="B18" s="15" t="inlineStr">
        <is>
          <t>No</t>
        </is>
      </c>
      <c r="C18" s="15" t="inlineStr">
        <is>
          <t>Number</t>
        </is>
      </c>
      <c r="D18" s="15" t="inlineStr">
        <is>
          <t>&gt;= 0 unless otherwise noted</t>
        </is>
      </c>
      <c r="E18" s="15" t="inlineStr">
        <is>
          <t>Load or calculate per ATLAS monthly update rules</t>
        </is>
      </c>
      <c r="F18" s="15" t="inlineStr">
        <is>
          <t>Measure</t>
        </is>
      </c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inlineStr">
        <is>
          <t>Concessions_$</t>
        </is>
      </c>
      <c r="B19" s="15" t="inlineStr">
        <is>
          <t>No</t>
        </is>
      </c>
      <c r="C19" s="15" t="inlineStr">
        <is>
          <t>Number</t>
        </is>
      </c>
      <c r="D19" s="15" t="inlineStr">
        <is>
          <t>&gt;= 0 unless otherwise noted</t>
        </is>
      </c>
      <c r="E19" s="15" t="inlineStr">
        <is>
          <t>Load or calculate per ATLAS monthly update rules</t>
        </is>
      </c>
      <c r="F19" s="15" t="inlineStr">
        <is>
          <t>Measure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inlineStr">
        <is>
          <t>Delinquency_$</t>
        </is>
      </c>
      <c r="B20" s="15" t="inlineStr">
        <is>
          <t>No</t>
        </is>
      </c>
      <c r="C20" s="15" t="inlineStr">
        <is>
          <t>Number</t>
        </is>
      </c>
      <c r="D20" s="15" t="inlineStr">
        <is>
          <t>&gt;= 0 unless otherwise noted</t>
        </is>
      </c>
      <c r="E20" s="15" t="inlineStr">
        <is>
          <t>Load or calculate per ATLAS monthly update rules</t>
        </is>
      </c>
      <c r="F20" s="15" t="inlineStr">
        <is>
          <t>Measure</t>
        </is>
      </c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inlineStr">
        <is>
          <t>Gross_Potential_Rent_$</t>
        </is>
      </c>
      <c r="B21" s="15" t="inlineStr">
        <is>
          <t>No</t>
        </is>
      </c>
      <c r="C21" s="15" t="inlineStr">
        <is>
          <t>Number</t>
        </is>
      </c>
      <c r="D21" s="15" t="inlineStr">
        <is>
          <t>&gt;= 0 unless otherwise noted</t>
        </is>
      </c>
      <c r="E21" s="15" t="inlineStr">
        <is>
          <t>Load or calculate per ATLAS monthly update rules</t>
        </is>
      </c>
      <c r="F21" s="15" t="inlineStr">
        <is>
          <t>Measure</t>
        </is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inlineStr">
        <is>
          <t>Collected_Rent_$</t>
        </is>
      </c>
      <c r="B22" s="15" t="inlineStr">
        <is>
          <t>No</t>
        </is>
      </c>
      <c r="C22" s="15" t="inlineStr">
        <is>
          <t>Number</t>
        </is>
      </c>
      <c r="D22" s="15" t="inlineStr">
        <is>
          <t>&gt;= 0 unless otherwise noted</t>
        </is>
      </c>
      <c r="E22" s="15" t="inlineStr">
        <is>
          <t>Load or calculate per ATLAS monthly update rules</t>
        </is>
      </c>
      <c r="F22" s="15" t="inlineStr">
        <is>
          <t>Measure</t>
        </is>
      </c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inlineStr">
        <is>
          <t>Other_Income_$</t>
        </is>
      </c>
      <c r="B23" s="15" t="inlineStr">
        <is>
          <t>No</t>
        </is>
      </c>
      <c r="C23" s="15" t="inlineStr">
        <is>
          <t>Number</t>
        </is>
      </c>
      <c r="D23" s="15" t="inlineStr">
        <is>
          <t>&gt;= 0 unless otherwise noted</t>
        </is>
      </c>
      <c r="E23" s="15" t="inlineStr">
        <is>
          <t>Load or calculate per ATLAS monthly update rules</t>
        </is>
      </c>
      <c r="F23" s="15" t="inlineStr">
        <is>
          <t>Measure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inlineStr">
        <is>
          <t>Operating_Expenses_$</t>
        </is>
      </c>
      <c r="B24" s="15" t="inlineStr">
        <is>
          <t>No</t>
        </is>
      </c>
      <c r="C24" s="15" t="inlineStr">
        <is>
          <t>Number</t>
        </is>
      </c>
      <c r="D24" s="15" t="inlineStr">
        <is>
          <t>&gt;= 0 unless otherwise noted</t>
        </is>
      </c>
      <c r="E24" s="15" t="inlineStr">
        <is>
          <t>Load or calculate per ATLAS monthly update rules</t>
        </is>
      </c>
      <c r="F24" s="15" t="inlineStr">
        <is>
          <t>Measure</t>
        </is>
      </c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inlineStr">
        <is>
          <t>NOI_$</t>
        </is>
      </c>
      <c r="B25" s="15" t="inlineStr">
        <is>
          <t>No</t>
        </is>
      </c>
      <c r="C25" s="15" t="inlineStr">
        <is>
          <t>Number</t>
        </is>
      </c>
      <c r="D25" s="15" t="inlineStr">
        <is>
          <t>&gt;= 0 unless otherwise noted</t>
        </is>
      </c>
      <c r="E25" s="15" t="inlineStr">
        <is>
          <t>Load or calculate per ATLAS monthly update rules</t>
        </is>
      </c>
      <c r="F25" s="15" t="inlineStr">
        <is>
          <t>Measure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inlineStr">
        <is>
          <t>Traffic</t>
        </is>
      </c>
      <c r="B26" s="15" t="inlineStr">
        <is>
          <t>No</t>
        </is>
      </c>
      <c r="C26" s="15" t="inlineStr">
        <is>
          <t>Number</t>
        </is>
      </c>
      <c r="D26" s="15" t="inlineStr">
        <is>
          <t>&gt;= 0 unless otherwise noted</t>
        </is>
      </c>
      <c r="E26" s="15" t="inlineStr">
        <is>
          <t>Load or calculate per ATLAS monthly update rules</t>
        </is>
      </c>
      <c r="F26" s="15" t="inlineStr">
        <is>
          <t>Measure</t>
        </is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inlineStr">
        <is>
          <t>Leads</t>
        </is>
      </c>
      <c r="B27" s="15" t="inlineStr">
        <is>
          <t>No</t>
        </is>
      </c>
      <c r="C27" s="15" t="inlineStr">
        <is>
          <t>Number</t>
        </is>
      </c>
      <c r="D27" s="15" t="inlineStr">
        <is>
          <t>&gt;= 0 unless otherwise noted</t>
        </is>
      </c>
      <c r="E27" s="15" t="inlineStr">
        <is>
          <t>Load or calculate per ATLAS monthly update rules</t>
        </is>
      </c>
      <c r="F27" s="15" t="inlineStr">
        <is>
          <t>Measure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inlineStr">
        <is>
          <t>Tours</t>
        </is>
      </c>
      <c r="B28" s="15" t="inlineStr">
        <is>
          <t>No</t>
        </is>
      </c>
      <c r="C28" s="15" t="inlineStr">
        <is>
          <t>Number</t>
        </is>
      </c>
      <c r="D28" s="15" t="inlineStr">
        <is>
          <t>&gt;= 0 unless otherwise noted</t>
        </is>
      </c>
      <c r="E28" s="15" t="inlineStr">
        <is>
          <t>Load or calculate per ATLAS monthly update rules</t>
        </is>
      </c>
      <c r="F28" s="15" t="inlineStr">
        <is>
          <t>Measure</t>
        </is>
      </c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inlineStr">
        <is>
          <t>Applications</t>
        </is>
      </c>
      <c r="B29" s="15" t="inlineStr">
        <is>
          <t>No</t>
        </is>
      </c>
      <c r="C29" s="15" t="inlineStr">
        <is>
          <t>Number</t>
        </is>
      </c>
      <c r="D29" s="15" t="inlineStr">
        <is>
          <t>&gt;= 0 unless otherwise noted</t>
        </is>
      </c>
      <c r="E29" s="15" t="inlineStr">
        <is>
          <t>Load or calculate per ATLAS monthly update rules</t>
        </is>
      </c>
      <c r="F29" s="15" t="inlineStr">
        <is>
          <t>Measure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inlineStr">
        <is>
          <t>Approved_Applications</t>
        </is>
      </c>
      <c r="B30" s="15" t="inlineStr">
        <is>
          <t>No</t>
        </is>
      </c>
      <c r="C30" s="15" t="inlineStr">
        <is>
          <t>Number</t>
        </is>
      </c>
      <c r="D30" s="15" t="inlineStr">
        <is>
          <t>&gt;= 0 unless otherwise noted</t>
        </is>
      </c>
      <c r="E30" s="15" t="inlineStr">
        <is>
          <t>Load or calculate per ATLAS monthly update rules</t>
        </is>
      </c>
      <c r="F30" s="15" t="inlineStr">
        <is>
          <t>Measure</t>
        </is>
      </c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inlineStr">
        <is>
          <t>Move_Ins</t>
        </is>
      </c>
      <c r="B31" s="15" t="inlineStr">
        <is>
          <t>No</t>
        </is>
      </c>
      <c r="C31" s="15" t="inlineStr">
        <is>
          <t>Number</t>
        </is>
      </c>
      <c r="D31" s="15" t="inlineStr">
        <is>
          <t>&gt;= 0 unless otherwise noted</t>
        </is>
      </c>
      <c r="E31" s="15" t="inlineStr">
        <is>
          <t>Load or calculate per ATLAS monthly update rules</t>
        </is>
      </c>
      <c r="F31" s="15" t="inlineStr">
        <is>
          <t>Measure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inlineStr">
        <is>
          <t>Move_Outs</t>
        </is>
      </c>
      <c r="B32" s="15" t="inlineStr">
        <is>
          <t>No</t>
        </is>
      </c>
      <c r="C32" s="15" t="inlineStr">
        <is>
          <t>Number</t>
        </is>
      </c>
      <c r="D32" s="15" t="inlineStr">
        <is>
          <t>&gt;= 0 unless otherwise noted</t>
        </is>
      </c>
      <c r="E32" s="15" t="inlineStr">
        <is>
          <t>Load or calculate per ATLAS monthly update rules</t>
        </is>
      </c>
      <c r="F32" s="15" t="inlineStr">
        <is>
          <t>Measure</t>
        </is>
      </c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inlineStr">
        <is>
          <t>Renewals_Sent</t>
        </is>
      </c>
      <c r="B33" s="15" t="inlineStr">
        <is>
          <t>No</t>
        </is>
      </c>
      <c r="C33" s="15" t="inlineStr">
        <is>
          <t>Number</t>
        </is>
      </c>
      <c r="D33" s="15" t="inlineStr">
        <is>
          <t>&gt;= 0 unless otherwise noted</t>
        </is>
      </c>
      <c r="E33" s="15" t="inlineStr">
        <is>
          <t>Load or calculate per ATLAS monthly update rules</t>
        </is>
      </c>
      <c r="F33" s="15" t="inlineStr">
        <is>
          <t>Measure</t>
        </is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inlineStr">
        <is>
          <t>Renewals_Signed</t>
        </is>
      </c>
      <c r="B34" s="15" t="inlineStr">
        <is>
          <t>No</t>
        </is>
      </c>
      <c r="C34" s="15" t="inlineStr">
        <is>
          <t>Number</t>
        </is>
      </c>
      <c r="D34" s="15" t="inlineStr">
        <is>
          <t>&gt;= 0 unless otherwise noted</t>
        </is>
      </c>
      <c r="E34" s="15" t="inlineStr">
        <is>
          <t>Load or calculate per ATLAS monthly update rules</t>
        </is>
      </c>
      <c r="F34" s="15" t="inlineStr">
        <is>
          <t>Measure</t>
        </is>
      </c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inlineStr">
        <is>
          <t>Reviews_Count</t>
        </is>
      </c>
      <c r="B35" s="15" t="inlineStr">
        <is>
          <t>No</t>
        </is>
      </c>
      <c r="C35" s="15" t="inlineStr">
        <is>
          <t>Number</t>
        </is>
      </c>
      <c r="D35" s="15" t="inlineStr">
        <is>
          <t>&gt;= 0 unless otherwise noted</t>
        </is>
      </c>
      <c r="E35" s="15" t="inlineStr">
        <is>
          <t>Load or calculate per ATLAS monthly update rules</t>
        </is>
      </c>
      <c r="F35" s="15" t="inlineStr">
        <is>
          <t>Measure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inlineStr">
        <is>
          <t>Avg_Review_Rating</t>
        </is>
      </c>
      <c r="B36" s="15" t="inlineStr">
        <is>
          <t>No</t>
        </is>
      </c>
      <c r="C36" s="15" t="inlineStr">
        <is>
          <t>Number</t>
        </is>
      </c>
      <c r="D36" s="15" t="inlineStr">
        <is>
          <t>&gt;= 0 unless otherwise noted</t>
        </is>
      </c>
      <c r="E36" s="15" t="inlineStr">
        <is>
          <t>Load or calculate per ATLAS monthly update rules</t>
        </is>
      </c>
      <c r="F36" s="15" t="inlineStr">
        <is>
          <t>Measure</t>
        </is>
      </c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inlineStr">
        <is>
          <t>Open_Work_Orders</t>
        </is>
      </c>
      <c r="B37" s="15" t="inlineStr">
        <is>
          <t>No</t>
        </is>
      </c>
      <c r="C37" s="15" t="inlineStr">
        <is>
          <t>Number</t>
        </is>
      </c>
      <c r="D37" s="15" t="inlineStr">
        <is>
          <t>&gt;= 0 unless otherwise noted</t>
        </is>
      </c>
      <c r="E37" s="15" t="inlineStr">
        <is>
          <t>Load or calculate per ATLAS monthly update rules</t>
        </is>
      </c>
      <c r="F37" s="15" t="inlineStr">
        <is>
          <t>Measure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inlineStr">
        <is>
          <t>Completed_Work_Orders</t>
        </is>
      </c>
      <c r="B38" s="15" t="inlineStr">
        <is>
          <t>No</t>
        </is>
      </c>
      <c r="C38" s="15" t="inlineStr">
        <is>
          <t>Number</t>
        </is>
      </c>
      <c r="D38" s="15" t="inlineStr">
        <is>
          <t>&gt;= 0 unless otherwise noted</t>
        </is>
      </c>
      <c r="E38" s="15" t="inlineStr">
        <is>
          <t>Load or calculate per ATLAS monthly update rules</t>
        </is>
      </c>
      <c r="F38" s="15" t="inlineStr">
        <is>
          <t>Measure</t>
        </is>
      </c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inlineStr">
        <is>
          <t>Period_Status</t>
        </is>
      </c>
      <c r="B39" s="15" t="inlineStr">
        <is>
          <t>Yes</t>
        </is>
      </c>
      <c r="C39" s="15" t="inlineStr">
        <is>
          <t>Text</t>
        </is>
      </c>
      <c r="D39" s="15" t="inlineStr">
        <is>
          <t>Use dropdown where available</t>
        </is>
      </c>
      <c r="E39" s="15" t="inlineStr">
        <is>
          <t>Load or calculate per ATLAS monthly update rules</t>
        </is>
      </c>
      <c r="F39" s="15" t="inlineStr">
        <is>
          <t>Attribute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inlineStr">
        <is>
          <t>Source_System</t>
        </is>
      </c>
      <c r="B40" s="15" t="inlineStr">
        <is>
          <t>Yes</t>
        </is>
      </c>
      <c r="C40" s="15" t="inlineStr">
        <is>
          <t>Text</t>
        </is>
      </c>
      <c r="D40" s="15" t="inlineStr">
        <is>
          <t>Use dropdown where available</t>
        </is>
      </c>
      <c r="E40" s="15" t="inlineStr">
        <is>
          <t>Load or calculate per ATLAS monthly update rules</t>
        </is>
      </c>
      <c r="F40" s="15" t="inlineStr">
        <is>
          <t>Attribute</t>
        </is>
      </c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inlineStr">
        <is>
          <t>Source_File_Name</t>
        </is>
      </c>
      <c r="B41" s="15" t="inlineStr">
        <is>
          <t>No</t>
        </is>
      </c>
      <c r="C41" s="15" t="inlineStr">
        <is>
          <t>Text</t>
        </is>
      </c>
      <c r="D41" s="15" t="inlineStr">
        <is>
          <t>Free text</t>
        </is>
      </c>
      <c r="E41" s="15" t="inlineStr">
        <is>
          <t>Load or calculate per ATLAS monthly update rules</t>
        </is>
      </c>
      <c r="F41" s="15" t="inlineStr">
        <is>
          <t>Attribute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inlineStr">
        <is>
          <t>Agent_Notes</t>
        </is>
      </c>
      <c r="B42" s="15" t="inlineStr">
        <is>
          <t>No</t>
        </is>
      </c>
      <c r="C42" s="15" t="inlineStr">
        <is>
          <t>Text</t>
        </is>
      </c>
      <c r="D42" s="15" t="inlineStr">
        <is>
          <t>Free text</t>
        </is>
      </c>
      <c r="E42" s="15" t="inlineStr">
        <is>
          <t>Load or calculate per ATLAS monthly update rules</t>
        </is>
      </c>
      <c r="F42" s="15" t="inlineStr">
        <is>
          <t>Attribute</t>
        </is>
      </c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inlineStr">
        <is>
          <t>Last_Updated</t>
        </is>
      </c>
      <c r="B43" s="15" t="inlineStr">
        <is>
          <t>No</t>
        </is>
      </c>
      <c r="C43" s="15" t="inlineStr">
        <is>
          <t>Text</t>
        </is>
      </c>
      <c r="D43" s="15" t="inlineStr">
        <is>
          <t>Free text</t>
        </is>
      </c>
      <c r="E43" s="15" t="inlineStr">
        <is>
          <t>Load or calculate per ATLAS monthly update rules</t>
        </is>
      </c>
      <c r="F43" s="15" t="inlineStr">
        <is>
          <t>Attribute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inlineStr">
        <is>
          <t>Row_Status</t>
        </is>
      </c>
      <c r="B44" s="15" t="inlineStr">
        <is>
          <t>No</t>
        </is>
      </c>
      <c r="C44" s="15" t="inlineStr">
        <is>
          <t>Formula / Derived</t>
        </is>
      </c>
      <c r="D44" s="15" t="inlineStr">
        <is>
          <t>Do not manually overwrite unless correcting formula logic</t>
        </is>
      </c>
      <c r="E44" s="15" t="inlineStr">
        <is>
          <t>Load or calculate per ATLAS monthly update rules</t>
        </is>
      </c>
      <c r="F44" s="15" t="inlineStr">
        <is>
          <t>Attribute</t>
        </is>
      </c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inlineStr">
        <is>
          <t>Error_Detail</t>
        </is>
      </c>
      <c r="B45" s="15" t="inlineStr">
        <is>
          <t>No</t>
        </is>
      </c>
      <c r="C45" s="15" t="inlineStr">
        <is>
          <t>Formula / Derived</t>
        </is>
      </c>
      <c r="D45" s="15" t="inlineStr">
        <is>
          <t>Do not manually overwrite unless correcting formula logic</t>
        </is>
      </c>
      <c r="E45" s="15" t="inlineStr">
        <is>
          <t>Load or calculate per ATLAS monthly update rules</t>
        </is>
      </c>
      <c r="F45" s="15" t="inlineStr">
        <is>
          <t>Attribute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  <row r="502">
      <c r="A502" t="inlineStr">
        <is>
          <t>Lead_Walk_Ins</t>
        </is>
      </c>
      <c r="B502" t="inlineStr">
        <is>
          <t>Yes</t>
        </is>
      </c>
      <c r="C502" t="inlineStr">
        <is>
          <t>Number</t>
        </is>
      </c>
      <c r="D502" t="inlineStr">
        <is>
          <t>&gt;= 0 unless otherwise noted</t>
        </is>
      </c>
      <c r="E502" t="inlineStr">
        <is>
          <t>Load from lead-source detail on the same Monthly_Upload row</t>
        </is>
      </c>
      <c r="F502" t="inlineStr">
        <is>
          <t>Measure</t>
        </is>
      </c>
    </row>
    <row r="503">
      <c r="A503" t="inlineStr">
        <is>
          <t>Lead_Off_Site_Event</t>
        </is>
      </c>
      <c r="B503" t="inlineStr">
        <is>
          <t>Yes</t>
        </is>
      </c>
      <c r="C503" t="inlineStr">
        <is>
          <t>Number</t>
        </is>
      </c>
      <c r="D503" t="inlineStr">
        <is>
          <t>&gt;= 0 unless otherwise noted</t>
        </is>
      </c>
      <c r="E503" t="inlineStr">
        <is>
          <t>Load from lead-source detail on the same Monthly_Upload row</t>
        </is>
      </c>
      <c r="F503" t="inlineStr">
        <is>
          <t>Measure</t>
        </is>
      </c>
    </row>
    <row r="504">
      <c r="A504" t="inlineStr">
        <is>
          <t>Lead_Calls</t>
        </is>
      </c>
      <c r="B504" t="inlineStr">
        <is>
          <t>Yes</t>
        </is>
      </c>
      <c r="C504" t="inlineStr">
        <is>
          <t>Number</t>
        </is>
      </c>
      <c r="D504" t="inlineStr">
        <is>
          <t>&gt;= 0 unless otherwise noted</t>
        </is>
      </c>
      <c r="E504" t="inlineStr">
        <is>
          <t>Load from lead-source detail on the same Monthly_Upload row</t>
        </is>
      </c>
      <c r="F504" t="inlineStr">
        <is>
          <t>Measure</t>
        </is>
      </c>
    </row>
    <row r="505">
      <c r="A505" t="inlineStr">
        <is>
          <t>Lead_Emails_Online</t>
        </is>
      </c>
      <c r="B505" t="inlineStr">
        <is>
          <t>Yes</t>
        </is>
      </c>
      <c r="C505" t="inlineStr">
        <is>
          <t>Number</t>
        </is>
      </c>
      <c r="D505" t="inlineStr">
        <is>
          <t>&gt;= 0 unless otherwise noted</t>
        </is>
      </c>
      <c r="E505" t="inlineStr">
        <is>
          <t>Load from email + online lead-source detail on the same Monthly_Upload row</t>
        </is>
      </c>
      <c r="F505" t="inlineStr">
        <is>
          <t>Measure</t>
        </is>
      </c>
    </row>
    <row r="506">
      <c r="A506" t="inlineStr">
        <is>
          <t>Lead_Chat_Text_Other</t>
        </is>
      </c>
      <c r="B506" t="inlineStr">
        <is>
          <t>Yes</t>
        </is>
      </c>
      <c r="C506" t="inlineStr">
        <is>
          <t>Number</t>
        </is>
      </c>
      <c r="D506" t="inlineStr">
        <is>
          <t>&gt;= 0 unless otherwise noted</t>
        </is>
      </c>
      <c r="E506" t="inlineStr">
        <is>
          <t>Load from chat + text + other lead-source detail on the same Monthly_Upload row</t>
        </is>
      </c>
      <c r="F506" t="inlineStr">
        <is>
          <t>Measure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10" defaultColWidth="8.83203125" defaultRowHeight="14"/>
  <cols>
    <col width="8.83203125" customWidth="1" min="1" max="1"/>
    <col width="14.5" customWidth="1" min="2" max="2"/>
    <col width="19.5" customWidth="1" min="3" max="3"/>
    <col width="11.83203125" customWidth="1" min="4" max="4"/>
    <col width="9.33203125" customWidth="1" min="5" max="5"/>
    <col width="5.6640625" customWidth="1" min="6" max="6"/>
    <col width="11" customWidth="1" min="7" max="7"/>
  </cols>
  <sheetData>
    <row r="1" ht="15" customHeight="1">
      <c r="A1" s="19" t="inlineStr">
        <is>
          <t>Asset_Type</t>
        </is>
      </c>
      <c r="B1" s="19" t="inlineStr">
        <is>
          <t>Dashboard_Group</t>
        </is>
      </c>
      <c r="C1" s="19" t="inlineStr">
        <is>
          <t>Period_Status</t>
        </is>
      </c>
      <c r="D1" s="19" t="inlineStr">
        <is>
          <t>Source_System</t>
        </is>
      </c>
      <c r="E1" s="19" t="inlineStr">
        <is>
          <t>Row_Status</t>
        </is>
      </c>
      <c r="F1" s="19" t="inlineStr">
        <is>
          <t>Yes_No</t>
        </is>
      </c>
      <c r="G1" s="19" t="inlineStr">
        <is>
          <t>Upload_Type</t>
        </is>
      </c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Lease-Up</t>
        </is>
      </c>
      <c r="B2" s="15" t="inlineStr">
        <is>
          <t>Lease-Up</t>
        </is>
      </c>
      <c r="C2" s="15" t="inlineStr">
        <is>
          <t>Actual</t>
        </is>
      </c>
      <c r="D2" s="15" t="inlineStr">
        <is>
          <t>Manual Upload</t>
        </is>
      </c>
      <c r="E2" s="15" t="inlineStr">
        <is>
          <t>OK</t>
        </is>
      </c>
      <c r="F2" s="15" t="inlineStr">
        <is>
          <t>Yes</t>
        </is>
      </c>
      <c r="G2" s="15" t="inlineStr">
        <is>
          <t>Monthly Close</t>
        </is>
      </c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Multifamily</t>
        </is>
      </c>
      <c r="B3" s="15" t="inlineStr">
        <is>
          <t>Stabilized</t>
        </is>
      </c>
      <c r="C3" s="15" t="inlineStr">
        <is>
          <t>Budget</t>
        </is>
      </c>
      <c r="D3" s="15" t="inlineStr">
        <is>
          <t>Yardi</t>
        </is>
      </c>
      <c r="E3" s="15" t="inlineStr">
        <is>
          <t>ERROR</t>
        </is>
      </c>
      <c r="F3" s="15" t="inlineStr">
        <is>
          <t>No</t>
        </is>
      </c>
      <c r="G3" s="15" t="inlineStr">
        <is>
          <t>Weekly Flash</t>
        </is>
      </c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Student</t>
        </is>
      </c>
      <c r="B4" s="15" t="inlineStr">
        <is>
          <t>Student</t>
        </is>
      </c>
      <c r="C4" s="15" t="inlineStr">
        <is>
          <t>Forecast</t>
        </is>
      </c>
      <c r="D4" s="15" t="inlineStr">
        <is>
          <t>Entrata</t>
        </is>
      </c>
      <c r="E4" s="15" t="inlineStr">
        <is>
          <t>REVIEW</t>
        </is>
      </c>
      <c r="F4" s="15" t="n"/>
      <c r="G4" s="15" t="inlineStr">
        <is>
          <t>Reforecast</t>
        </is>
      </c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Senior</t>
        </is>
      </c>
      <c r="B5" s="15" t="inlineStr">
        <is>
          <t>Senior</t>
        </is>
      </c>
      <c r="C5" s="15" t="inlineStr">
        <is>
          <t>Prior Month Restatement</t>
        </is>
      </c>
      <c r="D5" s="15" t="inlineStr">
        <is>
          <t>ResMan</t>
        </is>
      </c>
      <c r="E5" s="15" t="n"/>
      <c r="F5" s="15" t="n"/>
      <c r="G5" s="15" t="inlineStr">
        <is>
          <t>Correction</t>
        </is>
      </c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Military</t>
        </is>
      </c>
      <c r="B6" s="15" t="inlineStr">
        <is>
          <t>Military</t>
        </is>
      </c>
      <c r="C6" s="15" t="n"/>
      <c r="D6" s="15" t="inlineStr">
        <is>
          <t>RealPage</t>
        </is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Affordable</t>
        </is>
      </c>
      <c r="B7" s="15" t="inlineStr">
        <is>
          <t>Affordable</t>
        </is>
      </c>
      <c r="C7" s="15" t="n"/>
      <c r="D7" s="15" t="inlineStr">
        <is>
          <t>AppFolio</t>
        </is>
      </c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Mixed-Use</t>
        </is>
      </c>
      <c r="B8" s="15" t="n"/>
      <c r="C8" s="15" t="n"/>
      <c r="D8" s="15" t="inlineStr">
        <is>
          <t>Excel Export</t>
        </is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n"/>
      <c r="B9" s="15" t="n"/>
      <c r="C9" s="15" t="n"/>
      <c r="D9" s="15" t="inlineStr">
        <is>
          <t>Other</t>
        </is>
      </c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:F1"/>
    </sheetView>
  </sheetViews>
  <sheetFormatPr baseColWidth="10" defaultColWidth="8.83203125" defaultRowHeight="14"/>
  <cols>
    <col width="28" customWidth="1" min="1" max="1"/>
    <col width="18" customWidth="1" min="2" max="2"/>
    <col width="20" customWidth="1" min="3" max="3"/>
    <col width="4" customWidth="1" min="4" max="4"/>
    <col width="22" customWidth="1" min="5" max="5"/>
    <col width="12" customWidth="1" min="6" max="7"/>
    <col width="14" customWidth="1" min="8" max="8"/>
  </cols>
  <sheetData>
    <row r="1" ht="24" customHeight="1">
      <c r="A1" s="18" t="inlineStr">
        <is>
          <t>ATLAS Upload Checks</t>
        </is>
      </c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3" t="inlineStr">
        <is>
          <t>Check</t>
        </is>
      </c>
      <c r="B3" s="3" t="inlineStr">
        <is>
          <t>Formula / Result</t>
        </is>
      </c>
      <c r="C3" s="3" t="inlineStr">
        <is>
          <t>Target</t>
        </is>
      </c>
      <c r="D3" s="15" t="n"/>
      <c r="E3" s="3" t="inlineStr">
        <is>
          <t>Community Coverage</t>
        </is>
      </c>
      <c r="F3" s="3" t="inlineStr">
        <is>
          <t>Expected</t>
        </is>
      </c>
      <c r="G3" s="3" t="inlineStr">
        <is>
          <t>Rows Loaded</t>
        </is>
      </c>
      <c r="H3" s="3" t="inlineStr">
        <is>
          <t>Status</t>
        </is>
      </c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Rows Loaded</t>
        </is>
      </c>
      <c r="B4" s="15">
        <f>COUNTA(Monthly_Upload!B2:B501)</f>
        <v/>
      </c>
      <c r="C4" s="15" t="inlineStr">
        <is>
          <t>&gt;= Active communities</t>
        </is>
      </c>
      <c r="D4" s="15" t="n"/>
      <c r="E4" s="15" t="inlineStr">
        <is>
          <t>SER</t>
        </is>
      </c>
      <c r="F4" s="15" t="n">
        <v>1</v>
      </c>
      <c r="G4" s="15">
        <f>COUNTIF(Monthly_Upload!$B$2:$B$501,E4)</f>
        <v/>
      </c>
      <c r="H4" s="15">
        <f>IF(G4&gt;=F4,"OK","MISSING")</f>
        <v/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Rows Marked ERROR</t>
        </is>
      </c>
      <c r="B5" s="15">
        <f>COUNTIF(Monthly_Upload!AQ2:AQ501,"ERROR")</f>
        <v/>
      </c>
      <c r="C5" s="15" t="inlineStr">
        <is>
          <t>0</t>
        </is>
      </c>
      <c r="D5" s="15" t="n"/>
      <c r="E5" s="15" t="inlineStr">
        <is>
          <t>GKP</t>
        </is>
      </c>
      <c r="F5" s="15" t="n">
        <v>1</v>
      </c>
      <c r="G5" s="15">
        <f>COUNTIF(Monthly_Upload!$B$2:$B$501,E5)</f>
        <v/>
      </c>
      <c r="H5" s="15">
        <f>IF(G5&gt;=F5,"OK","MISSING")</f>
        <v/>
      </c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Rows Marked OK</t>
        </is>
      </c>
      <c r="B6" s="15">
        <f>COUNTIF(Monthly_Upload!AQ2:AQ501,"OK")</f>
        <v/>
      </c>
      <c r="C6" s="15" t="inlineStr">
        <is>
          <t>Match rows loaded</t>
        </is>
      </c>
      <c r="D6" s="15" t="n"/>
      <c r="E6" s="15" t="inlineStr">
        <is>
          <t>NOC</t>
        </is>
      </c>
      <c r="F6" s="15" t="n">
        <v>1</v>
      </c>
      <c r="G6" s="15">
        <f>COUNTIF(Monthly_Upload!$B$2:$B$501,E6)</f>
        <v/>
      </c>
      <c r="H6" s="15">
        <f>IF(G6&gt;=F6,"OK","MISSING")</f>
        <v/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Blank Community IDs</t>
        </is>
      </c>
      <c r="B7" s="15">
        <f>COUNTBLANK(Monthly_Upload!B2:B501)</f>
        <v/>
      </c>
      <c r="C7" s="15" t="inlineStr">
        <is>
          <t>Ignore blanks below data</t>
        </is>
      </c>
      <c r="D7" s="15" t="n"/>
      <c r="E7" s="15" t="inlineStr">
        <is>
          <t>FLO</t>
        </is>
      </c>
      <c r="F7" s="15" t="n">
        <v>1</v>
      </c>
      <c r="G7" s="15">
        <f>COUNTIF(Monthly_Upload!$B$2:$B$501,E7)</f>
        <v/>
      </c>
      <c r="H7" s="15">
        <f>IF(G7&gt;=F7,"OK","MISSING")</f>
        <v/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Missing Report Month</t>
        </is>
      </c>
      <c r="B8" s="15">
        <f>COUNTIFS(Monthly_Upload!B2:B501,"&lt;&gt;",Monthly_Upload!A2:A501,"")</f>
        <v/>
      </c>
      <c r="C8" s="15" t="inlineStr">
        <is>
          <t>0</t>
        </is>
      </c>
      <c r="D8" s="15" t="n"/>
      <c r="E8" s="15" t="inlineStr">
        <is>
          <t>BAR</t>
        </is>
      </c>
      <c r="F8" s="15" t="n">
        <v>1</v>
      </c>
      <c r="G8" s="15">
        <f>COUNTIF(Monthly_Upload!$B$2:$B$501,E8)</f>
        <v/>
      </c>
      <c r="H8" s="15">
        <f>IF(G8&gt;=F8,"OK","MISSING")</f>
        <v/>
      </c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Occupied &gt; Total Units</t>
        </is>
      </c>
      <c r="B9" s="15">
        <f>SUMPRODUCT(--(Monthly_Upload!H2:H501&lt;&gt;""),--(Monthly_Upload!I2:I501&gt;Monthly_Upload!H2:H501),--(Monthly_Upload!B2:B501&lt;&gt;""))</f>
        <v/>
      </c>
      <c r="C9" s="15" t="inlineStr">
        <is>
          <t>0</t>
        </is>
      </c>
      <c r="D9" s="15" t="n"/>
      <c r="E9" s="15" t="inlineStr">
        <is>
          <t>CIT</t>
        </is>
      </c>
      <c r="F9" s="15" t="n">
        <v>1</v>
      </c>
      <c r="G9" s="15">
        <f>COUNTIF(Monthly_Upload!$B$2:$B$501,E9)</f>
        <v/>
      </c>
      <c r="H9" s="15">
        <f>IF(G9&gt;=F9,"OK","MISSING")</f>
        <v/>
      </c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Leased &gt; Total Units</t>
        </is>
      </c>
      <c r="B10" s="15">
        <f>SUMPRODUCT(--(Monthly_Upload!H2:H501&lt;&gt;""),--(Monthly_Upload!J2:J501&gt;Monthly_Upload!H2:H501),--(Monthly_Upload!B2:B501&lt;&gt;""))</f>
        <v/>
      </c>
      <c r="C10" s="15" t="inlineStr">
        <is>
          <t>0</t>
        </is>
      </c>
      <c r="D10" s="15" t="n"/>
      <c r="E10" s="15" t="inlineStr">
        <is>
          <t>VIE</t>
        </is>
      </c>
      <c r="F10" s="15" t="n">
        <v>1</v>
      </c>
      <c r="G10" s="15">
        <f>COUNTIF(Monthly_Upload!$B$2:$B$501,E10)</f>
        <v/>
      </c>
      <c r="H10" s="15">
        <f>IF(G10&gt;=F10,"OK","MISSING")</f>
        <v/>
      </c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inlineStr">
        <is>
          <t>Invalid Community IDs</t>
        </is>
      </c>
      <c r="B11" s="15">
        <f>SUMPRODUCT(--(Monthly_Upload!B2:B501&lt;&gt;""),--ISERROR(MATCH(Monthly_Upload!B2:B501,Community_Master!A2:A100,0)))</f>
        <v/>
      </c>
      <c r="C11" s="15" t="inlineStr">
        <is>
          <t>0</t>
        </is>
      </c>
      <c r="D11" s="15" t="n"/>
      <c r="E11" s="15" t="inlineStr">
        <is>
          <t>BAY</t>
        </is>
      </c>
      <c r="F11" s="15" t="n">
        <v>1</v>
      </c>
      <c r="G11" s="15">
        <f>COUNTIF(Monthly_Upload!$B$2:$B$501,E11)</f>
        <v/>
      </c>
      <c r="H11" s="15">
        <f>IF(G11&gt;=F11,"OK","MISSING")</f>
        <v/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inlineStr">
        <is>
          <t>Overall Upload Status</t>
        </is>
      </c>
      <c r="B12" s="15">
        <f>IF(SUM(B5,B9:B11)=0,"READY TO LOAD","FIX ERRORS")</f>
        <v/>
      </c>
      <c r="C12" s="15" t="inlineStr">
        <is>
          <t>READY TO LOAD</t>
        </is>
      </c>
      <c r="D12" s="15" t="n"/>
      <c r="E12" s="15" t="inlineStr">
        <is>
          <t>DOR</t>
        </is>
      </c>
      <c r="F12" s="15" t="n">
        <v>1</v>
      </c>
      <c r="G12" s="15">
        <f>COUNTIF(Monthly_Upload!$B$2:$B$501,E12)</f>
        <v/>
      </c>
      <c r="H12" s="15">
        <f>IF(G12&gt;=F12,"OK","MISSING")</f>
        <v/>
      </c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inlineStr">
        <is>
          <t>Last Reviewed</t>
        </is>
      </c>
      <c r="B13" s="15" t="inlineStr">
        <is>
          <t>2026-04-30 14:49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mergeCells count="1">
    <mergeCell ref="A1:F1"/>
  </mergeCells>
  <conditionalFormatting sqref="B12">
    <cfRule type="containsText" priority="1" operator="containsText" dxfId="3" text="FIX"/>
    <cfRule type="containsText" priority="2" operator="containsText" dxfId="0" text="READY"/>
  </conditionalFormatting>
  <conditionalFormatting sqref="H4:H50">
    <cfRule type="containsText" priority="3" operator="containsText" dxfId="1" text="MISSING"/>
    <cfRule type="containsText" priority="4" operator="containsText" dxfId="0" text="OK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511"/>
  <sheetViews>
    <sheetView workbookViewId="0">
      <selection activeCell="A1" sqref="A1"/>
    </sheetView>
  </sheetViews>
  <sheetFormatPr baseColWidth="10" defaultColWidth="8.83203125" defaultRowHeight="14"/>
  <cols>
    <col width="20" customWidth="1" min="1" max="1"/>
    <col width="28" customWidth="1" min="2" max="2"/>
    <col width="16" customWidth="1" min="3" max="3"/>
    <col width="24" customWidth="1" min="4" max="4"/>
    <col width="44" customWidth="1" min="5" max="5"/>
  </cols>
  <sheetData>
    <row r="1" ht="15" customHeight="1">
      <c r="A1" s="19" t="inlineStr">
        <is>
          <t>Table</t>
        </is>
      </c>
      <c r="B1" s="19" t="inlineStr">
        <is>
          <t>Column</t>
        </is>
      </c>
      <c r="C1" s="19" t="inlineStr">
        <is>
          <t>Data Type</t>
        </is>
      </c>
      <c r="D1" s="19" t="inlineStr">
        <is>
          <t>Model Use</t>
        </is>
      </c>
      <c r="E1" s="19" t="inlineStr">
        <is>
          <t>Relationship / Notes</t>
        </is>
      </c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Monthly_Upload</t>
        </is>
      </c>
      <c r="B2" s="15" t="inlineStr">
        <is>
          <t>Report_Month</t>
        </is>
      </c>
      <c r="C2" s="15" t="inlineStr">
        <is>
          <t>Date</t>
        </is>
      </c>
      <c r="D2" s="15" t="inlineStr">
        <is>
          <t>FactMonthlyPerformance</t>
        </is>
      </c>
      <c r="E2" s="15" t="inlineStr">
        <is>
          <t>Use as Date dimension relationship</t>
        </is>
      </c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Monthly_Upload</t>
        </is>
      </c>
      <c r="B3" s="15" t="inlineStr">
        <is>
          <t>Community_ID</t>
        </is>
      </c>
      <c r="C3" s="15" t="inlineStr">
        <is>
          <t>Text</t>
        </is>
      </c>
      <c r="D3" s="15" t="inlineStr">
        <is>
          <t>FactMonthlyPerformance</t>
        </is>
      </c>
      <c r="E3" s="15" t="inlineStr">
        <is>
          <t>Many-to-one to Community_Master[Community_ID]</t>
        </is>
      </c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Monthly_Upload</t>
        </is>
      </c>
      <c r="B4" s="15" t="inlineStr">
        <is>
          <t>Community_Name</t>
        </is>
      </c>
      <c r="C4" s="15" t="inlineStr">
        <is>
          <t>Text</t>
        </is>
      </c>
      <c r="D4" s="15" t="inlineStr">
        <is>
          <t>FactMonthlyPerformance</t>
        </is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Monthly_Upload</t>
        </is>
      </c>
      <c r="B5" s="15" t="inlineStr">
        <is>
          <t>Region</t>
        </is>
      </c>
      <c r="C5" s="15" t="inlineStr">
        <is>
          <t>Text</t>
        </is>
      </c>
      <c r="D5" s="15" t="inlineStr">
        <is>
          <t>FactMonthlyPerformance</t>
        </is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Monthly_Upload</t>
        </is>
      </c>
      <c r="B6" s="15" t="inlineStr">
        <is>
          <t>Market</t>
        </is>
      </c>
      <c r="C6" s="15" t="inlineStr">
        <is>
          <t>Text</t>
        </is>
      </c>
      <c r="D6" s="15" t="inlineStr">
        <is>
          <t>FactMonthlyPerformance</t>
        </is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Monthly_Upload</t>
        </is>
      </c>
      <c r="B7" s="15" t="inlineStr">
        <is>
          <t>Asset_Type</t>
        </is>
      </c>
      <c r="C7" s="15" t="inlineStr">
        <is>
          <t>Text</t>
        </is>
      </c>
      <c r="D7" s="15" t="inlineStr">
        <is>
          <t>FactMonthlyPerformance</t>
        </is>
      </c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Monthly_Upload</t>
        </is>
      </c>
      <c r="B8" s="15" t="inlineStr">
        <is>
          <t>PMS_Property_Code</t>
        </is>
      </c>
      <c r="C8" s="15" t="inlineStr">
        <is>
          <t>Text</t>
        </is>
      </c>
      <c r="D8" s="15" t="inlineStr">
        <is>
          <t>FactMonthlyPerformance</t>
        </is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Monthly_Upload</t>
        </is>
      </c>
      <c r="B9" s="15" t="inlineStr">
        <is>
          <t>Total_Units</t>
        </is>
      </c>
      <c r="C9" s="15" t="inlineStr">
        <is>
          <t>Decimal Number</t>
        </is>
      </c>
      <c r="D9" s="15" t="inlineStr">
        <is>
          <t>FactMonthlyPerformance</t>
        </is>
      </c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Monthly_Upload</t>
        </is>
      </c>
      <c r="B10" s="15" t="inlineStr">
        <is>
          <t>Occupied_Units</t>
        </is>
      </c>
      <c r="C10" s="15" t="inlineStr">
        <is>
          <t>Decimal Number</t>
        </is>
      </c>
      <c r="D10" s="15" t="inlineStr">
        <is>
          <t>FactMonthlyPerformance</t>
        </is>
      </c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inlineStr">
        <is>
          <t>Monthly_Upload</t>
        </is>
      </c>
      <c r="B11" s="15" t="inlineStr">
        <is>
          <t>Leased_Units</t>
        </is>
      </c>
      <c r="C11" s="15" t="inlineStr">
        <is>
          <t>Decimal Number</t>
        </is>
      </c>
      <c r="D11" s="15" t="inlineStr">
        <is>
          <t>FactMonthlyPerformance</t>
        </is>
      </c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inlineStr">
        <is>
          <t>Monthly_Upload</t>
        </is>
      </c>
      <c r="B12" s="15" t="inlineStr">
        <is>
          <t>Preleased_Units</t>
        </is>
      </c>
      <c r="C12" s="15" t="inlineStr">
        <is>
          <t>Decimal Number</t>
        </is>
      </c>
      <c r="D12" s="15" t="inlineStr">
        <is>
          <t>FactMonthlyPerformance</t>
        </is>
      </c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inlineStr">
        <is>
          <t>Monthly_Upload</t>
        </is>
      </c>
      <c r="B13" s="15" t="inlineStr">
        <is>
          <t>Vacant_Units</t>
        </is>
      </c>
      <c r="C13" s="15" t="inlineStr">
        <is>
          <t>Decimal Number</t>
        </is>
      </c>
      <c r="D13" s="15" t="inlineStr">
        <is>
          <t>FactMonthlyPerformance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inlineStr">
        <is>
          <t>Monthly_Upload</t>
        </is>
      </c>
      <c r="B14" s="15" t="inlineStr">
        <is>
          <t>Physical_Occupancy_%</t>
        </is>
      </c>
      <c r="C14" s="15" t="inlineStr">
        <is>
          <t>Decimal Number</t>
        </is>
      </c>
      <c r="D14" s="15" t="inlineStr">
        <is>
          <t>FactMonthlyPerformance</t>
        </is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inlineStr">
        <is>
          <t>Monthly_Upload</t>
        </is>
      </c>
      <c r="B15" s="15" t="inlineStr">
        <is>
          <t>Leased_%</t>
        </is>
      </c>
      <c r="C15" s="15" t="inlineStr">
        <is>
          <t>Decimal Number</t>
        </is>
      </c>
      <c r="D15" s="15" t="inlineStr">
        <is>
          <t>FactMonthlyPerformance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inlineStr">
        <is>
          <t>Monthly_Upload</t>
        </is>
      </c>
      <c r="B16" s="15" t="inlineStr">
        <is>
          <t>Economic_Occupancy_%</t>
        </is>
      </c>
      <c r="C16" s="15" t="inlineStr">
        <is>
          <t>Decimal Number</t>
        </is>
      </c>
      <c r="D16" s="15" t="inlineStr">
        <is>
          <t>FactMonthlyPerformance</t>
        </is>
      </c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inlineStr">
        <is>
          <t>Monthly_Upload</t>
        </is>
      </c>
      <c r="B17" s="15" t="inlineStr">
        <is>
          <t>Avg_Market_Rent</t>
        </is>
      </c>
      <c r="C17" s="15" t="inlineStr">
        <is>
          <t>Decimal Number</t>
        </is>
      </c>
      <c r="D17" s="15" t="inlineStr">
        <is>
          <t>FactMonthlyPerformance</t>
        </is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inlineStr">
        <is>
          <t>Monthly_Upload</t>
        </is>
      </c>
      <c r="B18" s="15" t="inlineStr">
        <is>
          <t>Actual_Rent</t>
        </is>
      </c>
      <c r="C18" s="15" t="inlineStr">
        <is>
          <t>Decimal Number</t>
        </is>
      </c>
      <c r="D18" s="15" t="inlineStr">
        <is>
          <t>FactMonthlyPerformance</t>
        </is>
      </c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inlineStr">
        <is>
          <t>Monthly_Upload</t>
        </is>
      </c>
      <c r="B19" s="15" t="inlineStr">
        <is>
          <t>Concessions_$</t>
        </is>
      </c>
      <c r="C19" s="15" t="inlineStr">
        <is>
          <t>Decimal Number</t>
        </is>
      </c>
      <c r="D19" s="15" t="inlineStr">
        <is>
          <t>FactMonthlyPerformance</t>
        </is>
      </c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inlineStr">
        <is>
          <t>Monthly_Upload</t>
        </is>
      </c>
      <c r="B20" s="15" t="inlineStr">
        <is>
          <t>Delinquency_$</t>
        </is>
      </c>
      <c r="C20" s="15" t="inlineStr">
        <is>
          <t>Decimal Number</t>
        </is>
      </c>
      <c r="D20" s="15" t="inlineStr">
        <is>
          <t>FactMonthlyPerformance</t>
        </is>
      </c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inlineStr">
        <is>
          <t>Monthly_Upload</t>
        </is>
      </c>
      <c r="B21" s="15" t="inlineStr">
        <is>
          <t>Gross_Potential_Rent_$</t>
        </is>
      </c>
      <c r="C21" s="15" t="inlineStr">
        <is>
          <t>Decimal Number</t>
        </is>
      </c>
      <c r="D21" s="15" t="inlineStr">
        <is>
          <t>FactMonthlyPerformance</t>
        </is>
      </c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inlineStr">
        <is>
          <t>Monthly_Upload</t>
        </is>
      </c>
      <c r="B22" s="15" t="inlineStr">
        <is>
          <t>Collected_Rent_$</t>
        </is>
      </c>
      <c r="C22" s="15" t="inlineStr">
        <is>
          <t>Decimal Number</t>
        </is>
      </c>
      <c r="D22" s="15" t="inlineStr">
        <is>
          <t>FactMonthlyPerformance</t>
        </is>
      </c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inlineStr">
        <is>
          <t>Monthly_Upload</t>
        </is>
      </c>
      <c r="B23" s="15" t="inlineStr">
        <is>
          <t>Other_Income_$</t>
        </is>
      </c>
      <c r="C23" s="15" t="inlineStr">
        <is>
          <t>Decimal Number</t>
        </is>
      </c>
      <c r="D23" s="15" t="inlineStr">
        <is>
          <t>FactMonthlyPerformance</t>
        </is>
      </c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inlineStr">
        <is>
          <t>Monthly_Upload</t>
        </is>
      </c>
      <c r="B24" s="15" t="inlineStr">
        <is>
          <t>Operating_Expenses_$</t>
        </is>
      </c>
      <c r="C24" s="15" t="inlineStr">
        <is>
          <t>Decimal Number</t>
        </is>
      </c>
      <c r="D24" s="15" t="inlineStr">
        <is>
          <t>FactMonthlyPerformance</t>
        </is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inlineStr">
        <is>
          <t>Monthly_Upload</t>
        </is>
      </c>
      <c r="B25" s="15" t="inlineStr">
        <is>
          <t>NOI_$</t>
        </is>
      </c>
      <c r="C25" s="15" t="inlineStr">
        <is>
          <t>Decimal Number</t>
        </is>
      </c>
      <c r="D25" s="15" t="inlineStr">
        <is>
          <t>FactMonthlyPerformance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inlineStr">
        <is>
          <t>Monthly_Upload</t>
        </is>
      </c>
      <c r="B26" s="15" t="inlineStr">
        <is>
          <t>Traffic</t>
        </is>
      </c>
      <c r="C26" s="15" t="inlineStr">
        <is>
          <t>Decimal Number</t>
        </is>
      </c>
      <c r="D26" s="15" t="inlineStr">
        <is>
          <t>FactMonthlyPerformance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inlineStr">
        <is>
          <t>Monthly_Upload</t>
        </is>
      </c>
      <c r="B27" s="15" t="inlineStr">
        <is>
          <t>Leads</t>
        </is>
      </c>
      <c r="C27" s="15" t="inlineStr">
        <is>
          <t>Decimal Number</t>
        </is>
      </c>
      <c r="D27" s="15" t="inlineStr">
        <is>
          <t>FactMonthlyPerformance</t>
        </is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inlineStr">
        <is>
          <t>Monthly_Upload</t>
        </is>
      </c>
      <c r="B28" s="15" t="inlineStr">
        <is>
          <t>Tours</t>
        </is>
      </c>
      <c r="C28" s="15" t="inlineStr">
        <is>
          <t>Decimal Number</t>
        </is>
      </c>
      <c r="D28" s="15" t="inlineStr">
        <is>
          <t>FactMonthlyPerformance</t>
        </is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inlineStr">
        <is>
          <t>Monthly_Upload</t>
        </is>
      </c>
      <c r="B29" s="15" t="inlineStr">
        <is>
          <t>Applications</t>
        </is>
      </c>
      <c r="C29" s="15" t="inlineStr">
        <is>
          <t>Decimal Number</t>
        </is>
      </c>
      <c r="D29" s="15" t="inlineStr">
        <is>
          <t>FactMonthlyPerformance</t>
        </is>
      </c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inlineStr">
        <is>
          <t>Monthly_Upload</t>
        </is>
      </c>
      <c r="B30" s="15" t="inlineStr">
        <is>
          <t>Approved_Applications</t>
        </is>
      </c>
      <c r="C30" s="15" t="inlineStr">
        <is>
          <t>Decimal Number</t>
        </is>
      </c>
      <c r="D30" s="15" t="inlineStr">
        <is>
          <t>FactMonthlyPerformance</t>
        </is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inlineStr">
        <is>
          <t>Monthly_Upload</t>
        </is>
      </c>
      <c r="B31" s="15" t="inlineStr">
        <is>
          <t>Move_Ins</t>
        </is>
      </c>
      <c r="C31" s="15" t="inlineStr">
        <is>
          <t>Decimal Number</t>
        </is>
      </c>
      <c r="D31" s="15" t="inlineStr">
        <is>
          <t>FactMonthlyPerformance</t>
        </is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inlineStr">
        <is>
          <t>Monthly_Upload</t>
        </is>
      </c>
      <c r="B32" s="15" t="inlineStr">
        <is>
          <t>Move_Outs</t>
        </is>
      </c>
      <c r="C32" s="15" t="inlineStr">
        <is>
          <t>Decimal Number</t>
        </is>
      </c>
      <c r="D32" s="15" t="inlineStr">
        <is>
          <t>FactMonthlyPerformance</t>
        </is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inlineStr">
        <is>
          <t>Monthly_Upload</t>
        </is>
      </c>
      <c r="B33" s="15" t="inlineStr">
        <is>
          <t>Renewals_Sent</t>
        </is>
      </c>
      <c r="C33" s="15" t="inlineStr">
        <is>
          <t>Decimal Number</t>
        </is>
      </c>
      <c r="D33" s="15" t="inlineStr">
        <is>
          <t>FactMonthlyPerformance</t>
        </is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inlineStr">
        <is>
          <t>Monthly_Upload</t>
        </is>
      </c>
      <c r="B34" s="15" t="inlineStr">
        <is>
          <t>Renewals_Signed</t>
        </is>
      </c>
      <c r="C34" s="15" t="inlineStr">
        <is>
          <t>Decimal Number</t>
        </is>
      </c>
      <c r="D34" s="15" t="inlineStr">
        <is>
          <t>FactMonthlyPerformance</t>
        </is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inlineStr">
        <is>
          <t>Monthly_Upload</t>
        </is>
      </c>
      <c r="B35" s="15" t="inlineStr">
        <is>
          <t>Reviews_Count</t>
        </is>
      </c>
      <c r="C35" s="15" t="inlineStr">
        <is>
          <t>Decimal Number</t>
        </is>
      </c>
      <c r="D35" s="15" t="inlineStr">
        <is>
          <t>FactMonthlyPerformance</t>
        </is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inlineStr">
        <is>
          <t>Monthly_Upload</t>
        </is>
      </c>
      <c r="B36" s="15" t="inlineStr">
        <is>
          <t>Avg_Review_Rating</t>
        </is>
      </c>
      <c r="C36" s="15" t="inlineStr">
        <is>
          <t>Decimal Number</t>
        </is>
      </c>
      <c r="D36" s="15" t="inlineStr">
        <is>
          <t>FactMonthlyPerformance</t>
        </is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inlineStr">
        <is>
          <t>Monthly_Upload</t>
        </is>
      </c>
      <c r="B37" s="15" t="inlineStr">
        <is>
          <t>Open_Work_Orders</t>
        </is>
      </c>
      <c r="C37" s="15" t="inlineStr">
        <is>
          <t>Decimal Number</t>
        </is>
      </c>
      <c r="D37" s="15" t="inlineStr">
        <is>
          <t>FactMonthlyPerformance</t>
        </is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inlineStr">
        <is>
          <t>Monthly_Upload</t>
        </is>
      </c>
      <c r="B38" s="15" t="inlineStr">
        <is>
          <t>Completed_Work_Orders</t>
        </is>
      </c>
      <c r="C38" s="15" t="inlineStr">
        <is>
          <t>Decimal Number</t>
        </is>
      </c>
      <c r="D38" s="15" t="inlineStr">
        <is>
          <t>FactMonthlyPerformance</t>
        </is>
      </c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inlineStr">
        <is>
          <t>Monthly_Upload</t>
        </is>
      </c>
      <c r="B39" s="15" t="inlineStr">
        <is>
          <t>Period_Status</t>
        </is>
      </c>
      <c r="C39" s="15" t="inlineStr">
        <is>
          <t>Text</t>
        </is>
      </c>
      <c r="D39" s="15" t="inlineStr">
        <is>
          <t>FactMonthlyPerformance</t>
        </is>
      </c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inlineStr">
        <is>
          <t>Monthly_Upload</t>
        </is>
      </c>
      <c r="B40" s="15" t="inlineStr">
        <is>
          <t>Source_System</t>
        </is>
      </c>
      <c r="C40" s="15" t="inlineStr">
        <is>
          <t>Text</t>
        </is>
      </c>
      <c r="D40" s="15" t="inlineStr">
        <is>
          <t>FactMonthlyPerformance</t>
        </is>
      </c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inlineStr">
        <is>
          <t>Monthly_Upload</t>
        </is>
      </c>
      <c r="B41" s="15" t="inlineStr">
        <is>
          <t>Source_File_Name</t>
        </is>
      </c>
      <c r="C41" s="15" t="inlineStr">
        <is>
          <t>Text</t>
        </is>
      </c>
      <c r="D41" s="15" t="inlineStr">
        <is>
          <t>FactMonthlyPerformance</t>
        </is>
      </c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inlineStr">
        <is>
          <t>Monthly_Upload</t>
        </is>
      </c>
      <c r="B42" s="15" t="inlineStr">
        <is>
          <t>Agent_Notes</t>
        </is>
      </c>
      <c r="C42" s="15" t="inlineStr">
        <is>
          <t>Text</t>
        </is>
      </c>
      <c r="D42" s="15" t="inlineStr">
        <is>
          <t>FactMonthlyPerformance</t>
        </is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inlineStr">
        <is>
          <t>Monthly_Upload</t>
        </is>
      </c>
      <c r="B43" s="15" t="inlineStr">
        <is>
          <t>Last_Updated</t>
        </is>
      </c>
      <c r="C43" s="15" t="inlineStr">
        <is>
          <t>Text</t>
        </is>
      </c>
      <c r="D43" s="15" t="inlineStr">
        <is>
          <t>FactMonthlyPerformance</t>
        </is>
      </c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inlineStr">
        <is>
          <t>Monthly_Upload</t>
        </is>
      </c>
      <c r="B44" s="15" t="inlineStr">
        <is>
          <t>Row_Status</t>
        </is>
      </c>
      <c r="C44" s="15" t="inlineStr">
        <is>
          <t>Text</t>
        </is>
      </c>
      <c r="D44" s="15" t="inlineStr">
        <is>
          <t>FactMonthlyPerformance</t>
        </is>
      </c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inlineStr">
        <is>
          <t>Monthly_Upload</t>
        </is>
      </c>
      <c r="B45" s="15" t="inlineStr">
        <is>
          <t>Error_Detail</t>
        </is>
      </c>
      <c r="C45" s="15" t="inlineStr">
        <is>
          <t>Text</t>
        </is>
      </c>
      <c r="D45" s="15" t="inlineStr">
        <is>
          <t>FactMonthlyPerformance</t>
        </is>
      </c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inlineStr">
        <is>
          <t>Community_Master</t>
        </is>
      </c>
      <c r="B46" s="15" t="inlineStr">
        <is>
          <t>Community_ID</t>
        </is>
      </c>
      <c r="C46" s="15" t="inlineStr">
        <is>
          <t>Text</t>
        </is>
      </c>
      <c r="D46" s="15" t="inlineStr">
        <is>
          <t>DimensionCommunity</t>
        </is>
      </c>
      <c r="E46" s="15" t="inlineStr">
        <is>
          <t>One side of Community_ID relationship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inlineStr">
        <is>
          <t>Community_Master</t>
        </is>
      </c>
      <c r="B47" s="15" t="inlineStr">
        <is>
          <t>Community_Name</t>
        </is>
      </c>
      <c r="C47" s="15" t="inlineStr">
        <is>
          <t>Text</t>
        </is>
      </c>
      <c r="D47" s="15" t="inlineStr">
        <is>
          <t>DimensionCommunity</t>
        </is>
      </c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inlineStr">
        <is>
          <t>Community_Master</t>
        </is>
      </c>
      <c r="B48" s="15" t="inlineStr">
        <is>
          <t>Short_Name</t>
        </is>
      </c>
      <c r="C48" s="15" t="inlineStr">
        <is>
          <t>Text</t>
        </is>
      </c>
      <c r="D48" s="15" t="inlineStr">
        <is>
          <t>DimensionCommunity</t>
        </is>
      </c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inlineStr">
        <is>
          <t>Community_Master</t>
        </is>
      </c>
      <c r="B49" s="15" t="inlineStr">
        <is>
          <t>Region</t>
        </is>
      </c>
      <c r="C49" s="15" t="inlineStr">
        <is>
          <t>Text</t>
        </is>
      </c>
      <c r="D49" s="15" t="inlineStr">
        <is>
          <t>DimensionCommunity</t>
        </is>
      </c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inlineStr">
        <is>
          <t>Community_Master</t>
        </is>
      </c>
      <c r="B50" s="15" t="inlineStr">
        <is>
          <t>Market</t>
        </is>
      </c>
      <c r="C50" s="15" t="inlineStr">
        <is>
          <t>Text</t>
        </is>
      </c>
      <c r="D50" s="15" t="inlineStr">
        <is>
          <t>DimensionCommunity</t>
        </is>
      </c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inlineStr">
        <is>
          <t>Community_Master</t>
        </is>
      </c>
      <c r="B51" s="15" t="inlineStr">
        <is>
          <t>Asset_Type</t>
        </is>
      </c>
      <c r="C51" s="15" t="inlineStr">
        <is>
          <t>Text</t>
        </is>
      </c>
      <c r="D51" s="15" t="inlineStr">
        <is>
          <t>DimensionCommunity</t>
        </is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inlineStr">
        <is>
          <t>Community_Master</t>
        </is>
      </c>
      <c r="B52" s="15" t="inlineStr">
        <is>
          <t>Total_Units</t>
        </is>
      </c>
      <c r="C52" s="15" t="inlineStr">
        <is>
          <t>Whole Number</t>
        </is>
      </c>
      <c r="D52" s="15" t="inlineStr">
        <is>
          <t>DimensionCommunity</t>
        </is>
      </c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inlineStr">
        <is>
          <t>Community_Master</t>
        </is>
      </c>
      <c r="B53" s="15" t="inlineStr">
        <is>
          <t>PMS_Property_Code</t>
        </is>
      </c>
      <c r="C53" s="15" t="inlineStr">
        <is>
          <t>Text</t>
        </is>
      </c>
      <c r="D53" s="15" t="inlineStr">
        <is>
          <t>DimensionCommunity</t>
        </is>
      </c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inlineStr">
        <is>
          <t>Community_Master</t>
        </is>
      </c>
      <c r="B54" s="15" t="inlineStr">
        <is>
          <t>Dashboard_Group</t>
        </is>
      </c>
      <c r="C54" s="15" t="inlineStr">
        <is>
          <t>Text</t>
        </is>
      </c>
      <c r="D54" s="15" t="inlineStr">
        <is>
          <t>DimensionCommunity</t>
        </is>
      </c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inlineStr">
        <is>
          <t>Community_Master</t>
        </is>
      </c>
      <c r="B55" s="15" t="inlineStr">
        <is>
          <t>Active_Flag</t>
        </is>
      </c>
      <c r="C55" s="15" t="inlineStr">
        <is>
          <t>Text</t>
        </is>
      </c>
      <c r="D55" s="15" t="inlineStr">
        <is>
          <t>DimensionCommunity</t>
        </is>
      </c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inlineStr">
        <is>
          <t>Community_Master</t>
        </is>
      </c>
      <c r="B56" s="15" t="inlineStr">
        <is>
          <t>Notes</t>
        </is>
      </c>
      <c r="C56" s="15" t="inlineStr">
        <is>
          <t>Text</t>
        </is>
      </c>
      <c r="D56" s="15" t="inlineStr">
        <is>
          <t>DimensionCommunity</t>
        </is>
      </c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  <row r="502">
      <c r="A502" t="inlineStr">
        <is>
          <t>Monthly_Upload</t>
        </is>
      </c>
      <c r="B502" t="inlineStr">
        <is>
          <t>Lead_Walk_Ins</t>
        </is>
      </c>
      <c r="C502" t="inlineStr">
        <is>
          <t>Decimal Number</t>
        </is>
      </c>
      <c r="D502" t="inlineStr">
        <is>
          <t>FactMonthlyPerformance</t>
        </is>
      </c>
      <c r="E502" t="inlineStr">
        <is>
          <t>Lead-source detail must be on the Monthly_Upload row.</t>
        </is>
      </c>
    </row>
    <row r="503">
      <c r="A503" t="inlineStr">
        <is>
          <t>Monthly_Upload</t>
        </is>
      </c>
      <c r="B503" t="inlineStr">
        <is>
          <t>Lead_Off_Site_Event</t>
        </is>
      </c>
      <c r="C503" t="inlineStr">
        <is>
          <t>Decimal Number</t>
        </is>
      </c>
      <c r="D503" t="inlineStr">
        <is>
          <t>FactMonthlyPerformance</t>
        </is>
      </c>
      <c r="E503" t="inlineStr">
        <is>
          <t>Lead-source detail must be on the Monthly_Upload row.</t>
        </is>
      </c>
    </row>
    <row r="504">
      <c r="A504" t="inlineStr">
        <is>
          <t>Monthly_Upload</t>
        </is>
      </c>
      <c r="B504" t="inlineStr">
        <is>
          <t>Lead_Calls</t>
        </is>
      </c>
      <c r="C504" t="inlineStr">
        <is>
          <t>Decimal Number</t>
        </is>
      </c>
      <c r="D504" t="inlineStr">
        <is>
          <t>FactMonthlyPerformance</t>
        </is>
      </c>
      <c r="E504" t="inlineStr">
        <is>
          <t>Lead-source detail must be on the Monthly_Upload row.</t>
        </is>
      </c>
    </row>
    <row r="505">
      <c r="A505" t="inlineStr">
        <is>
          <t>Monthly_Upload</t>
        </is>
      </c>
      <c r="B505" t="inlineStr">
        <is>
          <t>Lead_Emails_Online</t>
        </is>
      </c>
      <c r="C505" t="inlineStr">
        <is>
          <t>Decimal Number</t>
        </is>
      </c>
      <c r="D505" t="inlineStr">
        <is>
          <t>FactMonthlyPerformance</t>
        </is>
      </c>
      <c r="E505" t="inlineStr">
        <is>
          <t>Lead-source detail must be on the Monthly_Upload row.</t>
        </is>
      </c>
    </row>
    <row r="506">
      <c r="A506" t="inlineStr">
        <is>
          <t>Monthly_Upload</t>
        </is>
      </c>
      <c r="B506" t="inlineStr">
        <is>
          <t>Lead_Chat_Text_Other</t>
        </is>
      </c>
      <c r="C506" t="inlineStr">
        <is>
          <t>Decimal Number</t>
        </is>
      </c>
      <c r="D506" t="inlineStr">
        <is>
          <t>FactMonthlyPerformance</t>
        </is>
      </c>
      <c r="E506" t="inlineStr">
        <is>
          <t>Lead-source detail must be on the Monthly_Upload row.</t>
        </is>
      </c>
    </row>
    <row r="507">
      <c r="A507" t="inlineStr">
        <is>
          <t>Floorplan_Occupancy</t>
        </is>
      </c>
      <c r="B507" t="inlineStr">
        <is>
          <t>Community_ID</t>
        </is>
      </c>
      <c r="C507" t="inlineStr">
        <is>
          <t>Text</t>
        </is>
      </c>
      <c r="D507" t="inlineStr">
        <is>
          <t>FactFloorplanOccupancy</t>
        </is>
      </c>
      <c r="E507" t="inlineStr">
        <is>
          <t>Many-to-one to Community_Master[Community_ID].</t>
        </is>
      </c>
    </row>
    <row r="508">
      <c r="A508" t="inlineStr">
        <is>
          <t>Floorplan_Occupancy</t>
        </is>
      </c>
      <c r="B508" t="inlineStr">
        <is>
          <t>Floor_Plan_Name</t>
        </is>
      </c>
      <c r="C508" t="inlineStr">
        <is>
          <t>Text</t>
        </is>
      </c>
      <c r="D508" t="inlineStr">
        <is>
          <t>FactFloorplanOccupancy</t>
        </is>
      </c>
      <c r="E508" t="inlineStr">
        <is>
          <t>Use source floor-plan name or code when no alias exists.</t>
        </is>
      </c>
    </row>
    <row r="509">
      <c r="A509" t="inlineStr">
        <is>
          <t>Floorplan_Occupancy</t>
        </is>
      </c>
      <c r="B509" t="inlineStr">
        <is>
          <t>Floor_Plan_Code</t>
        </is>
      </c>
      <c r="C509" t="inlineStr">
        <is>
          <t>Text</t>
        </is>
      </c>
      <c r="D509" t="inlineStr">
        <is>
          <t>FactFloorplanOccupancy</t>
        </is>
      </c>
      <c r="E509" t="inlineStr">
        <is>
          <t>Raw box score floor-plan code.</t>
        </is>
      </c>
    </row>
    <row r="510">
      <c r="A510" t="inlineStr">
        <is>
          <t>Floorplan_Occupancy</t>
        </is>
      </c>
      <c r="B510" t="inlineStr">
        <is>
          <t>Occupied_Units</t>
        </is>
      </c>
      <c r="C510" t="inlineStr">
        <is>
          <t>Decimal Number</t>
        </is>
      </c>
      <c r="D510" t="inlineStr">
        <is>
          <t>FactFloorplanOccupancy</t>
        </is>
      </c>
      <c r="E510" t="inlineStr">
        <is>
          <t>Floor-plan occupied unit count from the Availability row.</t>
        </is>
      </c>
    </row>
    <row r="511">
      <c r="A511" t="inlineStr">
        <is>
          <t>Floorplan_Occupancy</t>
        </is>
      </c>
      <c r="B511" t="inlineStr">
        <is>
          <t>Physical_Occupancy_%</t>
        </is>
      </c>
      <c r="C511" t="inlineStr">
        <is>
          <t>Decimal Number</t>
        </is>
      </c>
      <c r="D511" t="inlineStr">
        <is>
          <t>FactFloorplanOccupancy</t>
        </is>
      </c>
      <c r="E511" t="inlineStr">
        <is>
          <t>Floor-plan occupancy rate from the Availability row.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10" defaultColWidth="8.83203125" defaultRowHeight="14"/>
  <cols>
    <col width="120" customWidth="1" min="1" max="1"/>
  </cols>
  <sheetData>
    <row r="1" ht="15" customHeight="1">
      <c r="A1" s="13" t="inlineStr">
        <is>
          <t>Agent Ingestion Rules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</row>
    <row r="2" ht="15" customHeight="1">
      <c r="A2" s="15" t="inlineStr">
        <is>
          <t>1. Accept one Excel file only. The required upload tab is Monthly_Upload.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</row>
    <row r="3" ht="15" customHeight="1">
      <c r="A3" s="15" t="inlineStr">
        <is>
          <t>2. The grain must be one row per Report_Month + Community_ID. Do not create duplicate rows for the same month/community.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</row>
    <row r="4" ht="15" customHeight="1">
      <c r="A4" s="15" t="inlineStr">
        <is>
          <t>3. Community_ID is the mapping key. Match aliases to Community_Master before load. Examples: Glen Kernan Park = GKP, Sereno = SER.</t>
        </is>
      </c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</row>
    <row r="5" ht="15" customHeight="1">
      <c r="A5" s="15" t="inlineStr">
        <is>
          <t>4. Do not invent unit counts. Use Community_Master Total_Units when known. Flag missing Total_Units for review.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 ht="15" customHeight="1">
      <c r="A6" s="15" t="inlineStr">
        <is>
          <t>5. Standardize Report_Month to the first day of the month.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 ht="15" customHeight="1">
      <c r="A7" s="15" t="inlineStr">
        <is>
          <t>6. Convert occupancy percentages to decimal format, e.g., 95.6% = 0.956.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 ht="15" customHeight="1">
      <c r="A8" s="15" t="inlineStr">
        <is>
          <t>7. Preserve formulas in formula-driven columns. Paste source data only into editable input columns.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 ht="15" customHeight="1">
      <c r="A9" s="15" t="inlineStr">
        <is>
          <t>8. Run Upload_Checks. Return the file only when Overall Upload Status = READY TO LOAD.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 ht="15" customHeight="1">
      <c r="A10" s="15" t="inlineStr">
        <is>
          <t>9. If Row_Status = ERROR, preserve Error_Detail and do not load the row into production.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 ht="15" customHeight="1">
      <c r="A11" s="15" t="inlineStr">
        <is>
          <t>10. Save file as ATLAS_MonthlyUpload_YYYY-MM.xlsx.</t>
        </is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 ht="15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 ht="15" customHeight="1">
      <c r="A13" s="15" t="inlineStr">
        <is>
          <t>Editable columns for source data: A, B, I:K, O:S, U:W, Y:AP.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 ht="15" customHeight="1">
      <c r="A14" s="15" t="inlineStr">
        <is>
          <t>Formula columns: C:H, L:N, T, X, AQ:AR.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 ht="15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 ht="15" customHeight="1">
      <c r="A16" s="15" t="inlineStr">
        <is>
          <t>Tagline alignment with RISE: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 ht="15" customHeight="1">
      <c r="A17" s="15" t="inlineStr">
        <is>
          <t>LOVE. SERVE. CARE. Powered by better insight, stronger service, and care for every community.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 ht="15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 ht="15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 ht="15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 ht="15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 ht="15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 ht="15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 ht="15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 ht="15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 ht="15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 ht="15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 ht="15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 ht="15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 ht="15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 ht="1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 ht="15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 ht="15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 ht="1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 ht="15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 ht="15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 ht="15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 ht="15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 ht="15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 ht="1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 ht="15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 ht="15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 ht="15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 ht="15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 ht="15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 ht="15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 ht="15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 ht="15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 ht="15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 ht="15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 ht="15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 ht="15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 ht="15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 ht="15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 ht="15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 ht="15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 ht="15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 ht="15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 ht="15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 ht="15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 ht="15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 ht="15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 ht="15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 ht="15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 ht="15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 ht="15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 ht="15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 ht="15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 ht="15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 ht="15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 ht="15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 ht="15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 ht="15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 ht="15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 ht="15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 ht="15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 ht="15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 ht="15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 ht="15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 ht="15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 ht="15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 ht="15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 ht="15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 ht="1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 ht="15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 ht="15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 ht="15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 ht="15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 ht="15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 ht="1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 ht="15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 ht="15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 ht="15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 ht="15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 ht="15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 ht="15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 ht="15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 ht="15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 ht="15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 ht="15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 ht="15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 ht="15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 ht="15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 ht="15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 ht="15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  <row r="106" ht="15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  <c r="AL106" s="15" t="n"/>
      <c r="AM106" s="15" t="n"/>
      <c r="AN106" s="15" t="n"/>
      <c r="AO106" s="15" t="n"/>
      <c r="AP106" s="15" t="n"/>
      <c r="AQ106" s="15" t="n"/>
      <c r="AR106" s="15" t="n"/>
    </row>
    <row r="107" ht="15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  <c r="AM107" s="15" t="n"/>
      <c r="AN107" s="15" t="n"/>
      <c r="AO107" s="15" t="n"/>
      <c r="AP107" s="15" t="n"/>
      <c r="AQ107" s="15" t="n"/>
      <c r="AR107" s="15" t="n"/>
    </row>
    <row r="108" ht="15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  <c r="AJ108" s="15" t="n"/>
      <c r="AK108" s="15" t="n"/>
      <c r="AL108" s="15" t="n"/>
      <c r="AM108" s="15" t="n"/>
      <c r="AN108" s="15" t="n"/>
      <c r="AO108" s="15" t="n"/>
      <c r="AP108" s="15" t="n"/>
      <c r="AQ108" s="15" t="n"/>
      <c r="AR108" s="15" t="n"/>
    </row>
    <row r="109" ht="15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  <c r="AM109" s="15" t="n"/>
      <c r="AN109" s="15" t="n"/>
      <c r="AO109" s="15" t="n"/>
      <c r="AP109" s="15" t="n"/>
      <c r="AQ109" s="15" t="n"/>
      <c r="AR109" s="15" t="n"/>
    </row>
    <row r="110" ht="15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  <c r="AJ110" s="15" t="n"/>
      <c r="AK110" s="15" t="n"/>
      <c r="AL110" s="15" t="n"/>
      <c r="AM110" s="15" t="n"/>
      <c r="AN110" s="15" t="n"/>
      <c r="AO110" s="15" t="n"/>
      <c r="AP110" s="15" t="n"/>
      <c r="AQ110" s="15" t="n"/>
      <c r="AR110" s="15" t="n"/>
    </row>
    <row r="111" ht="15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  <c r="AM111" s="15" t="n"/>
      <c r="AN111" s="15" t="n"/>
      <c r="AO111" s="15" t="n"/>
      <c r="AP111" s="15" t="n"/>
      <c r="AQ111" s="15" t="n"/>
      <c r="AR111" s="15" t="n"/>
    </row>
    <row r="112" ht="15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  <c r="AJ112" s="15" t="n"/>
      <c r="AK112" s="15" t="n"/>
      <c r="AL112" s="15" t="n"/>
      <c r="AM112" s="15" t="n"/>
      <c r="AN112" s="15" t="n"/>
      <c r="AO112" s="15" t="n"/>
      <c r="AP112" s="15" t="n"/>
      <c r="AQ112" s="15" t="n"/>
      <c r="AR112" s="15" t="n"/>
    </row>
    <row r="113" ht="15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  <c r="AM113" s="15" t="n"/>
      <c r="AN113" s="15" t="n"/>
      <c r="AO113" s="15" t="n"/>
      <c r="AP113" s="15" t="n"/>
      <c r="AQ113" s="15" t="n"/>
      <c r="AR113" s="15" t="n"/>
    </row>
    <row r="114" ht="15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  <c r="AJ114" s="15" t="n"/>
      <c r="AK114" s="15" t="n"/>
      <c r="AL114" s="15" t="n"/>
      <c r="AM114" s="15" t="n"/>
      <c r="AN114" s="15" t="n"/>
      <c r="AO114" s="15" t="n"/>
      <c r="AP114" s="15" t="n"/>
      <c r="AQ114" s="15" t="n"/>
      <c r="AR114" s="15" t="n"/>
    </row>
    <row r="115" ht="15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</row>
    <row r="116" ht="15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  <c r="AJ116" s="15" t="n"/>
      <c r="AK116" s="15" t="n"/>
      <c r="AL116" s="15" t="n"/>
      <c r="AM116" s="15" t="n"/>
      <c r="AN116" s="15" t="n"/>
      <c r="AO116" s="15" t="n"/>
      <c r="AP116" s="15" t="n"/>
      <c r="AQ116" s="15" t="n"/>
      <c r="AR116" s="15" t="n"/>
    </row>
    <row r="117" ht="15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  <c r="AM117" s="15" t="n"/>
      <c r="AN117" s="15" t="n"/>
      <c r="AO117" s="15" t="n"/>
      <c r="AP117" s="15" t="n"/>
      <c r="AQ117" s="15" t="n"/>
      <c r="AR117" s="15" t="n"/>
    </row>
    <row r="118" ht="15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  <c r="AJ118" s="15" t="n"/>
      <c r="AK118" s="15" t="n"/>
      <c r="AL118" s="15" t="n"/>
      <c r="AM118" s="15" t="n"/>
      <c r="AN118" s="15" t="n"/>
      <c r="AO118" s="15" t="n"/>
      <c r="AP118" s="15" t="n"/>
      <c r="AQ118" s="15" t="n"/>
      <c r="AR118" s="15" t="n"/>
    </row>
    <row r="119" ht="15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  <c r="AM119" s="15" t="n"/>
      <c r="AN119" s="15" t="n"/>
      <c r="AO119" s="15" t="n"/>
      <c r="AP119" s="15" t="n"/>
      <c r="AQ119" s="15" t="n"/>
      <c r="AR119" s="15" t="n"/>
    </row>
    <row r="120" ht="15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</row>
    <row r="121" ht="15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  <c r="AM121" s="15" t="n"/>
      <c r="AN121" s="15" t="n"/>
      <c r="AO121" s="15" t="n"/>
      <c r="AP121" s="15" t="n"/>
      <c r="AQ121" s="15" t="n"/>
      <c r="AR121" s="15" t="n"/>
    </row>
    <row r="122" ht="15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  <c r="AJ122" s="15" t="n"/>
      <c r="AK122" s="15" t="n"/>
      <c r="AL122" s="15" t="n"/>
      <c r="AM122" s="15" t="n"/>
      <c r="AN122" s="15" t="n"/>
      <c r="AO122" s="15" t="n"/>
      <c r="AP122" s="15" t="n"/>
      <c r="AQ122" s="15" t="n"/>
      <c r="AR122" s="15" t="n"/>
    </row>
    <row r="123" ht="15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  <c r="AJ123" s="15" t="n"/>
      <c r="AK123" s="15" t="n"/>
      <c r="AL123" s="15" t="n"/>
      <c r="AM123" s="15" t="n"/>
      <c r="AN123" s="15" t="n"/>
      <c r="AO123" s="15" t="n"/>
      <c r="AP123" s="15" t="n"/>
      <c r="AQ123" s="15" t="n"/>
      <c r="AR123" s="15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  <c r="AJ124" s="15" t="n"/>
      <c r="AK124" s="15" t="n"/>
      <c r="AL124" s="15" t="n"/>
      <c r="AM124" s="15" t="n"/>
      <c r="AN124" s="15" t="n"/>
      <c r="AO124" s="15" t="n"/>
      <c r="AP124" s="15" t="n"/>
      <c r="AQ124" s="15" t="n"/>
      <c r="AR124" s="15" t="n"/>
    </row>
    <row r="125" ht="15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</row>
    <row r="126" ht="15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</row>
    <row r="127" ht="15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</row>
    <row r="128" ht="15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</row>
    <row r="129" ht="15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</row>
    <row r="130" ht="15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</row>
    <row r="131" ht="15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</row>
    <row r="132" ht="15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</row>
    <row r="133" ht="15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</row>
    <row r="134" ht="1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</row>
    <row r="135" ht="15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</row>
    <row r="136" ht="15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</row>
    <row r="137" ht="15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</row>
    <row r="138" ht="15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</row>
    <row r="139" ht="15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</row>
    <row r="140" ht="1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</row>
    <row r="141" ht="15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</row>
    <row r="142" ht="15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</row>
    <row r="143" ht="15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</row>
    <row r="144" ht="15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</row>
    <row r="145" ht="15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</row>
    <row r="146" ht="15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</row>
    <row r="147" ht="15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</row>
    <row r="148" ht="15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</row>
    <row r="149" ht="15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</row>
    <row r="150" ht="15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</row>
    <row r="151" ht="15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</row>
    <row r="152" ht="15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</row>
    <row r="153" ht="15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</row>
    <row r="154" ht="15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</row>
    <row r="155" ht="15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</row>
    <row r="156" ht="15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</row>
    <row r="157" ht="15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</row>
    <row r="158" ht="15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</row>
    <row r="159" ht="15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</row>
    <row r="160" ht="15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</row>
    <row r="161" ht="15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</row>
    <row r="162" ht="15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</row>
    <row r="163" ht="15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</row>
    <row r="164" ht="15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</row>
    <row r="165" ht="15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</row>
    <row r="166" ht="15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</row>
    <row r="167" ht="15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</row>
    <row r="168" ht="15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</row>
    <row r="169" ht="15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</row>
    <row r="170" ht="15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</row>
    <row r="171" ht="15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</row>
    <row r="172" ht="15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</row>
    <row r="173" ht="15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</row>
    <row r="174" ht="15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</row>
    <row r="175" ht="15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</row>
    <row r="176" ht="15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</row>
    <row r="177" ht="15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</row>
    <row r="178" ht="15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</row>
    <row r="179" ht="15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</row>
    <row r="180" ht="15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</row>
    <row r="181" ht="15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</row>
    <row r="182" ht="15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</row>
    <row r="183" ht="15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</row>
    <row r="184" ht="1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</row>
    <row r="185" ht="15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</row>
    <row r="186" ht="15" customHeigh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</row>
    <row r="187" ht="15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</row>
    <row r="188" ht="15" customHeigh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</row>
    <row r="189" ht="15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</row>
    <row r="190" ht="1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</row>
    <row r="191" ht="15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</row>
    <row r="192" ht="15" customHeigh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</row>
    <row r="193" ht="15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</row>
    <row r="194" ht="15" customHeigh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</row>
    <row r="195" ht="15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</row>
    <row r="196" ht="15" customHeigh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</row>
    <row r="197" ht="15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</row>
    <row r="198" ht="15" customHeigh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</row>
    <row r="199" ht="15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</row>
    <row r="200" ht="15" customHeigh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</row>
    <row r="201" ht="15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</row>
    <row r="202" ht="15" customHeigh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</row>
    <row r="203" ht="15" customHeigh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</row>
    <row r="204" ht="15" customHeigh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</row>
    <row r="205" ht="15" customHeigh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</row>
    <row r="206" ht="15" customHeigh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</row>
    <row r="207" ht="15" customHeigh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</row>
    <row r="208" ht="15" customHeigh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</row>
    <row r="209" ht="15" customHeigh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</row>
    <row r="210" ht="15" customHeigh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</row>
    <row r="211" ht="15" customHeigh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</row>
    <row r="212" ht="15" customHeigh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</row>
    <row r="213" ht="15" customHeigh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</row>
    <row r="214" ht="15" customHeigh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</row>
    <row r="215" ht="15" customHeigh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</row>
    <row r="216" ht="15" customHeigh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</row>
    <row r="217" ht="15" customHeigh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</row>
    <row r="218" ht="15" customHeigh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</row>
    <row r="219" ht="15" customHeigh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</row>
    <row r="220" ht="15" customHeigh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</row>
    <row r="221" ht="15" customHeigh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</row>
    <row r="222" ht="15" customHeigh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</row>
    <row r="223" ht="15" customHeigh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</row>
    <row r="224" ht="15" customHeigh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</row>
    <row r="225" ht="15" customHeigh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</row>
    <row r="226" ht="15" customHeigh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</row>
    <row r="227" ht="15" customHeigh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</row>
    <row r="228" ht="15" customHeigh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</row>
    <row r="229" ht="15" customHeigh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</row>
    <row r="230" ht="15" customHeigh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</row>
    <row r="231" ht="15" customHeigh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</row>
    <row r="232" ht="15" customHeigh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</row>
    <row r="233" ht="15" customHeigh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</row>
    <row r="234" ht="1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</row>
    <row r="235" ht="15" customHeigh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</row>
    <row r="236" ht="15" customHeigh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</row>
    <row r="237" ht="15" customHeigh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</row>
    <row r="238" ht="15" customHeigh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</row>
    <row r="239" ht="15" customHeigh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</row>
    <row r="240" ht="1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</row>
    <row r="241" ht="15" customHeigh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</row>
    <row r="242" ht="15" customHeigh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</row>
    <row r="243" ht="15" customHeigh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</row>
    <row r="244" ht="15" customHeigh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</row>
    <row r="245" ht="15" customHeigh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</row>
    <row r="246" ht="15" customHeigh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</row>
    <row r="247" ht="15" customHeigh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</row>
    <row r="248" ht="15" customHeigh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</row>
    <row r="249" ht="15" customHeigh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</row>
    <row r="250" ht="15" customHeigh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</row>
    <row r="251" ht="15" customHeigh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</row>
    <row r="252" ht="15" customHeigh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</row>
    <row r="253" ht="15" customHeigh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</row>
    <row r="254" ht="15" customHeigh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</row>
    <row r="255" ht="15" customHeigh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</row>
    <row r="256" ht="15" customHeigh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</row>
    <row r="257" ht="15" customHeigh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</row>
    <row r="258" ht="15" customHeigh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</row>
    <row r="259" ht="15" customHeigh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</row>
    <row r="260" ht="15" customHeigh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</row>
    <row r="261" ht="15" customHeigh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</row>
    <row r="262" ht="15" customHeigh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</row>
    <row r="263" ht="15" customHeigh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</row>
    <row r="264" ht="15" customHeigh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</row>
    <row r="265" ht="15" customHeigh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</row>
    <row r="266" ht="15" customHeigh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</row>
    <row r="267" ht="15" customHeigh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</row>
    <row r="268" ht="15" customHeigh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</row>
    <row r="269" ht="15" customHeigh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</row>
    <row r="270" ht="15" customHeigh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</row>
    <row r="271" ht="15" customHeigh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</row>
    <row r="272" ht="15" customHeigh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</row>
    <row r="273" ht="15" customHeigh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</row>
    <row r="274" ht="15" customHeigh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</row>
    <row r="275" ht="15" customHeigh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</row>
    <row r="276" ht="15" customHeigh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</row>
    <row r="277" ht="15" customHeigh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</row>
    <row r="278" ht="15" customHeigh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</row>
    <row r="279" ht="15" customHeigh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</row>
    <row r="280" ht="15" customHeigh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</row>
    <row r="281" ht="15" customHeigh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</row>
    <row r="282" ht="15" customHeigh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</row>
    <row r="283" ht="15" customHeigh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</row>
    <row r="284" ht="1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</row>
    <row r="285" ht="15" customHeigh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</row>
    <row r="286" ht="15" customHeigh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</row>
    <row r="287" ht="15" customHeigh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</row>
    <row r="288" ht="15" customHeigh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</row>
    <row r="289" ht="15" customHeigh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</row>
    <row r="290" ht="1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</row>
    <row r="291" ht="15" customHeigh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</row>
    <row r="292" ht="15" customHeigh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</row>
    <row r="293" ht="15" customHeigh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</row>
    <row r="294" ht="15" customHeigh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</row>
    <row r="295" ht="15" customHeigh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</row>
    <row r="296" ht="15" customHeigh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</row>
    <row r="297" ht="15" customHeigh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</row>
    <row r="298" ht="15" customHeigh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</row>
    <row r="299" ht="15" customHeigh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</row>
    <row r="300" ht="15" customHeigh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</row>
    <row r="301" ht="15" customHeigh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</row>
    <row r="302" ht="15" customHeigh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</row>
    <row r="303" ht="15" customHeigh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</row>
    <row r="304" ht="15" customHeigh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</row>
    <row r="305" ht="15" customHeigh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</row>
    <row r="306" ht="15" customHeigh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</row>
    <row r="307" ht="15" customHeigh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</row>
    <row r="308" ht="15" customHeigh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</row>
    <row r="309" ht="15" customHeigh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</row>
    <row r="310" ht="15" customHeigh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</row>
    <row r="311" ht="15" customHeigh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</row>
    <row r="312" ht="15" customHeigh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</row>
    <row r="313" ht="15" customHeigh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</row>
    <row r="314" ht="15" customHeigh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</row>
    <row r="315" ht="15" customHeigh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</row>
    <row r="316" ht="15" customHeigh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</row>
    <row r="317" ht="15" customHeigh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</row>
    <row r="318" ht="15" customHeigh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</row>
    <row r="319" ht="15" customHeigh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</row>
    <row r="320" ht="15" customHeigh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</row>
    <row r="321" ht="15" customHeigh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</row>
    <row r="322" ht="15" customHeigh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</row>
    <row r="323" ht="15" customHeigh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</row>
    <row r="324" ht="15" customHeigh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</row>
    <row r="325" ht="15" customHeigh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</row>
    <row r="326" ht="15" customHeigh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</row>
    <row r="327" ht="15" customHeigh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</row>
    <row r="328" ht="15" customHeigh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</row>
    <row r="329" ht="15" customHeigh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</row>
    <row r="330" ht="15" customHeigh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</row>
    <row r="331" ht="15" customHeigh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</row>
    <row r="332" ht="15" customHeigh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</row>
    <row r="333" ht="15" customHeigh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</row>
    <row r="334" ht="1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</row>
    <row r="335" ht="15" customHeigh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</row>
    <row r="336" ht="15" customHeigh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</row>
    <row r="337" ht="15" customHeigh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</row>
    <row r="338" ht="15" customHeigh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</row>
    <row r="339" ht="15" customHeigh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</row>
    <row r="340" ht="1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</row>
    <row r="341" ht="15" customHeigh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</row>
    <row r="342" ht="15" customHeigh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</row>
    <row r="343" ht="15" customHeigh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</row>
    <row r="344" ht="15" customHeigh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</row>
    <row r="345" ht="15" customHeigh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</row>
    <row r="346" ht="15" customHeigh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</row>
    <row r="347" ht="15" customHeigh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</row>
    <row r="348" ht="15" customHeigh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</row>
    <row r="349" ht="15" customHeigh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</row>
    <row r="350" ht="15" customHeigh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</row>
    <row r="351" ht="15" customHeigh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</row>
    <row r="352" ht="15" customHeigh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</row>
    <row r="353" ht="15" customHeigh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</row>
    <row r="354" ht="15" customHeigh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</row>
    <row r="355" ht="15" customHeigh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</row>
    <row r="356" ht="15" customHeigh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</row>
    <row r="357" ht="15" customHeigh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</row>
    <row r="358" ht="15" customHeigh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</row>
    <row r="359" ht="15" customHeigh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</row>
    <row r="360" ht="15" customHeigh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</row>
    <row r="361" ht="15" customHeigh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</row>
    <row r="362" ht="15" customHeigh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</row>
    <row r="363" ht="15" customHeigh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</row>
    <row r="364" ht="15" customHeigh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</row>
    <row r="365" ht="15" customHeigh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</row>
    <row r="366" ht="15" customHeigh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</row>
    <row r="367" ht="15" customHeigh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</row>
    <row r="368" ht="15" customHeigh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</row>
    <row r="369" ht="15" customHeigh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</row>
    <row r="370" ht="15" customHeigh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</row>
    <row r="371" ht="15" customHeigh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</row>
    <row r="372" ht="15" customHeigh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</row>
    <row r="373" ht="15" customHeigh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</row>
    <row r="374" ht="15" customHeigh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</row>
    <row r="375" ht="15" customHeigh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</row>
    <row r="376" ht="15" customHeigh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</row>
    <row r="377" ht="15" customHeigh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</row>
    <row r="378" ht="15" customHeigh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</row>
    <row r="379" ht="15" customHeigh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</row>
    <row r="380" ht="15" customHeigh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</row>
    <row r="381" ht="15" customHeigh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</row>
    <row r="382" ht="15" customHeigh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</row>
    <row r="383" ht="15" customHeigh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</row>
    <row r="384" ht="1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</row>
    <row r="385" ht="15" customHeigh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</row>
    <row r="386" ht="15" customHeigh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</row>
    <row r="387" ht="15" customHeigh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</row>
    <row r="388" ht="15" customHeigh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</row>
    <row r="389" ht="15" customHeigh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</row>
    <row r="390" ht="1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</row>
    <row r="391" ht="15" customHeigh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</row>
    <row r="392" ht="15" customHeigh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</row>
    <row r="393" ht="15" customHeigh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</row>
    <row r="394" ht="15" customHeigh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</row>
    <row r="395" ht="15" customHeigh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</row>
    <row r="396" ht="15" customHeigh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</row>
    <row r="397" ht="15" customHeigh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</row>
    <row r="398" ht="15" customHeigh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</row>
    <row r="399" ht="15" customHeigh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</row>
    <row r="400" ht="15" customHeigh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</row>
    <row r="401" ht="15" customHeigh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</row>
    <row r="402" ht="15" customHeigh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</row>
    <row r="403" ht="15" customHeigh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</row>
    <row r="404" ht="15" customHeigh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</row>
    <row r="405" ht="15" customHeigh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</row>
    <row r="406" ht="15" customHeigh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</row>
    <row r="407" ht="15" customHeigh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</row>
    <row r="408" ht="15" customHeigh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</row>
    <row r="409" ht="15" customHeigh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</row>
    <row r="410" ht="15" customHeigh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</row>
    <row r="411" ht="15" customHeigh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</row>
    <row r="412" ht="15" customHeigh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</row>
    <row r="413" ht="15" customHeigh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</row>
    <row r="414" ht="15" customHeigh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</row>
    <row r="415" ht="15" customHeigh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</row>
    <row r="416" ht="15" customHeigh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</row>
    <row r="417" ht="15" customHeigh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</row>
    <row r="418" ht="15" customHeigh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</row>
    <row r="419" ht="15" customHeigh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</row>
    <row r="420" ht="15" customHeigh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</row>
    <row r="421" ht="15" customHeigh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</row>
    <row r="422" ht="15" customHeigh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</row>
    <row r="423" ht="15" customHeigh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</row>
    <row r="424" ht="15" customHeigh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</row>
    <row r="425" ht="15" customHeigh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</row>
    <row r="426" ht="15" customHeigh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</row>
    <row r="427" ht="15" customHeigh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</row>
    <row r="428" ht="15" customHeigh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</row>
    <row r="429" ht="15" customHeigh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</row>
    <row r="430" ht="15" customHeigh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</row>
    <row r="431" ht="15" customHeigh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</row>
    <row r="432" ht="15" customHeigh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</row>
    <row r="433" ht="15" customHeigh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</row>
    <row r="434" ht="1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</row>
    <row r="435" ht="15" customHeigh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</row>
    <row r="436" ht="15" customHeigh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</row>
    <row r="437" ht="15" customHeigh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</row>
    <row r="438" ht="15" customHeigh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</row>
    <row r="439" ht="15" customHeigh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</row>
    <row r="440" ht="1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</row>
    <row r="441" ht="15" customHeigh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</row>
    <row r="442" ht="15" customHeigh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</row>
    <row r="443" ht="15" customHeigh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</row>
    <row r="444" ht="15" customHeigh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</row>
    <row r="445" ht="15" customHeigh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</row>
    <row r="446" ht="15" customHeigh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</row>
    <row r="447" ht="15" customHeigh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</row>
    <row r="448" ht="15" customHeigh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</row>
    <row r="449" ht="15" customHeigh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</row>
    <row r="450" ht="15" customHeigh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</row>
    <row r="451" ht="15" customHeigh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</row>
    <row r="452" ht="15" customHeigh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</row>
    <row r="453" ht="15" customHeigh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</row>
    <row r="454" ht="15" customHeigh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</row>
    <row r="455" ht="15" customHeigh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</row>
    <row r="456" ht="15" customHeigh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</row>
    <row r="457" ht="15" customHeigh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</row>
    <row r="458" ht="15" customHeigh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</row>
    <row r="459" ht="15" customHeigh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</row>
    <row r="460" ht="15" customHeigh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</row>
    <row r="461" ht="15" customHeigh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</row>
    <row r="462" ht="15" customHeigh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</row>
    <row r="463" ht="15" customHeigh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</row>
    <row r="464" ht="15" customHeigh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</row>
    <row r="465" ht="15" customHeigh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</row>
    <row r="466" ht="15" customHeigh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</row>
    <row r="467" ht="15" customHeigh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</row>
    <row r="468" ht="15" customHeigh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</row>
    <row r="469" ht="15" customHeigh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</row>
    <row r="470" ht="15" customHeigh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</row>
    <row r="471" ht="15" customHeigh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</row>
    <row r="472" ht="15" customHeigh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</row>
    <row r="473" ht="15" customHeigh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</row>
    <row r="474" ht="15" customHeigh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</row>
    <row r="475" ht="15" customHeigh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</row>
    <row r="476" ht="15" customHeigh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</row>
    <row r="477" ht="15" customHeigh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</row>
    <row r="478" ht="15" customHeigh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</row>
    <row r="479" ht="15" customHeigh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</row>
    <row r="480" ht="15" customHeigh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</row>
    <row r="481" ht="15" customHeigh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</row>
    <row r="482" ht="15" customHeigh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</row>
    <row r="483" ht="15" customHeigh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</row>
    <row r="484" ht="1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</row>
    <row r="485" ht="15" customHeigh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</row>
    <row r="486" ht="15" customHeigh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</row>
    <row r="487" ht="15" customHeigh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</row>
    <row r="488" ht="15" customHeigh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</row>
    <row r="489" ht="15" customHeigh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</row>
    <row r="490" ht="1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</row>
    <row r="491" ht="15" customHeigh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</row>
    <row r="492" ht="15" customHeigh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</row>
    <row r="493" ht="15" customHeigh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</row>
    <row r="494" ht="15" customHeigh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</row>
    <row r="495" ht="15" customHeigh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</row>
    <row r="496" ht="15" customHeigh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</row>
    <row r="497" ht="15" customHeigh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</row>
    <row r="498" ht="15" customHeigh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</row>
    <row r="499" ht="15" customHeigh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</row>
    <row r="500" ht="15" customHeigh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</row>
    <row r="501" ht="15" customHeigh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17" customWidth="1" min="5" max="5"/>
    <col width="10" customWidth="1" min="6" max="6"/>
    <col width="13" customWidth="1" min="7" max="7"/>
    <col width="16" customWidth="1" min="8" max="8"/>
    <col width="17" customWidth="1" min="9" max="9"/>
    <col width="14" customWidth="1" min="10" max="10"/>
    <col width="22" customWidth="1" min="11" max="11"/>
    <col width="10" customWidth="1" min="12" max="12"/>
    <col width="17" customWidth="1" min="13" max="13"/>
    <col width="13" customWidth="1" min="14" max="14"/>
    <col width="15" customWidth="1" min="15" max="15"/>
    <col width="18" customWidth="1" min="16" max="16"/>
    <col width="13" customWidth="1" min="17" max="17"/>
  </cols>
  <sheetData>
    <row r="1">
      <c r="A1" s="21" t="inlineStr">
        <is>
          <t>Report_Month</t>
        </is>
      </c>
      <c r="B1" s="21" t="inlineStr">
        <is>
          <t>Community_ID</t>
        </is>
      </c>
      <c r="C1" s="21" t="inlineStr">
        <is>
          <t>Community_Name</t>
        </is>
      </c>
      <c r="D1" s="21" t="inlineStr">
        <is>
          <t>Floor_Plan_Name</t>
        </is>
      </c>
      <c r="E1" s="21" t="inlineStr">
        <is>
          <t>Floor_Plan_Code</t>
        </is>
      </c>
      <c r="F1" s="21" t="inlineStr">
        <is>
          <t>Avg_SQFT</t>
        </is>
      </c>
      <c r="G1" s="21" t="inlineStr">
        <is>
          <t>Total_Units</t>
        </is>
      </c>
      <c r="H1" s="21" t="inlineStr">
        <is>
          <t>Occupied_Units</t>
        </is>
      </c>
      <c r="I1" s="21" t="inlineStr">
        <is>
          <t>Available_Units</t>
        </is>
      </c>
      <c r="J1" s="21" t="inlineStr">
        <is>
          <t>Leased_Units</t>
        </is>
      </c>
      <c r="K1" s="21" t="inlineStr">
        <is>
          <t>Physical_Occupancy_%</t>
        </is>
      </c>
      <c r="L1" s="21" t="inlineStr">
        <is>
          <t>Leased_%</t>
        </is>
      </c>
      <c r="M1" s="21" t="inlineStr">
        <is>
          <t>Avg_Market_Rent</t>
        </is>
      </c>
      <c r="N1" s="21" t="inlineStr">
        <is>
          <t>Actual_Rent</t>
        </is>
      </c>
      <c r="O1" s="21" t="inlineStr">
        <is>
          <t>Source_System</t>
        </is>
      </c>
      <c r="P1" s="21" t="inlineStr">
        <is>
          <t>Source_File_Name</t>
        </is>
      </c>
      <c r="Q1" s="21" t="inlineStr">
        <is>
          <t>Agent_Notes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2026-04-30T14:58:28Z</dcterms:created>
  <dcterms:modified xmlns:dcterms="http://purl.org/dc/terms/" xmlns:xsi="http://www.w3.org/2001/XMLSchema-instance" xsi:type="dcterms:W3CDTF">2026-05-19T16:36:59Z</dcterms:modified>
  <cp:lastModifiedBy>Jacquelyn Heflin</cp:lastModifiedBy>
</cp:coreProperties>
</file>