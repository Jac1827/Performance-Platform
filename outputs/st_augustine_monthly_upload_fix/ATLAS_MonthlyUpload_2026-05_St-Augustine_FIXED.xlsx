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00" yWindow="620" windowWidth="30240" windowHeight="189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_Upload" sheetId="2" state="visible" r:id="rId2"/>
    <sheet xmlns:r="http://schemas.openxmlformats.org/officeDocument/2006/relationships" name="Community_Master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Validation_Lists" sheetId="5" state="visible" r:id="rId5"/>
    <sheet xmlns:r="http://schemas.openxmlformats.org/officeDocument/2006/relationships" name="Upload_Checks" sheetId="6" state="visible" r:id="rId6"/>
    <sheet xmlns:r="http://schemas.openxmlformats.org/officeDocument/2006/relationships" name="PowerBI_Schema" sheetId="7" state="visible" r:id="rId7"/>
    <sheet xmlns:r="http://schemas.openxmlformats.org/officeDocument/2006/relationships" name="Agent_Instructions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\-mm"/>
    <numFmt numFmtId="165" formatCode="0.0%"/>
    <numFmt numFmtId="166" formatCode="&quot;$&quot;#,##0"/>
    <numFmt numFmtId="167" formatCode="0.0"/>
    <numFmt numFmtId="168" formatCode="yyyy\-mm\-dd\ hh:mm"/>
  </numFmts>
  <fonts count="9">
    <font>
      <name val="Carlito"/>
      <sz val="11"/>
    </font>
    <font>
      <name val="Aptos"/>
      <b val="1"/>
      <color rgb="FF0B2233"/>
      <sz val="10"/>
    </font>
    <font>
      <name val="Aptos"/>
      <sz val="10"/>
    </font>
    <font>
      <name val="Aptos Display"/>
      <b val="1"/>
      <color rgb="FF004657"/>
      <sz val="20"/>
    </font>
    <font>
      <name val="Aptos"/>
      <i val="1"/>
      <color rgb="FF55707A"/>
      <sz val="10"/>
    </font>
    <font>
      <name val="Aptos"/>
      <b val="1"/>
      <color rgb="FFFFFFFF"/>
      <sz val="10"/>
    </font>
    <font>
      <name val="Aptos"/>
      <b val="1"/>
      <color rgb="FF004657"/>
      <sz val="16"/>
    </font>
    <font>
      <name val="Aptos"/>
      <i val="1"/>
      <color rgb="FF1478C8"/>
      <sz val="10"/>
    </font>
    <font>
      <name val="Aptos"/>
      <b val="1"/>
      <color rgb="FF004657"/>
      <sz val="18"/>
    </font>
  </fonts>
  <fills count="4">
    <fill>
      <patternFill/>
    </fill>
    <fill>
      <patternFill patternType="gray125"/>
    </fill>
    <fill>
      <patternFill patternType="solid">
        <fgColor rgb="FFEAF4F7"/>
      </patternFill>
    </fill>
    <fill>
      <patternFill patternType="solid">
        <fgColor rgb="FF0046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0" fontId="1" fillId="2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4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1" fillId="2" borderId="0" pivotButton="0" quotePrefix="0" xfId="0"/>
  </cellXfs>
  <cellStyles count="1">
    <cellStyle name="Normal" xfId="0" builtinId="0"/>
  </cellStyles>
  <dxfs count="6">
    <dxf>
      <font>
        <b val="1"/>
        <color rgb="FF166534"/>
      </font>
      <fill>
        <patternFill patternType="solid">
          <bgColor rgb="FFDDF6E8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166534"/>
      </font>
      <fill>
        <patternFill patternType="solid">
          <bgColor rgb="FFDDF6E8"/>
        </patternFill>
      </fill>
    </dxf>
    <dxf>
      <font>
        <b val="1"/>
        <color rgb="FF9B1C1C"/>
      </font>
      <fill>
        <patternFill patternType="solid">
          <bgColor rgb="FFFCE4E4"/>
        </patternFill>
      </fill>
    </dxf>
    <dxf>
      <font>
        <b val="1"/>
        <color rgb="FF166534"/>
      </font>
      <fill>
        <patternFill patternType="solid">
          <bgColor rgb="FFDDF6E8"/>
        </patternFill>
      </fill>
    </dxf>
    <dxf>
      <font>
        <b val="1"/>
        <color rgb="FF9B1C1C"/>
      </font>
      <fill>
        <patternFill patternType="solid">
          <bgColor rgb="FFFCE4E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MonthlyUpload" displayName="tblMonthlyUpload" ref="A1:AR501" headerRowCount="1">
  <tableColumns count="44">
    <tableColumn id="1" name="Report_Month"/>
    <tableColumn id="2" name="Community_ID"/>
    <tableColumn id="3" name="Community_Name"/>
    <tableColumn id="4" name="Region"/>
    <tableColumn id="5" name="Market"/>
    <tableColumn id="6" name="Asset_Type"/>
    <tableColumn id="7" name="PMS_Property_Code"/>
    <tableColumn id="8" name="Total_Units"/>
    <tableColumn id="9" name="Occupied_Units"/>
    <tableColumn id="10" name="Leased_Units"/>
    <tableColumn id="11" name="Preleased_Units"/>
    <tableColumn id="12" name="Vacant_Units"/>
    <tableColumn id="13" name="Physical_Occupancy_%"/>
    <tableColumn id="14" name="Leased_%"/>
    <tableColumn id="15" name="Economic_Occupancy_%"/>
    <tableColumn id="16" name="Avg_Market_Rent"/>
    <tableColumn id="17" name="Actual_Rent"/>
    <tableColumn id="18" name="Concessions_$"/>
    <tableColumn id="19" name="Delinquency_$"/>
    <tableColumn id="20" name="Gross_Potential_Rent_$"/>
    <tableColumn id="21" name="Collected_Rent_$"/>
    <tableColumn id="22" name="Other_Income_$"/>
    <tableColumn id="23" name="Operating_Expenses_$"/>
    <tableColumn id="24" name="NOI_$"/>
    <tableColumn id="25" name="Traffic"/>
    <tableColumn id="26" name="Leads"/>
    <tableColumn id="27" name="Tours"/>
    <tableColumn id="28" name="Applications"/>
    <tableColumn id="29" name="Approved_Applications"/>
    <tableColumn id="30" name="Move_Ins"/>
    <tableColumn id="31" name="Move_Outs"/>
    <tableColumn id="32" name="Renewals_Sent"/>
    <tableColumn id="33" name="Renewals_Signed"/>
    <tableColumn id="34" name="Reviews_Count"/>
    <tableColumn id="35" name="Avg_Review_Rating"/>
    <tableColumn id="36" name="Open_Work_Orders"/>
    <tableColumn id="37" name="Completed_Work_Orders"/>
    <tableColumn id="38" name="Period_Status"/>
    <tableColumn id="39" name="Source_System"/>
    <tableColumn id="40" name="Source_File_Name"/>
    <tableColumn id="41" name="Agent_Notes"/>
    <tableColumn id="42" name="Last_Updated"/>
    <tableColumn id="43" name="Row_Status"/>
    <tableColumn id="44" name="Error_Det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ommunityMaster" displayName="tblCommunityMaster" ref="A1:K10" headerRowCount="1">
  <tableColumns count="11">
    <tableColumn id="1" name="Community_ID"/>
    <tableColumn id="2" name="Community_Name"/>
    <tableColumn id="3" name="Short_Name"/>
    <tableColumn id="4" name="Region"/>
    <tableColumn id="5" name="Market"/>
    <tableColumn id="6" name="Asset_Type"/>
    <tableColumn id="7" name="Total_Units"/>
    <tableColumn id="8" name="PMS_Property_Code"/>
    <tableColumn id="9" name="Dashboard_Group"/>
    <tableColumn id="10" name="Active_Flag"/>
    <tableColumn id="1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ataDictionary" displayName="tblDataDictionary" ref="A1:F45" headerRowCount="1">
  <tableColumns count="6">
    <tableColumn id="1" name="Field"/>
    <tableColumn id="2" name="Required"/>
    <tableColumn id="3" name="Type"/>
    <tableColumn id="4" name="Allowed / Formula"/>
    <tableColumn id="5" name="Agent Rule"/>
    <tableColumn id="6" name="Power BI Ro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owerBISchema" displayName="tblPowerBISchema" ref="A1:E56" headerRowCount="1">
  <tableColumns count="5">
    <tableColumn id="1" name="Table"/>
    <tableColumn id="2" name="Column"/>
    <tableColumn id="3" name="Data Type"/>
    <tableColumn id="4" name="Model Use"/>
    <tableColumn id="5" name="Relationship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1"/>
  <sheetViews>
    <sheetView tabSelected="1" workbookViewId="0">
      <selection activeCell="A1" sqref="A1:H1"/>
    </sheetView>
  </sheetViews>
  <sheetFormatPr baseColWidth="10" defaultColWidth="8.83203125" defaultRowHeight="14"/>
  <cols>
    <col width="18" customWidth="1" min="1" max="1"/>
    <col width="80" customWidth="1" min="2" max="2"/>
    <col width="4" customWidth="1" min="3" max="3"/>
    <col width="18" customWidth="1" min="4" max="8"/>
  </cols>
  <sheetData>
    <row r="1" ht="17" customHeight="1">
      <c r="A1" s="12" t="inlineStr">
        <is>
          <t>ATLAS Monthly Portfolio Upload Template</t>
        </is>
      </c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4" t="inlineStr">
        <is>
          <t>One standardized file to refresh the full monthly ATLAS dashboard across all communities.</t>
        </is>
      </c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3" t="inlineStr">
        <is>
          <t>Workflow Step</t>
        </is>
      </c>
      <c r="B4" s="3" t="inlineStr">
        <is>
          <t>Action</t>
        </is>
      </c>
      <c r="C4" s="15" t="n"/>
      <c r="D4" s="15" t="inlineStr">
        <is>
          <t>Recommended Tagline</t>
        </is>
      </c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22" customHeight="1">
      <c r="A5" s="15" t="inlineStr">
        <is>
          <t>1</t>
        </is>
      </c>
      <c r="B5" s="15" t="inlineStr">
        <is>
          <t>Update Community_Master only when a community or mapping changes.</t>
        </is>
      </c>
      <c r="C5" s="15" t="n"/>
      <c r="D5" s="16" t="inlineStr">
        <is>
          <t>LOVE. SERVE. CARE.</t>
        </is>
      </c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2</t>
        </is>
      </c>
      <c r="B6" s="15" t="inlineStr">
        <is>
          <t>Paste one row per community per month into Monthly_Upload.</t>
        </is>
      </c>
      <c r="C6" s="15" t="n"/>
      <c r="D6" s="17" t="inlineStr">
        <is>
          <t>Powered by better insight, stronger service, and care for every community.</t>
        </is>
      </c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3</t>
        </is>
      </c>
      <c r="B7" s="15" t="inlineStr">
        <is>
          <t>Use dropdowns and Row_Status / Error_Detail to correct issues.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4</t>
        </is>
      </c>
      <c r="B8" s="15" t="inlineStr">
        <is>
          <t>Review Upload_Checks before loading.</t>
        </is>
      </c>
      <c r="C8" s="15" t="n"/>
      <c r="D8" s="15" t="inlineStr">
        <is>
          <t>Primary Keys</t>
        </is>
      </c>
      <c r="E8" s="15" t="inlineStr">
        <is>
          <t>Report_Month + Community_ID</t>
        </is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5</t>
        </is>
      </c>
      <c r="B9" s="15" t="inlineStr">
        <is>
          <t>Load Monthly_Upload into Power BI / ATLAS as the monthly fact table.</t>
        </is>
      </c>
      <c r="C9" s="15" t="n"/>
      <c r="D9" s="15" t="inlineStr">
        <is>
          <t>Community Mapping</t>
        </is>
      </c>
      <c r="E9" s="15" t="inlineStr">
        <is>
          <t>Community_ID joins every upload row to dashboard visuals.</t>
        </is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6</t>
        </is>
      </c>
      <c r="B10" s="15" t="inlineStr">
        <is>
          <t>Save as ATLAS_MonthlyUpload_YYYY-MM.xlsx.</t>
        </is>
      </c>
      <c r="C10" s="15" t="n"/>
      <c r="D10" s="15" t="inlineStr">
        <is>
          <t>Power BI Grain</t>
        </is>
      </c>
      <c r="E10" s="15" t="inlineStr">
        <is>
          <t>One row per community per reporting month.</t>
        </is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n"/>
      <c r="B11" s="15" t="n"/>
      <c r="C11" s="15" t="n"/>
      <c r="D11" s="15" t="inlineStr">
        <is>
          <t>Do Not Rename</t>
        </is>
      </c>
      <c r="E11" s="15" t="inlineStr">
        <is>
          <t>Monthly_Upload, Community_Master, Data_Dictionary, Upload_Checks</t>
        </is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n"/>
      <c r="B12" s="15" t="n"/>
      <c r="C12" s="15" t="n"/>
      <c r="D12" s="15" t="inlineStr">
        <is>
          <t>Agent Role</t>
        </is>
      </c>
      <c r="E12" s="15" t="inlineStr">
        <is>
          <t>Clean, map, validate, and return exactly this schema.</t>
        </is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mergeCells count="5">
    <mergeCell ref="D6:H6"/>
    <mergeCell ref="A2:H2"/>
    <mergeCell ref="D5:H5"/>
    <mergeCell ref="A1:H1"/>
    <mergeCell ref="D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01"/>
  <sheetViews>
    <sheetView workbookViewId="0">
      <selection activeCell="F4" sqref="F4"/>
    </sheetView>
  </sheetViews>
  <sheetFormatPr baseColWidth="10" defaultColWidth="8.83203125" defaultRowHeight="14"/>
  <cols>
    <col width="12" customWidth="1" min="1" max="1"/>
    <col width="14" customWidth="1" min="2" max="2"/>
    <col width="22" customWidth="1" min="3" max="3"/>
    <col width="14" customWidth="1" min="4" max="4"/>
    <col width="16" customWidth="1" min="5" max="6"/>
    <col width="18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6" customWidth="1" min="15" max="15"/>
    <col width="14" customWidth="1" min="16" max="16"/>
    <col width="12" customWidth="1" min="17" max="17"/>
    <col width="14" customWidth="1" min="18" max="19"/>
    <col width="18" customWidth="1" min="20" max="20"/>
    <col width="16" customWidth="1" min="21" max="21"/>
    <col width="14" customWidth="1" min="22" max="22"/>
    <col width="18" customWidth="1" min="23" max="23"/>
    <col width="14" customWidth="1" min="24" max="24"/>
    <col width="10" customWidth="1" min="25" max="27"/>
    <col width="13" customWidth="1" min="28" max="28"/>
    <col width="18" customWidth="1" min="29" max="29"/>
    <col width="10" customWidth="1" min="30" max="30"/>
    <col width="11" customWidth="1" min="31" max="31"/>
    <col width="14" customWidth="1" min="32" max="33"/>
    <col width="13" customWidth="1" min="34" max="34"/>
    <col width="14" customWidth="1" min="35" max="35"/>
    <col width="16" customWidth="1" min="36" max="36"/>
    <col width="20" customWidth="1" min="37" max="37"/>
    <col width="15" customWidth="1" min="38" max="39"/>
    <col width="24" customWidth="1" min="40" max="40"/>
    <col width="34" customWidth="1" min="41" max="41"/>
    <col width="18" customWidth="1" min="42" max="42"/>
    <col width="12" customWidth="1" min="43" max="43"/>
    <col width="48" customWidth="1" min="44" max="44"/>
  </cols>
  <sheetData>
    <row r="1" ht="48" customHeight="1">
      <c r="A1" s="4" t="inlineStr">
        <is>
          <t>Report_Month</t>
        </is>
      </c>
      <c r="B1" s="4" t="inlineStr">
        <is>
          <t>Community_ID</t>
        </is>
      </c>
      <c r="C1" s="4" t="inlineStr">
        <is>
          <t>Community_Name</t>
        </is>
      </c>
      <c r="D1" s="4" t="inlineStr">
        <is>
          <t>Region</t>
        </is>
      </c>
      <c r="E1" s="4" t="inlineStr">
        <is>
          <t>Market</t>
        </is>
      </c>
      <c r="F1" s="4" t="inlineStr">
        <is>
          <t>Asset_Type</t>
        </is>
      </c>
      <c r="G1" s="4" t="inlineStr">
        <is>
          <t>PMS_Property_Code</t>
        </is>
      </c>
      <c r="H1" s="4" t="inlineStr">
        <is>
          <t>Total_Units</t>
        </is>
      </c>
      <c r="I1" s="4" t="inlineStr">
        <is>
          <t>Occupied_Units</t>
        </is>
      </c>
      <c r="J1" s="4" t="inlineStr">
        <is>
          <t>Leased_Units</t>
        </is>
      </c>
      <c r="K1" s="4" t="inlineStr">
        <is>
          <t>Preleased_Units</t>
        </is>
      </c>
      <c r="L1" s="4" t="inlineStr">
        <is>
          <t>Vacant_Units</t>
        </is>
      </c>
      <c r="M1" s="4" t="inlineStr">
        <is>
          <t>Physical_Occupancy_%</t>
        </is>
      </c>
      <c r="N1" s="4" t="inlineStr">
        <is>
          <t>Leased_%</t>
        </is>
      </c>
      <c r="O1" s="4" t="inlineStr">
        <is>
          <t>Economic_Occupancy_%</t>
        </is>
      </c>
      <c r="P1" s="4" t="inlineStr">
        <is>
          <t>Avg_Market_Rent</t>
        </is>
      </c>
      <c r="Q1" s="4" t="inlineStr">
        <is>
          <t>Actual_Rent</t>
        </is>
      </c>
      <c r="R1" s="4" t="inlineStr">
        <is>
          <t>Concessions_$</t>
        </is>
      </c>
      <c r="S1" s="4" t="inlineStr">
        <is>
          <t>Delinquency_$</t>
        </is>
      </c>
      <c r="T1" s="4" t="inlineStr">
        <is>
          <t>Gross_Potential_Rent_$</t>
        </is>
      </c>
      <c r="U1" s="4" t="inlineStr">
        <is>
          <t>Collected_Rent_$</t>
        </is>
      </c>
      <c r="V1" s="4" t="inlineStr">
        <is>
          <t>Other_Income_$</t>
        </is>
      </c>
      <c r="W1" s="4" t="inlineStr">
        <is>
          <t>Operating_Expenses_$</t>
        </is>
      </c>
      <c r="X1" s="4" t="inlineStr">
        <is>
          <t>NOI_$</t>
        </is>
      </c>
      <c r="Y1" s="4" t="inlineStr">
        <is>
          <t>Traffic</t>
        </is>
      </c>
      <c r="Z1" s="4" t="inlineStr">
        <is>
          <t>Leads</t>
        </is>
      </c>
      <c r="AA1" s="4" t="inlineStr">
        <is>
          <t>Tours</t>
        </is>
      </c>
      <c r="AB1" s="4" t="inlineStr">
        <is>
          <t>Applications</t>
        </is>
      </c>
      <c r="AC1" s="4" t="inlineStr">
        <is>
          <t>Approved_Applications</t>
        </is>
      </c>
      <c r="AD1" s="4" t="inlineStr">
        <is>
          <t>Move_Ins</t>
        </is>
      </c>
      <c r="AE1" s="4" t="inlineStr">
        <is>
          <t>Move_Outs</t>
        </is>
      </c>
      <c r="AF1" s="4" t="inlineStr">
        <is>
          <t>Renewals_Sent</t>
        </is>
      </c>
      <c r="AG1" s="4" t="inlineStr">
        <is>
          <t>Renewals_Signed</t>
        </is>
      </c>
      <c r="AH1" s="4" t="inlineStr">
        <is>
          <t>Reviews_Count</t>
        </is>
      </c>
      <c r="AI1" s="4" t="inlineStr">
        <is>
          <t>Avg_Review_Rating</t>
        </is>
      </c>
      <c r="AJ1" s="4" t="inlineStr">
        <is>
          <t>Open_Work_Orders</t>
        </is>
      </c>
      <c r="AK1" s="4" t="inlineStr">
        <is>
          <t>Completed_Work_Orders</t>
        </is>
      </c>
      <c r="AL1" s="4" t="inlineStr">
        <is>
          <t>Period_Status</t>
        </is>
      </c>
      <c r="AM1" s="4" t="inlineStr">
        <is>
          <t>Source_System</t>
        </is>
      </c>
      <c r="AN1" s="4" t="inlineStr">
        <is>
          <t>Source_File_Name</t>
        </is>
      </c>
      <c r="AO1" s="4" t="inlineStr">
        <is>
          <t>Agent_Notes</t>
        </is>
      </c>
      <c r="AP1" s="4" t="inlineStr">
        <is>
          <t>Last_Updated</t>
        </is>
      </c>
      <c r="AQ1" s="4" t="inlineStr">
        <is>
          <t>Row_Status</t>
        </is>
      </c>
      <c r="AR1" s="4" t="inlineStr">
        <is>
          <t>Error_Detail</t>
        </is>
      </c>
      <c r="AS1" t="inlineStr">
        <is>
          <t>Lead_Walk_Ins</t>
        </is>
      </c>
      <c r="AT1" t="inlineStr">
        <is>
          <t>Lead_Calls</t>
        </is>
      </c>
      <c r="AU1" t="inlineStr">
        <is>
          <t>Lead_Emails_Online</t>
        </is>
      </c>
      <c r="AV1" t="inlineStr">
        <is>
          <t>Lead_Chat_Text_Other</t>
        </is>
      </c>
      <c r="AW1" t="inlineStr">
        <is>
          <t>Off_Site_Event</t>
        </is>
      </c>
      <c r="AX1" t="inlineStr">
        <is>
          <t>Applications_Cancelled</t>
        </is>
      </c>
      <c r="AY1" t="inlineStr">
        <is>
          <t>Exposure_%</t>
        </is>
      </c>
    </row>
    <row r="2" ht="15" customHeight="1">
      <c r="A2" s="5" t="inlineStr">
        <is>
          <t>2026-05-01</t>
        </is>
      </c>
      <c r="B2" s="15" t="inlineStr">
        <is>
          <t>STA</t>
        </is>
      </c>
      <c r="C2" s="15">
        <f>IFERROR(VLOOKUP($B2,Community_Master!$A$2:$K$100,2,FALSE),"")</f>
        <v/>
      </c>
      <c r="D2" s="15">
        <f>IFERROR(VLOOKUP($B2,Community_Master!$A$2:$K$100,4,FALSE),"")</f>
        <v/>
      </c>
      <c r="E2" s="15">
        <f>IFERROR(VLOOKUP($B2,Community_Master!$A$2:$K$100,5,FALSE),"")</f>
        <v/>
      </c>
      <c r="F2" s="15">
        <f>IFERROR(VLOOKUP($B2,Community_Master!$A$2:$K$100,6,FALSE),"")</f>
        <v/>
      </c>
      <c r="G2" s="15">
        <f>IFERROR(VLOOKUP($B2,Community_Master!$A$2:$K$100,8,FALSE),"")</f>
        <v/>
      </c>
      <c r="H2" s="15" t="n">
        <v>272</v>
      </c>
      <c r="I2" s="15" t="n">
        <v>2</v>
      </c>
      <c r="J2" s="15" t="n">
        <v>6</v>
      </c>
      <c r="K2" s="15" t="n">
        <v>4</v>
      </c>
      <c r="L2" s="15">
        <f>IF($H2="","",MAX($H2-$I2,0))</f>
        <v/>
      </c>
      <c r="M2" s="6">
        <f>IF($H2="","",IFERROR($I2/$H2,""))</f>
        <v/>
      </c>
      <c r="N2" s="6">
        <f>IF($H2="","",IFERROR($J2/$H2,""))</f>
        <v/>
      </c>
      <c r="O2" s="6" t="n"/>
      <c r="P2" s="7" t="n">
        <v>2856.4</v>
      </c>
      <c r="Q2" s="7" t="n">
        <v>2500</v>
      </c>
      <c r="R2" s="7" t="n"/>
      <c r="S2" s="7" t="n"/>
      <c r="T2" s="7">
        <f>IF($H2="","",IFERROR($H2*$P2,""))</f>
        <v/>
      </c>
      <c r="U2" s="7" t="n"/>
      <c r="V2" s="7" t="n"/>
      <c r="W2" s="7" t="n"/>
      <c r="X2" s="7">
        <f>IF(OR($U2="",$W2=""),"",($U2+$V2)-$W2)</f>
        <v/>
      </c>
      <c r="Y2" s="8" t="n">
        <v>12</v>
      </c>
      <c r="Z2" s="8" t="n">
        <v>12</v>
      </c>
      <c r="AA2" s="8" t="n">
        <v>4</v>
      </c>
      <c r="AB2" s="8" t="n">
        <v>3</v>
      </c>
      <c r="AC2" s="8" t="n">
        <v>3</v>
      </c>
      <c r="AD2" s="8" t="n">
        <v>0</v>
      </c>
      <c r="AE2" s="8" t="n">
        <v>0</v>
      </c>
      <c r="AF2" s="8" t="n"/>
      <c r="AG2" s="8" t="n"/>
      <c r="AH2" s="8" t="n"/>
      <c r="AI2" s="9" t="n"/>
      <c r="AJ2" s="8" t="n"/>
      <c r="AK2" s="8" t="n"/>
      <c r="AL2" s="15" t="inlineStr">
        <is>
          <t>Actual</t>
        </is>
      </c>
      <c r="AM2" s="15" t="inlineStr">
        <is>
          <t>Manual Upload</t>
        </is>
      </c>
      <c r="AN2" s="15" t="inlineStr">
        <is>
          <t>St_Augustine_RISE_CSV_Bundle_2026-05</t>
        </is>
      </c>
      <c r="AO2" s="15" t="inlineStr">
        <is>
          <t>Corrected by Codex: St Augustine mapped to STA; lead source breakout and 1 cancelled application added for dashboard import.</t>
        </is>
      </c>
      <c r="AP2" s="10" t="n">
        <v>46153.4375</v>
      </c>
      <c r="AQ2" s="15">
        <f>IF($B2="","",IF(OR(ISERROR(MATCH($B2,Community_Master!$A$2:$A$100,0)),$A2="",AND($H2&lt;&gt;"",$I2&gt;$H2),AND($H2&lt;&gt;"",$J2&gt;$H2),$I2&lt;0,$J2&lt;0,$K2&lt;0,$P2&lt;0,$Q2&lt;0,$Y2&lt;0,$Z2&lt;0,$AA2&lt;0,$AB2&lt;0,$AC2&lt;0),"ERROR","OK"))</f>
        <v/>
      </c>
      <c r="AR2" s="15">
        <f>IF($B2="","",TRIM(IF(ISERROR(MATCH($B2,Community_Master!$A$2:$A$100,0)),"Invalid Community_ID; ","")&amp;IF($A2="","Missing Report_Month; ","")&amp;IF(AND($H2&lt;&gt;"",$I2&gt;$H2),"Occupied_Units greater than Total_Units; ","")&amp;IF(AND($H2&lt;&gt;"",$J2&gt;$H2),"Leased_Units greater than Total_Units; ","")&amp;IF($I2&lt;0,"Occupied_Units negative; ","")&amp;IF($J2&lt;0,"Leased_Units negative; ","")&amp;IF($P2&lt;0,"Avg_Market_Rent negative; ","")))</f>
        <v/>
      </c>
      <c r="AS2" t="n">
        <v>0</v>
      </c>
      <c r="AT2" t="n">
        <v>7</v>
      </c>
      <c r="AU2" t="n">
        <v>5</v>
      </c>
      <c r="AV2" t="n">
        <v>0</v>
      </c>
      <c r="AW2" t="n">
        <v>0</v>
      </c>
      <c r="AX2" t="n">
        <v>1</v>
      </c>
      <c r="AY2" t="n">
        <v>0.0221</v>
      </c>
    </row>
    <row r="3" ht="15" customHeight="1">
      <c r="A3" s="5" t="n"/>
      <c r="B3" s="15" t="n"/>
      <c r="C3" s="15">
        <f>IFERROR(VLOOKUP($B3,Community_Master!$A$2:$K$100,2,FALSE),"")</f>
        <v/>
      </c>
      <c r="D3" s="15">
        <f>IFERROR(VLOOKUP($B3,Community_Master!$A$2:$K$100,4,FALSE),"")</f>
        <v/>
      </c>
      <c r="E3" s="15">
        <f>IFERROR(VLOOKUP($B3,Community_Master!$A$2:$K$100,5,FALSE),"")</f>
        <v/>
      </c>
      <c r="F3" s="15">
        <f>IFERROR(VLOOKUP($B3,Community_Master!$A$2:$K$100,6,FALSE),"")</f>
        <v/>
      </c>
      <c r="G3" s="15">
        <f>IFERROR(VLOOKUP($B3,Community_Master!$A$2:$K$100,8,FALSE),"")</f>
        <v/>
      </c>
      <c r="H3" s="15" t="n"/>
      <c r="I3" s="15" t="n"/>
      <c r="J3" s="15" t="n"/>
      <c r="K3" s="15" t="n"/>
      <c r="L3" s="15">
        <f>IF($H3="","",MAX($H3-$I3,0))</f>
        <v/>
      </c>
      <c r="M3" s="6">
        <f>IF($H3="","",IFERROR($I3/$H3,""))</f>
        <v/>
      </c>
      <c r="N3" s="6">
        <f>IF($H3="","",IFERROR($J3/$H3,""))</f>
        <v/>
      </c>
      <c r="O3" s="6" t="n"/>
      <c r="P3" s="7" t="n"/>
      <c r="Q3" s="7" t="n"/>
      <c r="R3" s="7" t="n"/>
      <c r="S3" s="7" t="n"/>
      <c r="T3" s="7">
        <f>IF($H3="","",IFERROR($H3*$P3,""))</f>
        <v/>
      </c>
      <c r="U3" s="7" t="n"/>
      <c r="V3" s="7" t="n"/>
      <c r="W3" s="7" t="n"/>
      <c r="X3" s="7">
        <f>IF(OR($U3="",$W3=""),"",($U3+$V3)-$W3)</f>
        <v/>
      </c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9" t="n"/>
      <c r="AJ3" s="8" t="n"/>
      <c r="AK3" s="8" t="n"/>
      <c r="AL3" s="15" t="n"/>
      <c r="AM3" s="15" t="n"/>
      <c r="AN3" s="15" t="n"/>
      <c r="AO3" s="15" t="n"/>
      <c r="AP3" s="10" t="n"/>
      <c r="AQ3" s="15">
        <f>IF($B3="","",IF(OR(ISERROR(MATCH($B3,Community_Master!$A$2:$A$100,0)),$A3="",AND($H3&lt;&gt;"",$I3&gt;$H3),AND($H3&lt;&gt;"",$J3&gt;$H3),$I3&lt;0,$J3&lt;0,$K3&lt;0,$P3&lt;0,$Q3&lt;0,$Y3&lt;0,$Z3&lt;0,$AA3&lt;0,$AB3&lt;0,$AC3&lt;0),"ERROR","OK"))</f>
        <v/>
      </c>
      <c r="AR3" s="15">
        <f>IF($B3="","",TRIM(IF(ISERROR(MATCH($B3,Community_Master!$A$2:$A$100,0)),"Invalid Community_ID; ","")&amp;IF($A3="","Missing Report_Month; ","")&amp;IF(AND($H3&lt;&gt;"",$I3&gt;$H3),"Occupied_Units greater than Total_Units; ","")&amp;IF(AND($H3&lt;&gt;"",$J3&gt;$H3),"Leased_Units greater than Total_Units; ","")&amp;IF($I3&lt;0,"Occupied_Units negative; ","")&amp;IF($J3&lt;0,"Leased_Units negative; ","")&amp;IF($P3&lt;0,"Avg_Market_Rent negative; ","")))</f>
        <v/>
      </c>
    </row>
    <row r="4" ht="15" customHeight="1">
      <c r="A4" s="5" t="n"/>
      <c r="B4" s="15" t="n"/>
      <c r="C4" s="15">
        <f>IFERROR(VLOOKUP($B4,Community_Master!$A$2:$K$100,2,FALSE),"")</f>
        <v/>
      </c>
      <c r="D4" s="15">
        <f>IFERROR(VLOOKUP($B4,Community_Master!$A$2:$K$100,4,FALSE),"")</f>
        <v/>
      </c>
      <c r="E4" s="15">
        <f>IFERROR(VLOOKUP($B4,Community_Master!$A$2:$K$100,5,FALSE),"")</f>
        <v/>
      </c>
      <c r="F4" s="15">
        <f>IFERROR(VLOOKUP($B4,Community_Master!$A$2:$K$100,6,FALSE),"")</f>
        <v/>
      </c>
      <c r="G4" s="15">
        <f>IFERROR(VLOOKUP($B4,Community_Master!$A$2:$K$100,8,FALSE),"")</f>
        <v/>
      </c>
      <c r="H4" s="15" t="n"/>
      <c r="I4" s="15" t="n"/>
      <c r="J4" s="15" t="n"/>
      <c r="K4" s="15" t="n"/>
      <c r="L4" s="15">
        <f>IF($H4="","",MAX($H4-$I4,0))</f>
        <v/>
      </c>
      <c r="M4" s="6">
        <f>IF($H4="","",IFERROR($I4/$H4,""))</f>
        <v/>
      </c>
      <c r="N4" s="6">
        <f>IF($H4="","",IFERROR($J4/$H4,""))</f>
        <v/>
      </c>
      <c r="O4" s="6" t="n"/>
      <c r="P4" s="7" t="n"/>
      <c r="Q4" s="7" t="n"/>
      <c r="R4" s="7" t="n"/>
      <c r="S4" s="7" t="n"/>
      <c r="T4" s="7">
        <f>IF($H4="","",IFERROR($H4*$P4,""))</f>
        <v/>
      </c>
      <c r="U4" s="7" t="n"/>
      <c r="V4" s="7" t="n"/>
      <c r="W4" s="7" t="n"/>
      <c r="X4" s="7">
        <f>IF(OR($U4="",$W4=""),"",($U4+$V4)-$W4)</f>
        <v/>
      </c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9" t="n"/>
      <c r="AJ4" s="8" t="n"/>
      <c r="AK4" s="8" t="n"/>
      <c r="AL4" s="15" t="n"/>
      <c r="AM4" s="15" t="n"/>
      <c r="AN4" s="15" t="n"/>
      <c r="AO4" s="15" t="n"/>
      <c r="AP4" s="10" t="n"/>
      <c r="AQ4" s="15">
        <f>IF($B4="","",IF(OR(ISERROR(MATCH($B4,Community_Master!$A$2:$A$100,0)),$A4="",AND($H4&lt;&gt;"",$I4&gt;$H4),AND($H4&lt;&gt;"",$J4&gt;$H4),$I4&lt;0,$J4&lt;0,$K4&lt;0,$P4&lt;0,$Q4&lt;0,$Y4&lt;0,$Z4&lt;0,$AA4&lt;0,$AB4&lt;0,$AC4&lt;0),"ERROR","OK"))</f>
        <v/>
      </c>
      <c r="AR4" s="15">
        <f>IF($B4="","",TRIM(IF(ISERROR(MATCH($B4,Community_Master!$A$2:$A$100,0)),"Invalid Community_ID; ","")&amp;IF($A4="","Missing Report_Month; ","")&amp;IF(AND($H4&lt;&gt;"",$I4&gt;$H4),"Occupied_Units greater than Total_Units; ","")&amp;IF(AND($H4&lt;&gt;"",$J4&gt;$H4),"Leased_Units greater than Total_Units; ","")&amp;IF($I4&lt;0,"Occupied_Units negative; ","")&amp;IF($J4&lt;0,"Leased_Units negative; ","")&amp;IF($P4&lt;0,"Avg_Market_Rent negative; ","")))</f>
        <v/>
      </c>
    </row>
    <row r="5" ht="15" customHeight="1">
      <c r="A5" s="5" t="n"/>
      <c r="B5" s="15" t="n"/>
      <c r="C5" s="15">
        <f>IFERROR(VLOOKUP($B5,Community_Master!$A$2:$K$100,2,FALSE),"")</f>
        <v/>
      </c>
      <c r="D5" s="15">
        <f>IFERROR(VLOOKUP($B5,Community_Master!$A$2:$K$100,4,FALSE),"")</f>
        <v/>
      </c>
      <c r="E5" s="15">
        <f>IFERROR(VLOOKUP($B5,Community_Master!$A$2:$K$100,5,FALSE),"")</f>
        <v/>
      </c>
      <c r="F5" s="15">
        <f>IFERROR(VLOOKUP($B5,Community_Master!$A$2:$K$100,6,FALSE),"")</f>
        <v/>
      </c>
      <c r="G5" s="15">
        <f>IFERROR(VLOOKUP($B5,Community_Master!$A$2:$K$100,8,FALSE),"")</f>
        <v/>
      </c>
      <c r="H5" s="15" t="n"/>
      <c r="I5" s="15" t="n"/>
      <c r="J5" s="15" t="n"/>
      <c r="K5" s="15" t="n"/>
      <c r="L5" s="15">
        <f>IF($H5="","",MAX($H5-$I5,0))</f>
        <v/>
      </c>
      <c r="M5" s="6">
        <f>IF($H5="","",IFERROR($I5/$H5,""))</f>
        <v/>
      </c>
      <c r="N5" s="6">
        <f>IF($H5="","",IFERROR($J5/$H5,""))</f>
        <v/>
      </c>
      <c r="O5" s="6" t="n"/>
      <c r="P5" s="7" t="n"/>
      <c r="Q5" s="7" t="n"/>
      <c r="R5" s="7" t="n"/>
      <c r="S5" s="7" t="n"/>
      <c r="T5" s="7">
        <f>IF($H5="","",IFERROR($H5*$P5,""))</f>
        <v/>
      </c>
      <c r="U5" s="7" t="n"/>
      <c r="V5" s="7" t="n"/>
      <c r="W5" s="7" t="n"/>
      <c r="X5" s="7">
        <f>IF(OR($U5="",$W5=""),"",($U5+$V5)-$W5)</f>
        <v/>
      </c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9" t="n"/>
      <c r="AJ5" s="8" t="n"/>
      <c r="AK5" s="8" t="n"/>
      <c r="AL5" s="15" t="n"/>
      <c r="AM5" s="15" t="n"/>
      <c r="AN5" s="15" t="n"/>
      <c r="AO5" s="15" t="n"/>
      <c r="AP5" s="10" t="n"/>
      <c r="AQ5" s="15">
        <f>IF($B5="","",IF(OR(ISERROR(MATCH($B5,Community_Master!$A$2:$A$100,0)),$A5="",AND($H5&lt;&gt;"",$I5&gt;$H5),AND($H5&lt;&gt;"",$J5&gt;$H5),$I5&lt;0,$J5&lt;0,$K5&lt;0,$P5&lt;0,$Q5&lt;0,$Y5&lt;0,$Z5&lt;0,$AA5&lt;0,$AB5&lt;0,$AC5&lt;0),"ERROR","OK"))</f>
        <v/>
      </c>
      <c r="AR5" s="15">
        <f>IF($B5="","",TRIM(IF(ISERROR(MATCH($B5,Community_Master!$A$2:$A$100,0)),"Invalid Community_ID; ","")&amp;IF($A5="","Missing Report_Month; ","")&amp;IF(AND($H5&lt;&gt;"",$I5&gt;$H5),"Occupied_Units greater than Total_Units; ","")&amp;IF(AND($H5&lt;&gt;"",$J5&gt;$H5),"Leased_Units greater than Total_Units; ","")&amp;IF($I5&lt;0,"Occupied_Units negative; ","")&amp;IF($J5&lt;0,"Leased_Units negative; ","")&amp;IF($P5&lt;0,"Avg_Market_Rent negative; ","")))</f>
        <v/>
      </c>
    </row>
    <row r="6" ht="15" customHeight="1">
      <c r="A6" s="5" t="n"/>
      <c r="B6" s="15" t="n"/>
      <c r="C6" s="15">
        <f>IFERROR(VLOOKUP($B6,Community_Master!$A$2:$K$100,2,FALSE),"")</f>
        <v/>
      </c>
      <c r="D6" s="15">
        <f>IFERROR(VLOOKUP($B6,Community_Master!$A$2:$K$100,4,FALSE),"")</f>
        <v/>
      </c>
      <c r="E6" s="15">
        <f>IFERROR(VLOOKUP($B6,Community_Master!$A$2:$K$100,5,FALSE),"")</f>
        <v/>
      </c>
      <c r="F6" s="15">
        <f>IFERROR(VLOOKUP($B6,Community_Master!$A$2:$K$100,6,FALSE),"")</f>
        <v/>
      </c>
      <c r="G6" s="15">
        <f>IFERROR(VLOOKUP($B6,Community_Master!$A$2:$K$100,8,FALSE),"")</f>
        <v/>
      </c>
      <c r="H6" s="15" t="n"/>
      <c r="I6" s="15" t="n"/>
      <c r="J6" s="15" t="n"/>
      <c r="K6" s="15" t="n"/>
      <c r="L6" s="15">
        <f>IF($H6="","",MAX($H6-$I6,0))</f>
        <v/>
      </c>
      <c r="M6" s="6">
        <f>IF($H6="","",IFERROR($I6/$H6,""))</f>
        <v/>
      </c>
      <c r="N6" s="6">
        <f>IF($H6="","",IFERROR($J6/$H6,""))</f>
        <v/>
      </c>
      <c r="O6" s="6" t="n"/>
      <c r="P6" s="7" t="n"/>
      <c r="Q6" s="7" t="n"/>
      <c r="R6" s="7" t="n"/>
      <c r="S6" s="7" t="n"/>
      <c r="T6" s="7">
        <f>IF($H6="","",IFERROR($H6*$P6,""))</f>
        <v/>
      </c>
      <c r="U6" s="7" t="n"/>
      <c r="V6" s="7" t="n"/>
      <c r="W6" s="7" t="n"/>
      <c r="X6" s="7">
        <f>IF(OR($U6="",$W6=""),"",($U6+$V6)-$W6)</f>
        <v/>
      </c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9" t="n"/>
      <c r="AJ6" s="8" t="n"/>
      <c r="AK6" s="8" t="n"/>
      <c r="AL6" s="15" t="n"/>
      <c r="AM6" s="15" t="n"/>
      <c r="AN6" s="15" t="n"/>
      <c r="AO6" s="15" t="n"/>
      <c r="AP6" s="10" t="n"/>
      <c r="AQ6" s="15">
        <f>IF($B6="","",IF(OR(ISERROR(MATCH($B6,Community_Master!$A$2:$A$100,0)),$A6="",AND($H6&lt;&gt;"",$I6&gt;$H6),AND($H6&lt;&gt;"",$J6&gt;$H6),$I6&lt;0,$J6&lt;0,$K6&lt;0,$P6&lt;0,$Q6&lt;0,$Y6&lt;0,$Z6&lt;0,$AA6&lt;0,$AB6&lt;0,$AC6&lt;0),"ERROR","OK"))</f>
        <v/>
      </c>
      <c r="AR6" s="15">
        <f>IF($B6="","",TRIM(IF(ISERROR(MATCH($B6,Community_Master!$A$2:$A$100,0)),"Invalid Community_ID; ","")&amp;IF($A6="","Missing Report_Month; ","")&amp;IF(AND($H6&lt;&gt;"",$I6&gt;$H6),"Occupied_Units greater than Total_Units; ","")&amp;IF(AND($H6&lt;&gt;"",$J6&gt;$H6),"Leased_Units greater than Total_Units; ","")&amp;IF($I6&lt;0,"Occupied_Units negative; ","")&amp;IF($J6&lt;0,"Leased_Units negative; ","")&amp;IF($P6&lt;0,"Avg_Market_Rent negative; ","")))</f>
        <v/>
      </c>
    </row>
    <row r="7" ht="15" customHeight="1">
      <c r="A7" s="5" t="n"/>
      <c r="B7" s="15" t="n"/>
      <c r="C7" s="15">
        <f>IFERROR(VLOOKUP($B7,Community_Master!$A$2:$K$100,2,FALSE),"")</f>
        <v/>
      </c>
      <c r="D7" s="15">
        <f>IFERROR(VLOOKUP($B7,Community_Master!$A$2:$K$100,4,FALSE),"")</f>
        <v/>
      </c>
      <c r="E7" s="15">
        <f>IFERROR(VLOOKUP($B7,Community_Master!$A$2:$K$100,5,FALSE),"")</f>
        <v/>
      </c>
      <c r="F7" s="15">
        <f>IFERROR(VLOOKUP($B7,Community_Master!$A$2:$K$100,6,FALSE),"")</f>
        <v/>
      </c>
      <c r="G7" s="15">
        <f>IFERROR(VLOOKUP($B7,Community_Master!$A$2:$K$100,8,FALSE),"")</f>
        <v/>
      </c>
      <c r="H7" s="15" t="n"/>
      <c r="I7" s="15" t="n"/>
      <c r="J7" s="15" t="n"/>
      <c r="K7" s="15" t="n"/>
      <c r="L7" s="15">
        <f>IF($H7="","",MAX($H7-$I7,0))</f>
        <v/>
      </c>
      <c r="M7" s="6">
        <f>IF($H7="","",IFERROR($I7/$H7,""))</f>
        <v/>
      </c>
      <c r="N7" s="6">
        <f>IF($H7="","",IFERROR($J7/$H7,""))</f>
        <v/>
      </c>
      <c r="O7" s="6" t="n"/>
      <c r="P7" s="7" t="n"/>
      <c r="Q7" s="7" t="n"/>
      <c r="R7" s="7" t="n"/>
      <c r="S7" s="7" t="n"/>
      <c r="T7" s="7">
        <f>IF($H7="","",IFERROR($H7*$P7,""))</f>
        <v/>
      </c>
      <c r="U7" s="7" t="n"/>
      <c r="V7" s="7" t="n"/>
      <c r="W7" s="7" t="n"/>
      <c r="X7" s="7">
        <f>IF(OR($U7="",$W7=""),"",($U7+$V7)-$W7)</f>
        <v/>
      </c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9" t="n"/>
      <c r="AJ7" s="8" t="n"/>
      <c r="AK7" s="8" t="n"/>
      <c r="AL7" s="15" t="n"/>
      <c r="AM7" s="15" t="n"/>
      <c r="AN7" s="15" t="n"/>
      <c r="AO7" s="15" t="n"/>
      <c r="AP7" s="10" t="n"/>
      <c r="AQ7" s="15">
        <f>IF($B7="","",IF(OR(ISERROR(MATCH($B7,Community_Master!$A$2:$A$100,0)),$A7="",AND($H7&lt;&gt;"",$I7&gt;$H7),AND($H7&lt;&gt;"",$J7&gt;$H7),$I7&lt;0,$J7&lt;0,$K7&lt;0,$P7&lt;0,$Q7&lt;0,$Y7&lt;0,$Z7&lt;0,$AA7&lt;0,$AB7&lt;0,$AC7&lt;0),"ERROR","OK"))</f>
        <v/>
      </c>
      <c r="AR7" s="15">
        <f>IF($B7="","",TRIM(IF(ISERROR(MATCH($B7,Community_Master!$A$2:$A$100,0)),"Invalid Community_ID; ","")&amp;IF($A7="","Missing Report_Month; ","")&amp;IF(AND($H7&lt;&gt;"",$I7&gt;$H7),"Occupied_Units greater than Total_Units; ","")&amp;IF(AND($H7&lt;&gt;"",$J7&gt;$H7),"Leased_Units greater than Total_Units; ","")&amp;IF($I7&lt;0,"Occupied_Units negative; ","")&amp;IF($J7&lt;0,"Leased_Units negative; ","")&amp;IF($P7&lt;0,"Avg_Market_Rent negative; ","")))</f>
        <v/>
      </c>
    </row>
    <row r="8" ht="15" customHeight="1">
      <c r="A8" s="5" t="n"/>
      <c r="B8" s="15" t="n"/>
      <c r="C8" s="15">
        <f>IFERROR(VLOOKUP($B8,Community_Master!$A$2:$K$100,2,FALSE),"")</f>
        <v/>
      </c>
      <c r="D8" s="15">
        <f>IFERROR(VLOOKUP($B8,Community_Master!$A$2:$K$100,4,FALSE),"")</f>
        <v/>
      </c>
      <c r="E8" s="15">
        <f>IFERROR(VLOOKUP($B8,Community_Master!$A$2:$K$100,5,FALSE),"")</f>
        <v/>
      </c>
      <c r="F8" s="15">
        <f>IFERROR(VLOOKUP($B8,Community_Master!$A$2:$K$100,6,FALSE),"")</f>
        <v/>
      </c>
      <c r="G8" s="15">
        <f>IFERROR(VLOOKUP($B8,Community_Master!$A$2:$K$100,8,FALSE),"")</f>
        <v/>
      </c>
      <c r="H8" s="15" t="n"/>
      <c r="I8" s="15" t="n"/>
      <c r="J8" s="15" t="n"/>
      <c r="K8" s="15" t="n"/>
      <c r="L8" s="15">
        <f>IF($H8="","",MAX($H8-$I8,0))</f>
        <v/>
      </c>
      <c r="M8" s="6">
        <f>IF($H8="","",IFERROR($I8/$H8,""))</f>
        <v/>
      </c>
      <c r="N8" s="6">
        <f>IF($H8="","",IFERROR($J8/$H8,""))</f>
        <v/>
      </c>
      <c r="O8" s="6" t="n"/>
      <c r="P8" s="7" t="n"/>
      <c r="Q8" s="7" t="n"/>
      <c r="R8" s="7" t="n"/>
      <c r="S8" s="7" t="n"/>
      <c r="T8" s="7">
        <f>IF($H8="","",IFERROR($H8*$P8,""))</f>
        <v/>
      </c>
      <c r="U8" s="7" t="n"/>
      <c r="V8" s="7" t="n"/>
      <c r="W8" s="7" t="n"/>
      <c r="X8" s="7">
        <f>IF(OR($U8="",$W8=""),"",($U8+$V8)-$W8)</f>
        <v/>
      </c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9" t="n"/>
      <c r="AJ8" s="8" t="n"/>
      <c r="AK8" s="8" t="n"/>
      <c r="AL8" s="15" t="n"/>
      <c r="AM8" s="15" t="n"/>
      <c r="AN8" s="15" t="n"/>
      <c r="AO8" s="15" t="n"/>
      <c r="AP8" s="10" t="n"/>
      <c r="AQ8" s="15">
        <f>IF($B8="","",IF(OR(ISERROR(MATCH($B8,Community_Master!$A$2:$A$100,0)),$A8="",AND($H8&lt;&gt;"",$I8&gt;$H8),AND($H8&lt;&gt;"",$J8&gt;$H8),$I8&lt;0,$J8&lt;0,$K8&lt;0,$P8&lt;0,$Q8&lt;0,$Y8&lt;0,$Z8&lt;0,$AA8&lt;0,$AB8&lt;0,$AC8&lt;0),"ERROR","OK"))</f>
        <v/>
      </c>
      <c r="AR8" s="15">
        <f>IF($B8="","",TRIM(IF(ISERROR(MATCH($B8,Community_Master!$A$2:$A$100,0)),"Invalid Community_ID; ","")&amp;IF($A8="","Missing Report_Month; ","")&amp;IF(AND($H8&lt;&gt;"",$I8&gt;$H8),"Occupied_Units greater than Total_Units; ","")&amp;IF(AND($H8&lt;&gt;"",$J8&gt;$H8),"Leased_Units greater than Total_Units; ","")&amp;IF($I8&lt;0,"Occupied_Units negative; ","")&amp;IF($J8&lt;0,"Leased_Units negative; ","")&amp;IF($P8&lt;0,"Avg_Market_Rent negative; ","")))</f>
        <v/>
      </c>
    </row>
    <row r="9" ht="15" customHeight="1">
      <c r="A9" s="5" t="n"/>
      <c r="B9" s="15" t="n"/>
      <c r="C9" s="15">
        <f>IFERROR(VLOOKUP($B9,Community_Master!$A$2:$K$100,2,FALSE),"")</f>
        <v/>
      </c>
      <c r="D9" s="15">
        <f>IFERROR(VLOOKUP($B9,Community_Master!$A$2:$K$100,4,FALSE),"")</f>
        <v/>
      </c>
      <c r="E9" s="15">
        <f>IFERROR(VLOOKUP($B9,Community_Master!$A$2:$K$100,5,FALSE),"")</f>
        <v/>
      </c>
      <c r="F9" s="15">
        <f>IFERROR(VLOOKUP($B9,Community_Master!$A$2:$K$100,6,FALSE),"")</f>
        <v/>
      </c>
      <c r="G9" s="15">
        <f>IFERROR(VLOOKUP($B9,Community_Master!$A$2:$K$100,8,FALSE),"")</f>
        <v/>
      </c>
      <c r="H9" s="15" t="n"/>
      <c r="I9" s="15" t="n"/>
      <c r="J9" s="15" t="n"/>
      <c r="K9" s="15" t="n"/>
      <c r="L9" s="15">
        <f>IF($H9="","",MAX($H9-$I9,0))</f>
        <v/>
      </c>
      <c r="M9" s="6">
        <f>IF($H9="","",IFERROR($I9/$H9,""))</f>
        <v/>
      </c>
      <c r="N9" s="6">
        <f>IF($H9="","",IFERROR($J9/$H9,""))</f>
        <v/>
      </c>
      <c r="O9" s="6" t="n"/>
      <c r="P9" s="7" t="n"/>
      <c r="Q9" s="7" t="n"/>
      <c r="R9" s="7" t="n"/>
      <c r="S9" s="7" t="n"/>
      <c r="T9" s="7">
        <f>IF($H9="","",IFERROR($H9*$P9,""))</f>
        <v/>
      </c>
      <c r="U9" s="7" t="n"/>
      <c r="V9" s="7" t="n"/>
      <c r="W9" s="7" t="n"/>
      <c r="X9" s="7">
        <f>IF(OR($U9="",$W9=""),"",($U9+$V9)-$W9)</f>
        <v/>
      </c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9" t="n"/>
      <c r="AJ9" s="8" t="n"/>
      <c r="AK9" s="8" t="n"/>
      <c r="AL9" s="15" t="n"/>
      <c r="AM9" s="15" t="n"/>
      <c r="AN9" s="15" t="n"/>
      <c r="AO9" s="15" t="n"/>
      <c r="AP9" s="10" t="n"/>
      <c r="AQ9" s="15">
        <f>IF($B9="","",IF(OR(ISERROR(MATCH($B9,Community_Master!$A$2:$A$100,0)),$A9="",AND($H9&lt;&gt;"",$I9&gt;$H9),AND($H9&lt;&gt;"",$J9&gt;$H9),$I9&lt;0,$J9&lt;0,$K9&lt;0,$P9&lt;0,$Q9&lt;0,$Y9&lt;0,$Z9&lt;0,$AA9&lt;0,$AB9&lt;0,$AC9&lt;0),"ERROR","OK"))</f>
        <v/>
      </c>
      <c r="AR9" s="15">
        <f>IF($B9="","",TRIM(IF(ISERROR(MATCH($B9,Community_Master!$A$2:$A$100,0)),"Invalid Community_ID; ","")&amp;IF($A9="","Missing Report_Month; ","")&amp;IF(AND($H9&lt;&gt;"",$I9&gt;$H9),"Occupied_Units greater than Total_Units; ","")&amp;IF(AND($H9&lt;&gt;"",$J9&gt;$H9),"Leased_Units greater than Total_Units; ","")&amp;IF($I9&lt;0,"Occupied_Units negative; ","")&amp;IF($J9&lt;0,"Leased_Units negative; ","")&amp;IF($P9&lt;0,"Avg_Market_Rent negative; ","")))</f>
        <v/>
      </c>
    </row>
    <row r="10" ht="15" customHeight="1">
      <c r="A10" s="5" t="n"/>
      <c r="B10" s="15" t="n"/>
      <c r="C10" s="15">
        <f>IFERROR(VLOOKUP($B10,Community_Master!$A$2:$K$100,2,FALSE),"")</f>
        <v/>
      </c>
      <c r="D10" s="15">
        <f>IFERROR(VLOOKUP($B10,Community_Master!$A$2:$K$100,4,FALSE),"")</f>
        <v/>
      </c>
      <c r="E10" s="15">
        <f>IFERROR(VLOOKUP($B10,Community_Master!$A$2:$K$100,5,FALSE),"")</f>
        <v/>
      </c>
      <c r="F10" s="15">
        <f>IFERROR(VLOOKUP($B10,Community_Master!$A$2:$K$100,6,FALSE),"")</f>
        <v/>
      </c>
      <c r="G10" s="15">
        <f>IFERROR(VLOOKUP($B10,Community_Master!$A$2:$K$100,8,FALSE),"")</f>
        <v/>
      </c>
      <c r="H10" s="15" t="n"/>
      <c r="I10" s="15" t="n"/>
      <c r="J10" s="15" t="n"/>
      <c r="K10" s="15" t="n"/>
      <c r="L10" s="15">
        <f>IF($H10="","",MAX($H10-$I10,0))</f>
        <v/>
      </c>
      <c r="M10" s="6">
        <f>IF($H10="","",IFERROR($I10/$H10,""))</f>
        <v/>
      </c>
      <c r="N10" s="6">
        <f>IF($H10="","",IFERROR($J10/$H10,""))</f>
        <v/>
      </c>
      <c r="O10" s="6" t="n"/>
      <c r="P10" s="7" t="n"/>
      <c r="Q10" s="7" t="n"/>
      <c r="R10" s="7" t="n"/>
      <c r="S10" s="7" t="n"/>
      <c r="T10" s="7">
        <f>IF($H10="","",IFERROR($H10*$P10,""))</f>
        <v/>
      </c>
      <c r="U10" s="7" t="n"/>
      <c r="V10" s="7" t="n"/>
      <c r="W10" s="7" t="n"/>
      <c r="X10" s="7">
        <f>IF(OR($U10="",$W10=""),"",($U10+$V10)-$W10)</f>
        <v/>
      </c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9" t="n"/>
      <c r="AJ10" s="8" t="n"/>
      <c r="AK10" s="8" t="n"/>
      <c r="AL10" s="15" t="n"/>
      <c r="AM10" s="15" t="n"/>
      <c r="AN10" s="15" t="n"/>
      <c r="AO10" s="15" t="n"/>
      <c r="AP10" s="10" t="n"/>
      <c r="AQ10" s="15">
        <f>IF($B10="","",IF(OR(ISERROR(MATCH($B10,Community_Master!$A$2:$A$100,0)),$A10="",AND($H10&lt;&gt;"",$I10&gt;$H10),AND($H10&lt;&gt;"",$J10&gt;$H10),$I10&lt;0,$J10&lt;0,$K10&lt;0,$P10&lt;0,$Q10&lt;0,$Y10&lt;0,$Z10&lt;0,$AA10&lt;0,$AB10&lt;0,$AC10&lt;0),"ERROR","OK"))</f>
        <v/>
      </c>
      <c r="AR10" s="15">
        <f>IF($B10="","",TRIM(IF(ISERROR(MATCH($B10,Community_Master!$A$2:$A$100,0)),"Invalid Community_ID; ","")&amp;IF($A10="","Missing Report_Month; ","")&amp;IF(AND($H10&lt;&gt;"",$I10&gt;$H10),"Occupied_Units greater than Total_Units; ","")&amp;IF(AND($H10&lt;&gt;"",$J10&gt;$H10),"Leased_Units greater than Total_Units; ","")&amp;IF($I10&lt;0,"Occupied_Units negative; ","")&amp;IF($J10&lt;0,"Leased_Units negative; ","")&amp;IF($P10&lt;0,"Avg_Market_Rent negative; ","")))</f>
        <v/>
      </c>
    </row>
    <row r="11" ht="15" customHeight="1">
      <c r="A11" s="5" t="n"/>
      <c r="B11" s="15" t="n"/>
      <c r="C11" s="15">
        <f>IFERROR(VLOOKUP($B11,Community_Master!$A$2:$K$100,2,FALSE),"")</f>
        <v/>
      </c>
      <c r="D11" s="15">
        <f>IFERROR(VLOOKUP($B11,Community_Master!$A$2:$K$100,4,FALSE),"")</f>
        <v/>
      </c>
      <c r="E11" s="15">
        <f>IFERROR(VLOOKUP($B11,Community_Master!$A$2:$K$100,5,FALSE),"")</f>
        <v/>
      </c>
      <c r="F11" s="15">
        <f>IFERROR(VLOOKUP($B11,Community_Master!$A$2:$K$100,6,FALSE),"")</f>
        <v/>
      </c>
      <c r="G11" s="15">
        <f>IFERROR(VLOOKUP($B11,Community_Master!$A$2:$K$100,8,FALSE),"")</f>
        <v/>
      </c>
      <c r="H11" s="15" t="n"/>
      <c r="I11" s="15" t="n"/>
      <c r="J11" s="15" t="n"/>
      <c r="K11" s="15" t="n"/>
      <c r="L11" s="15">
        <f>IF($H11="","",MAX($H11-$I11,0))</f>
        <v/>
      </c>
      <c r="M11" s="6">
        <f>IF($H11="","",IFERROR($I11/$H11,""))</f>
        <v/>
      </c>
      <c r="N11" s="6">
        <f>IF($H11="","",IFERROR($J11/$H11,""))</f>
        <v/>
      </c>
      <c r="O11" s="6" t="n"/>
      <c r="P11" s="7" t="n"/>
      <c r="Q11" s="7" t="n"/>
      <c r="R11" s="7" t="n"/>
      <c r="S11" s="7" t="n"/>
      <c r="T11" s="7">
        <f>IF($H11="","",IFERROR($H11*$P11,""))</f>
        <v/>
      </c>
      <c r="U11" s="7" t="n"/>
      <c r="V11" s="7" t="n"/>
      <c r="W11" s="7" t="n"/>
      <c r="X11" s="7">
        <f>IF(OR($U11="",$W11=""),"",($U11+$V11)-$W11)</f>
        <v/>
      </c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9" t="n"/>
      <c r="AJ11" s="8" t="n"/>
      <c r="AK11" s="8" t="n"/>
      <c r="AL11" s="15" t="n"/>
      <c r="AM11" s="15" t="n"/>
      <c r="AN11" s="15" t="n"/>
      <c r="AO11" s="15" t="n"/>
      <c r="AP11" s="10" t="n"/>
      <c r="AQ11" s="15">
        <f>IF($B11="","",IF(OR(ISERROR(MATCH($B11,Community_Master!$A$2:$A$100,0)),$A11="",AND($H11&lt;&gt;"",$I11&gt;$H11),AND($H11&lt;&gt;"",$J11&gt;$H11),$I11&lt;0,$J11&lt;0,$K11&lt;0,$P11&lt;0,$Q11&lt;0,$Y11&lt;0,$Z11&lt;0,$AA11&lt;0,$AB11&lt;0,$AC11&lt;0),"ERROR","OK"))</f>
        <v/>
      </c>
      <c r="AR11" s="15">
        <f>IF($B11="","",TRIM(IF(ISERROR(MATCH($B11,Community_Master!$A$2:$A$100,0)),"Invalid Community_ID; ","")&amp;IF($A11="","Missing Report_Month; ","")&amp;IF(AND($H11&lt;&gt;"",$I11&gt;$H11),"Occupied_Units greater than Total_Units; ","")&amp;IF(AND($H11&lt;&gt;"",$J11&gt;$H11),"Leased_Units greater than Total_Units; ","")&amp;IF($I11&lt;0,"Occupied_Units negative; ","")&amp;IF($J11&lt;0,"Leased_Units negative; ","")&amp;IF($P11&lt;0,"Avg_Market_Rent negative; ","")))</f>
        <v/>
      </c>
    </row>
    <row r="12" ht="15" customHeight="1">
      <c r="A12" s="5" t="n"/>
      <c r="B12" s="15" t="n"/>
      <c r="C12" s="15">
        <f>IFERROR(VLOOKUP($B12,Community_Master!$A$2:$K$100,2,FALSE),"")</f>
        <v/>
      </c>
      <c r="D12" s="15">
        <f>IFERROR(VLOOKUP($B12,Community_Master!$A$2:$K$100,4,FALSE),"")</f>
        <v/>
      </c>
      <c r="E12" s="15">
        <f>IFERROR(VLOOKUP($B12,Community_Master!$A$2:$K$100,5,FALSE),"")</f>
        <v/>
      </c>
      <c r="F12" s="15">
        <f>IFERROR(VLOOKUP($B12,Community_Master!$A$2:$K$100,6,FALSE),"")</f>
        <v/>
      </c>
      <c r="G12" s="15">
        <f>IFERROR(VLOOKUP($B12,Community_Master!$A$2:$K$100,8,FALSE),"")</f>
        <v/>
      </c>
      <c r="H12" s="15" t="n"/>
      <c r="I12" s="15" t="n"/>
      <c r="J12" s="15" t="n"/>
      <c r="K12" s="15" t="n"/>
      <c r="L12" s="15">
        <f>IF($H12="","",MAX($H12-$I12,0))</f>
        <v/>
      </c>
      <c r="M12" s="6">
        <f>IF($H12="","",IFERROR($I12/$H12,""))</f>
        <v/>
      </c>
      <c r="N12" s="6">
        <f>IF($H12="","",IFERROR($J12/$H12,""))</f>
        <v/>
      </c>
      <c r="O12" s="6" t="n"/>
      <c r="P12" s="7" t="n"/>
      <c r="Q12" s="7" t="n"/>
      <c r="R12" s="7" t="n"/>
      <c r="S12" s="7" t="n"/>
      <c r="T12" s="7">
        <f>IF($H12="","",IFERROR($H12*$P12,""))</f>
        <v/>
      </c>
      <c r="U12" s="7" t="n"/>
      <c r="V12" s="7" t="n"/>
      <c r="W12" s="7" t="n"/>
      <c r="X12" s="7">
        <f>IF(OR($U12="",$W12=""),"",($U12+$V12)-$W12)</f>
        <v/>
      </c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  <c r="AJ12" s="8" t="n"/>
      <c r="AK12" s="8" t="n"/>
      <c r="AL12" s="15" t="n"/>
      <c r="AM12" s="15" t="n"/>
      <c r="AN12" s="15" t="n"/>
      <c r="AO12" s="15" t="n"/>
      <c r="AP12" s="10" t="n"/>
      <c r="AQ12" s="15">
        <f>IF($B12="","",IF(OR(ISERROR(MATCH($B12,Community_Master!$A$2:$A$100,0)),$A12="",AND($H12&lt;&gt;"",$I12&gt;$H12),AND($H12&lt;&gt;"",$J12&gt;$H12),$I12&lt;0,$J12&lt;0,$K12&lt;0,$P12&lt;0,$Q12&lt;0,$Y12&lt;0,$Z12&lt;0,$AA12&lt;0,$AB12&lt;0,$AC12&lt;0),"ERROR","OK"))</f>
        <v/>
      </c>
      <c r="AR12" s="15">
        <f>IF($B12="","",TRIM(IF(ISERROR(MATCH($B12,Community_Master!$A$2:$A$100,0)),"Invalid Community_ID; ","")&amp;IF($A12="","Missing Report_Month; ","")&amp;IF(AND($H12&lt;&gt;"",$I12&gt;$H12),"Occupied_Units greater than Total_Units; ","")&amp;IF(AND($H12&lt;&gt;"",$J12&gt;$H12),"Leased_Units greater than Total_Units; ","")&amp;IF($I12&lt;0,"Occupied_Units negative; ","")&amp;IF($J12&lt;0,"Leased_Units negative; ","")&amp;IF($P12&lt;0,"Avg_Market_Rent negative; ","")))</f>
        <v/>
      </c>
    </row>
    <row r="13" ht="15" customHeight="1">
      <c r="A13" s="5" t="n"/>
      <c r="B13" s="15" t="n"/>
      <c r="C13" s="15">
        <f>IFERROR(VLOOKUP($B13,Community_Master!$A$2:$K$100,2,FALSE),"")</f>
        <v/>
      </c>
      <c r="D13" s="15">
        <f>IFERROR(VLOOKUP($B13,Community_Master!$A$2:$K$100,4,FALSE),"")</f>
        <v/>
      </c>
      <c r="E13" s="15">
        <f>IFERROR(VLOOKUP($B13,Community_Master!$A$2:$K$100,5,FALSE),"")</f>
        <v/>
      </c>
      <c r="F13" s="15">
        <f>IFERROR(VLOOKUP($B13,Community_Master!$A$2:$K$100,6,FALSE),"")</f>
        <v/>
      </c>
      <c r="G13" s="15">
        <f>IFERROR(VLOOKUP($B13,Community_Master!$A$2:$K$100,8,FALSE),"")</f>
        <v/>
      </c>
      <c r="H13" s="15" t="n"/>
      <c r="I13" s="15" t="n"/>
      <c r="J13" s="15" t="n"/>
      <c r="K13" s="15" t="n"/>
      <c r="L13" s="15">
        <f>IF($H13="","",MAX($H13-$I13,0))</f>
        <v/>
      </c>
      <c r="M13" s="6">
        <f>IF($H13="","",IFERROR($I13/$H13,""))</f>
        <v/>
      </c>
      <c r="N13" s="6">
        <f>IF($H13="","",IFERROR($J13/$H13,""))</f>
        <v/>
      </c>
      <c r="O13" s="6" t="n"/>
      <c r="P13" s="7" t="n"/>
      <c r="Q13" s="7" t="n"/>
      <c r="R13" s="7" t="n"/>
      <c r="S13" s="7" t="n"/>
      <c r="T13" s="7">
        <f>IF($H13="","",IFERROR($H13*$P13,""))</f>
        <v/>
      </c>
      <c r="U13" s="7" t="n"/>
      <c r="V13" s="7" t="n"/>
      <c r="W13" s="7" t="n"/>
      <c r="X13" s="7">
        <f>IF(OR($U13="",$W13=""),"",($U13+$V13)-$W13)</f>
        <v/>
      </c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9" t="n"/>
      <c r="AJ13" s="8" t="n"/>
      <c r="AK13" s="8" t="n"/>
      <c r="AL13" s="15" t="n"/>
      <c r="AM13" s="15" t="n"/>
      <c r="AN13" s="15" t="n"/>
      <c r="AO13" s="15" t="n"/>
      <c r="AP13" s="10" t="n"/>
      <c r="AQ13" s="15">
        <f>IF($B13="","",IF(OR(ISERROR(MATCH($B13,Community_Master!$A$2:$A$100,0)),$A13="",AND($H13&lt;&gt;"",$I13&gt;$H13),AND($H13&lt;&gt;"",$J13&gt;$H13),$I13&lt;0,$J13&lt;0,$K13&lt;0,$P13&lt;0,$Q13&lt;0,$Y13&lt;0,$Z13&lt;0,$AA13&lt;0,$AB13&lt;0,$AC13&lt;0),"ERROR","OK"))</f>
        <v/>
      </c>
      <c r="AR13" s="15">
        <f>IF($B13="","",TRIM(IF(ISERROR(MATCH($B13,Community_Master!$A$2:$A$100,0)),"Invalid Community_ID; ","")&amp;IF($A13="","Missing Report_Month; ","")&amp;IF(AND($H13&lt;&gt;"",$I13&gt;$H13),"Occupied_Units greater than Total_Units; ","")&amp;IF(AND($H13&lt;&gt;"",$J13&gt;$H13),"Leased_Units greater than Total_Units; ","")&amp;IF($I13&lt;0,"Occupied_Units negative; ","")&amp;IF($J13&lt;0,"Leased_Units negative; ","")&amp;IF($P13&lt;0,"Avg_Market_Rent negative; ","")))</f>
        <v/>
      </c>
    </row>
    <row r="14" ht="15" customHeight="1">
      <c r="A14" s="5" t="n"/>
      <c r="B14" s="15" t="n"/>
      <c r="C14" s="15">
        <f>IFERROR(VLOOKUP($B14,Community_Master!$A$2:$K$100,2,FALSE),"")</f>
        <v/>
      </c>
      <c r="D14" s="15">
        <f>IFERROR(VLOOKUP($B14,Community_Master!$A$2:$K$100,4,FALSE),"")</f>
        <v/>
      </c>
      <c r="E14" s="15">
        <f>IFERROR(VLOOKUP($B14,Community_Master!$A$2:$K$100,5,FALSE),"")</f>
        <v/>
      </c>
      <c r="F14" s="15">
        <f>IFERROR(VLOOKUP($B14,Community_Master!$A$2:$K$100,6,FALSE),"")</f>
        <v/>
      </c>
      <c r="G14" s="15">
        <f>IFERROR(VLOOKUP($B14,Community_Master!$A$2:$K$100,8,FALSE),"")</f>
        <v/>
      </c>
      <c r="H14" s="15" t="n"/>
      <c r="I14" s="15" t="n"/>
      <c r="J14" s="15" t="n"/>
      <c r="K14" s="15" t="n"/>
      <c r="L14" s="15">
        <f>IF($H14="","",MAX($H14-$I14,0))</f>
        <v/>
      </c>
      <c r="M14" s="6">
        <f>IF($H14="","",IFERROR($I14/$H14,""))</f>
        <v/>
      </c>
      <c r="N14" s="6">
        <f>IF($H14="","",IFERROR($J14/$H14,""))</f>
        <v/>
      </c>
      <c r="O14" s="6" t="n"/>
      <c r="P14" s="7" t="n"/>
      <c r="Q14" s="7" t="n"/>
      <c r="R14" s="7" t="n"/>
      <c r="S14" s="7" t="n"/>
      <c r="T14" s="7">
        <f>IF($H14="","",IFERROR($H14*$P14,""))</f>
        <v/>
      </c>
      <c r="U14" s="7" t="n"/>
      <c r="V14" s="7" t="n"/>
      <c r="W14" s="7" t="n"/>
      <c r="X14" s="7">
        <f>IF(OR($U14="",$W14=""),"",($U14+$V14)-$W14)</f>
        <v/>
      </c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9" t="n"/>
      <c r="AJ14" s="8" t="n"/>
      <c r="AK14" s="8" t="n"/>
      <c r="AL14" s="15" t="n"/>
      <c r="AM14" s="15" t="n"/>
      <c r="AN14" s="15" t="n"/>
      <c r="AO14" s="15" t="n"/>
      <c r="AP14" s="10" t="n"/>
      <c r="AQ14" s="15">
        <f>IF($B14="","",IF(OR(ISERROR(MATCH($B14,Community_Master!$A$2:$A$100,0)),$A14="",AND($H14&lt;&gt;"",$I14&gt;$H14),AND($H14&lt;&gt;"",$J14&gt;$H14),$I14&lt;0,$J14&lt;0,$K14&lt;0,$P14&lt;0,$Q14&lt;0,$Y14&lt;0,$Z14&lt;0,$AA14&lt;0,$AB14&lt;0,$AC14&lt;0),"ERROR","OK"))</f>
        <v/>
      </c>
      <c r="AR14" s="15">
        <f>IF($B14="","",TRIM(IF(ISERROR(MATCH($B14,Community_Master!$A$2:$A$100,0)),"Invalid Community_ID; ","")&amp;IF($A14="","Missing Report_Month; ","")&amp;IF(AND($H14&lt;&gt;"",$I14&gt;$H14),"Occupied_Units greater than Total_Units; ","")&amp;IF(AND($H14&lt;&gt;"",$J14&gt;$H14),"Leased_Units greater than Total_Units; ","")&amp;IF($I14&lt;0,"Occupied_Units negative; ","")&amp;IF($J14&lt;0,"Leased_Units negative; ","")&amp;IF($P14&lt;0,"Avg_Market_Rent negative; ","")))</f>
        <v/>
      </c>
    </row>
    <row r="15" ht="15" customHeight="1">
      <c r="A15" s="5" t="n"/>
      <c r="B15" s="15" t="n"/>
      <c r="C15" s="15">
        <f>IFERROR(VLOOKUP($B15,Community_Master!$A$2:$K$100,2,FALSE),"")</f>
        <v/>
      </c>
      <c r="D15" s="15">
        <f>IFERROR(VLOOKUP($B15,Community_Master!$A$2:$K$100,4,FALSE),"")</f>
        <v/>
      </c>
      <c r="E15" s="15">
        <f>IFERROR(VLOOKUP($B15,Community_Master!$A$2:$K$100,5,FALSE),"")</f>
        <v/>
      </c>
      <c r="F15" s="15">
        <f>IFERROR(VLOOKUP($B15,Community_Master!$A$2:$K$100,6,FALSE),"")</f>
        <v/>
      </c>
      <c r="G15" s="15">
        <f>IFERROR(VLOOKUP($B15,Community_Master!$A$2:$K$100,8,FALSE),"")</f>
        <v/>
      </c>
      <c r="H15" s="15" t="n"/>
      <c r="I15" s="15" t="n"/>
      <c r="J15" s="15" t="n"/>
      <c r="K15" s="15" t="n"/>
      <c r="L15" s="15">
        <f>IF($H15="","",MAX($H15-$I15,0))</f>
        <v/>
      </c>
      <c r="M15" s="6">
        <f>IF($H15="","",IFERROR($I15/$H15,""))</f>
        <v/>
      </c>
      <c r="N15" s="6">
        <f>IF($H15="","",IFERROR($J15/$H15,""))</f>
        <v/>
      </c>
      <c r="O15" s="6" t="n"/>
      <c r="P15" s="7" t="n"/>
      <c r="Q15" s="7" t="n"/>
      <c r="R15" s="7" t="n"/>
      <c r="S15" s="7" t="n"/>
      <c r="T15" s="7">
        <f>IF($H15="","",IFERROR($H15*$P15,""))</f>
        <v/>
      </c>
      <c r="U15" s="7" t="n"/>
      <c r="V15" s="7" t="n"/>
      <c r="W15" s="7" t="n"/>
      <c r="X15" s="7">
        <f>IF(OR($U15="",$W15=""),"",($U15+$V15)-$W15)</f>
        <v/>
      </c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9" t="n"/>
      <c r="AJ15" s="8" t="n"/>
      <c r="AK15" s="8" t="n"/>
      <c r="AL15" s="15" t="n"/>
      <c r="AM15" s="15" t="n"/>
      <c r="AN15" s="15" t="n"/>
      <c r="AO15" s="15" t="n"/>
      <c r="AP15" s="10" t="n"/>
      <c r="AQ15" s="15">
        <f>IF($B15="","",IF(OR(ISERROR(MATCH($B15,Community_Master!$A$2:$A$100,0)),$A15="",AND($H15&lt;&gt;"",$I15&gt;$H15),AND($H15&lt;&gt;"",$J15&gt;$H15),$I15&lt;0,$J15&lt;0,$K15&lt;0,$P15&lt;0,$Q15&lt;0,$Y15&lt;0,$Z15&lt;0,$AA15&lt;0,$AB15&lt;0,$AC15&lt;0),"ERROR","OK"))</f>
        <v/>
      </c>
      <c r="AR15" s="15">
        <f>IF($B15="","",TRIM(IF(ISERROR(MATCH($B15,Community_Master!$A$2:$A$100,0)),"Invalid Community_ID; ","")&amp;IF($A15="","Missing Report_Month; ","")&amp;IF(AND($H15&lt;&gt;"",$I15&gt;$H15),"Occupied_Units greater than Total_Units; ","")&amp;IF(AND($H15&lt;&gt;"",$J15&gt;$H15),"Leased_Units greater than Total_Units; ","")&amp;IF($I15&lt;0,"Occupied_Units negative; ","")&amp;IF($J15&lt;0,"Leased_Units negative; ","")&amp;IF($P15&lt;0,"Avg_Market_Rent negative; ","")))</f>
        <v/>
      </c>
    </row>
    <row r="16" ht="15" customHeight="1">
      <c r="A16" s="5" t="n"/>
      <c r="B16" s="15" t="n"/>
      <c r="C16" s="15">
        <f>IFERROR(VLOOKUP($B16,Community_Master!$A$2:$K$100,2,FALSE),"")</f>
        <v/>
      </c>
      <c r="D16" s="15">
        <f>IFERROR(VLOOKUP($B16,Community_Master!$A$2:$K$100,4,FALSE),"")</f>
        <v/>
      </c>
      <c r="E16" s="15">
        <f>IFERROR(VLOOKUP($B16,Community_Master!$A$2:$K$100,5,FALSE),"")</f>
        <v/>
      </c>
      <c r="F16" s="15">
        <f>IFERROR(VLOOKUP($B16,Community_Master!$A$2:$K$100,6,FALSE),"")</f>
        <v/>
      </c>
      <c r="G16" s="15">
        <f>IFERROR(VLOOKUP($B16,Community_Master!$A$2:$K$100,8,FALSE),"")</f>
        <v/>
      </c>
      <c r="H16" s="15" t="n"/>
      <c r="I16" s="15" t="n"/>
      <c r="J16" s="15" t="n"/>
      <c r="K16" s="15" t="n"/>
      <c r="L16" s="15">
        <f>IF($H16="","",MAX($H16-$I16,0))</f>
        <v/>
      </c>
      <c r="M16" s="6">
        <f>IF($H16="","",IFERROR($I16/$H16,""))</f>
        <v/>
      </c>
      <c r="N16" s="6">
        <f>IF($H16="","",IFERROR($J16/$H16,""))</f>
        <v/>
      </c>
      <c r="O16" s="6" t="n"/>
      <c r="P16" s="7" t="n"/>
      <c r="Q16" s="7" t="n"/>
      <c r="R16" s="7" t="n"/>
      <c r="S16" s="7" t="n"/>
      <c r="T16" s="7">
        <f>IF($H16="","",IFERROR($H16*$P16,""))</f>
        <v/>
      </c>
      <c r="U16" s="7" t="n"/>
      <c r="V16" s="7" t="n"/>
      <c r="W16" s="7" t="n"/>
      <c r="X16" s="7">
        <f>IF(OR($U16="",$W16=""),"",($U16+$V16)-$W16)</f>
        <v/>
      </c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9" t="n"/>
      <c r="AJ16" s="8" t="n"/>
      <c r="AK16" s="8" t="n"/>
      <c r="AL16" s="15" t="n"/>
      <c r="AM16" s="15" t="n"/>
      <c r="AN16" s="15" t="n"/>
      <c r="AO16" s="15" t="n"/>
      <c r="AP16" s="10" t="n"/>
      <c r="AQ16" s="15">
        <f>IF($B16="","",IF(OR(ISERROR(MATCH($B16,Community_Master!$A$2:$A$100,0)),$A16="",AND($H16&lt;&gt;"",$I16&gt;$H16),AND($H16&lt;&gt;"",$J16&gt;$H16),$I16&lt;0,$J16&lt;0,$K16&lt;0,$P16&lt;0,$Q16&lt;0,$Y16&lt;0,$Z16&lt;0,$AA16&lt;0,$AB16&lt;0,$AC16&lt;0),"ERROR","OK"))</f>
        <v/>
      </c>
      <c r="AR16" s="15">
        <f>IF($B16="","",TRIM(IF(ISERROR(MATCH($B16,Community_Master!$A$2:$A$100,0)),"Invalid Community_ID; ","")&amp;IF($A16="","Missing Report_Month; ","")&amp;IF(AND($H16&lt;&gt;"",$I16&gt;$H16),"Occupied_Units greater than Total_Units; ","")&amp;IF(AND($H16&lt;&gt;"",$J16&gt;$H16),"Leased_Units greater than Total_Units; ","")&amp;IF($I16&lt;0,"Occupied_Units negative; ","")&amp;IF($J16&lt;0,"Leased_Units negative; ","")&amp;IF($P16&lt;0,"Avg_Market_Rent negative; ","")))</f>
        <v/>
      </c>
    </row>
    <row r="17" ht="15" customHeight="1">
      <c r="A17" s="5" t="n"/>
      <c r="B17" s="15" t="n"/>
      <c r="C17" s="15">
        <f>IFERROR(VLOOKUP($B17,Community_Master!$A$2:$K$100,2,FALSE),"")</f>
        <v/>
      </c>
      <c r="D17" s="15">
        <f>IFERROR(VLOOKUP($B17,Community_Master!$A$2:$K$100,4,FALSE),"")</f>
        <v/>
      </c>
      <c r="E17" s="15">
        <f>IFERROR(VLOOKUP($B17,Community_Master!$A$2:$K$100,5,FALSE),"")</f>
        <v/>
      </c>
      <c r="F17" s="15">
        <f>IFERROR(VLOOKUP($B17,Community_Master!$A$2:$K$100,6,FALSE),"")</f>
        <v/>
      </c>
      <c r="G17" s="15">
        <f>IFERROR(VLOOKUP($B17,Community_Master!$A$2:$K$100,8,FALSE),"")</f>
        <v/>
      </c>
      <c r="H17" s="15" t="n"/>
      <c r="I17" s="15" t="n"/>
      <c r="J17" s="15" t="n"/>
      <c r="K17" s="15" t="n"/>
      <c r="L17" s="15">
        <f>IF($H17="","",MAX($H17-$I17,0))</f>
        <v/>
      </c>
      <c r="M17" s="6">
        <f>IF($H17="","",IFERROR($I17/$H17,""))</f>
        <v/>
      </c>
      <c r="N17" s="6">
        <f>IF($H17="","",IFERROR($J17/$H17,""))</f>
        <v/>
      </c>
      <c r="O17" s="6" t="n"/>
      <c r="P17" s="7" t="n"/>
      <c r="Q17" s="7" t="n"/>
      <c r="R17" s="7" t="n"/>
      <c r="S17" s="7" t="n"/>
      <c r="T17" s="7">
        <f>IF($H17="","",IFERROR($H17*$P17,""))</f>
        <v/>
      </c>
      <c r="U17" s="7" t="n"/>
      <c r="V17" s="7" t="n"/>
      <c r="W17" s="7" t="n"/>
      <c r="X17" s="7">
        <f>IF(OR($U17="",$W17=""),"",($U17+$V17)-$W17)</f>
        <v/>
      </c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9" t="n"/>
      <c r="AJ17" s="8" t="n"/>
      <c r="AK17" s="8" t="n"/>
      <c r="AL17" s="15" t="n"/>
      <c r="AM17" s="15" t="n"/>
      <c r="AN17" s="15" t="n"/>
      <c r="AO17" s="15" t="n"/>
      <c r="AP17" s="10" t="n"/>
      <c r="AQ17" s="15">
        <f>IF($B17="","",IF(OR(ISERROR(MATCH($B17,Community_Master!$A$2:$A$100,0)),$A17="",AND($H17&lt;&gt;"",$I17&gt;$H17),AND($H17&lt;&gt;"",$J17&gt;$H17),$I17&lt;0,$J17&lt;0,$K17&lt;0,$P17&lt;0,$Q17&lt;0,$Y17&lt;0,$Z17&lt;0,$AA17&lt;0,$AB17&lt;0,$AC17&lt;0),"ERROR","OK"))</f>
        <v/>
      </c>
      <c r="AR17" s="15">
        <f>IF($B17="","",TRIM(IF(ISERROR(MATCH($B17,Community_Master!$A$2:$A$100,0)),"Invalid Community_ID; ","")&amp;IF($A17="","Missing Report_Month; ","")&amp;IF(AND($H17&lt;&gt;"",$I17&gt;$H17),"Occupied_Units greater than Total_Units; ","")&amp;IF(AND($H17&lt;&gt;"",$J17&gt;$H17),"Leased_Units greater than Total_Units; ","")&amp;IF($I17&lt;0,"Occupied_Units negative; ","")&amp;IF($J17&lt;0,"Leased_Units negative; ","")&amp;IF($P17&lt;0,"Avg_Market_Rent negative; ","")))</f>
        <v/>
      </c>
    </row>
    <row r="18" ht="15" customHeight="1">
      <c r="A18" s="5" t="n"/>
      <c r="B18" s="15" t="n"/>
      <c r="C18" s="15">
        <f>IFERROR(VLOOKUP($B18,Community_Master!$A$2:$K$100,2,FALSE),"")</f>
        <v/>
      </c>
      <c r="D18" s="15">
        <f>IFERROR(VLOOKUP($B18,Community_Master!$A$2:$K$100,4,FALSE),"")</f>
        <v/>
      </c>
      <c r="E18" s="15">
        <f>IFERROR(VLOOKUP($B18,Community_Master!$A$2:$K$100,5,FALSE),"")</f>
        <v/>
      </c>
      <c r="F18" s="15">
        <f>IFERROR(VLOOKUP($B18,Community_Master!$A$2:$K$100,6,FALSE),"")</f>
        <v/>
      </c>
      <c r="G18" s="15">
        <f>IFERROR(VLOOKUP($B18,Community_Master!$A$2:$K$100,8,FALSE),"")</f>
        <v/>
      </c>
      <c r="H18" s="15" t="n"/>
      <c r="I18" s="15" t="n"/>
      <c r="J18" s="15" t="n"/>
      <c r="K18" s="15" t="n"/>
      <c r="L18" s="15">
        <f>IF($H18="","",MAX($H18-$I18,0))</f>
        <v/>
      </c>
      <c r="M18" s="6">
        <f>IF($H18="","",IFERROR($I18/$H18,""))</f>
        <v/>
      </c>
      <c r="N18" s="6">
        <f>IF($H18="","",IFERROR($J18/$H18,""))</f>
        <v/>
      </c>
      <c r="O18" s="6" t="n"/>
      <c r="P18" s="7" t="n"/>
      <c r="Q18" s="7" t="n"/>
      <c r="R18" s="7" t="n"/>
      <c r="S18" s="7" t="n"/>
      <c r="T18" s="7">
        <f>IF($H18="","",IFERROR($H18*$P18,""))</f>
        <v/>
      </c>
      <c r="U18" s="7" t="n"/>
      <c r="V18" s="7" t="n"/>
      <c r="W18" s="7" t="n"/>
      <c r="X18" s="7">
        <f>IF(OR($U18="",$W18=""),"",($U18+$V18)-$W18)</f>
        <v/>
      </c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9" t="n"/>
      <c r="AJ18" s="8" t="n"/>
      <c r="AK18" s="8" t="n"/>
      <c r="AL18" s="15" t="n"/>
      <c r="AM18" s="15" t="n"/>
      <c r="AN18" s="15" t="n"/>
      <c r="AO18" s="15" t="n"/>
      <c r="AP18" s="10" t="n"/>
      <c r="AQ18" s="15">
        <f>IF($B18="","",IF(OR(ISERROR(MATCH($B18,Community_Master!$A$2:$A$100,0)),$A18="",AND($H18&lt;&gt;"",$I18&gt;$H18),AND($H18&lt;&gt;"",$J18&gt;$H18),$I18&lt;0,$J18&lt;0,$K18&lt;0,$P18&lt;0,$Q18&lt;0,$Y18&lt;0,$Z18&lt;0,$AA18&lt;0,$AB18&lt;0,$AC18&lt;0),"ERROR","OK"))</f>
        <v/>
      </c>
      <c r="AR18" s="15">
        <f>IF($B18="","",TRIM(IF(ISERROR(MATCH($B18,Community_Master!$A$2:$A$100,0)),"Invalid Community_ID; ","")&amp;IF($A18="","Missing Report_Month; ","")&amp;IF(AND($H18&lt;&gt;"",$I18&gt;$H18),"Occupied_Units greater than Total_Units; ","")&amp;IF(AND($H18&lt;&gt;"",$J18&gt;$H18),"Leased_Units greater than Total_Units; ","")&amp;IF($I18&lt;0,"Occupied_Units negative; ","")&amp;IF($J18&lt;0,"Leased_Units negative; ","")&amp;IF($P18&lt;0,"Avg_Market_Rent negative; ","")))</f>
        <v/>
      </c>
    </row>
    <row r="19" ht="15" customHeight="1">
      <c r="A19" s="5" t="n"/>
      <c r="B19" s="15" t="n"/>
      <c r="C19" s="15">
        <f>IFERROR(VLOOKUP($B19,Community_Master!$A$2:$K$100,2,FALSE),"")</f>
        <v/>
      </c>
      <c r="D19" s="15">
        <f>IFERROR(VLOOKUP($B19,Community_Master!$A$2:$K$100,4,FALSE),"")</f>
        <v/>
      </c>
      <c r="E19" s="15">
        <f>IFERROR(VLOOKUP($B19,Community_Master!$A$2:$K$100,5,FALSE),"")</f>
        <v/>
      </c>
      <c r="F19" s="15">
        <f>IFERROR(VLOOKUP($B19,Community_Master!$A$2:$K$100,6,FALSE),"")</f>
        <v/>
      </c>
      <c r="G19" s="15">
        <f>IFERROR(VLOOKUP($B19,Community_Master!$A$2:$K$100,8,FALSE),"")</f>
        <v/>
      </c>
      <c r="H19" s="15" t="n"/>
      <c r="I19" s="15" t="n"/>
      <c r="J19" s="15" t="n"/>
      <c r="K19" s="15" t="n"/>
      <c r="L19" s="15">
        <f>IF($H19="","",MAX($H19-$I19,0))</f>
        <v/>
      </c>
      <c r="M19" s="6">
        <f>IF($H19="","",IFERROR($I19/$H19,""))</f>
        <v/>
      </c>
      <c r="N19" s="6">
        <f>IF($H19="","",IFERROR($J19/$H19,""))</f>
        <v/>
      </c>
      <c r="O19" s="6" t="n"/>
      <c r="P19" s="7" t="n"/>
      <c r="Q19" s="7" t="n"/>
      <c r="R19" s="7" t="n"/>
      <c r="S19" s="7" t="n"/>
      <c r="T19" s="7">
        <f>IF($H19="","",IFERROR($H19*$P19,""))</f>
        <v/>
      </c>
      <c r="U19" s="7" t="n"/>
      <c r="V19" s="7" t="n"/>
      <c r="W19" s="7" t="n"/>
      <c r="X19" s="7">
        <f>IF(OR($U19="",$W19=""),"",($U19+$V19)-$W19)</f>
        <v/>
      </c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9" t="n"/>
      <c r="AJ19" s="8" t="n"/>
      <c r="AK19" s="8" t="n"/>
      <c r="AL19" s="15" t="n"/>
      <c r="AM19" s="15" t="n"/>
      <c r="AN19" s="15" t="n"/>
      <c r="AO19" s="15" t="n"/>
      <c r="AP19" s="10" t="n"/>
      <c r="AQ19" s="15">
        <f>IF($B19="","",IF(OR(ISERROR(MATCH($B19,Community_Master!$A$2:$A$100,0)),$A19="",AND($H19&lt;&gt;"",$I19&gt;$H19),AND($H19&lt;&gt;"",$J19&gt;$H19),$I19&lt;0,$J19&lt;0,$K19&lt;0,$P19&lt;0,$Q19&lt;0,$Y19&lt;0,$Z19&lt;0,$AA19&lt;0,$AB19&lt;0,$AC19&lt;0),"ERROR","OK"))</f>
        <v/>
      </c>
      <c r="AR19" s="15">
        <f>IF($B19="","",TRIM(IF(ISERROR(MATCH($B19,Community_Master!$A$2:$A$100,0)),"Invalid Community_ID; ","")&amp;IF($A19="","Missing Report_Month; ","")&amp;IF(AND($H19&lt;&gt;"",$I19&gt;$H19),"Occupied_Units greater than Total_Units; ","")&amp;IF(AND($H19&lt;&gt;"",$J19&gt;$H19),"Leased_Units greater than Total_Units; ","")&amp;IF($I19&lt;0,"Occupied_Units negative; ","")&amp;IF($J19&lt;0,"Leased_Units negative; ","")&amp;IF($P19&lt;0,"Avg_Market_Rent negative; ","")))</f>
        <v/>
      </c>
    </row>
    <row r="20" ht="15" customHeight="1">
      <c r="A20" s="5" t="n"/>
      <c r="B20" s="15" t="n"/>
      <c r="C20" s="15">
        <f>IFERROR(VLOOKUP($B20,Community_Master!$A$2:$K$100,2,FALSE),"")</f>
        <v/>
      </c>
      <c r="D20" s="15">
        <f>IFERROR(VLOOKUP($B20,Community_Master!$A$2:$K$100,4,FALSE),"")</f>
        <v/>
      </c>
      <c r="E20" s="15">
        <f>IFERROR(VLOOKUP($B20,Community_Master!$A$2:$K$100,5,FALSE),"")</f>
        <v/>
      </c>
      <c r="F20" s="15">
        <f>IFERROR(VLOOKUP($B20,Community_Master!$A$2:$K$100,6,FALSE),"")</f>
        <v/>
      </c>
      <c r="G20" s="15">
        <f>IFERROR(VLOOKUP($B20,Community_Master!$A$2:$K$100,8,FALSE),"")</f>
        <v/>
      </c>
      <c r="H20" s="15" t="n"/>
      <c r="I20" s="15" t="n"/>
      <c r="J20" s="15" t="n"/>
      <c r="K20" s="15" t="n"/>
      <c r="L20" s="15">
        <f>IF($H20="","",MAX($H20-$I20,0))</f>
        <v/>
      </c>
      <c r="M20" s="6">
        <f>IF($H20="","",IFERROR($I20/$H20,""))</f>
        <v/>
      </c>
      <c r="N20" s="6">
        <f>IF($H20="","",IFERROR($J20/$H20,""))</f>
        <v/>
      </c>
      <c r="O20" s="6" t="n"/>
      <c r="P20" s="7" t="n"/>
      <c r="Q20" s="7" t="n"/>
      <c r="R20" s="7" t="n"/>
      <c r="S20" s="7" t="n"/>
      <c r="T20" s="7">
        <f>IF($H20="","",IFERROR($H20*$P20,""))</f>
        <v/>
      </c>
      <c r="U20" s="7" t="n"/>
      <c r="V20" s="7" t="n"/>
      <c r="W20" s="7" t="n"/>
      <c r="X20" s="7">
        <f>IF(OR($U20="",$W20=""),"",($U20+$V20)-$W20)</f>
        <v/>
      </c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9" t="n"/>
      <c r="AJ20" s="8" t="n"/>
      <c r="AK20" s="8" t="n"/>
      <c r="AL20" s="15" t="n"/>
      <c r="AM20" s="15" t="n"/>
      <c r="AN20" s="15" t="n"/>
      <c r="AO20" s="15" t="n"/>
      <c r="AP20" s="10" t="n"/>
      <c r="AQ20" s="15">
        <f>IF($B20="","",IF(OR(ISERROR(MATCH($B20,Community_Master!$A$2:$A$100,0)),$A20="",AND($H20&lt;&gt;"",$I20&gt;$H20),AND($H20&lt;&gt;"",$J20&gt;$H20),$I20&lt;0,$J20&lt;0,$K20&lt;0,$P20&lt;0,$Q20&lt;0,$Y20&lt;0,$Z20&lt;0,$AA20&lt;0,$AB20&lt;0,$AC20&lt;0),"ERROR","OK"))</f>
        <v/>
      </c>
      <c r="AR20" s="15">
        <f>IF($B20="","",TRIM(IF(ISERROR(MATCH($B20,Community_Master!$A$2:$A$100,0)),"Invalid Community_ID; ","")&amp;IF($A20="","Missing Report_Month; ","")&amp;IF(AND($H20&lt;&gt;"",$I20&gt;$H20),"Occupied_Units greater than Total_Units; ","")&amp;IF(AND($H20&lt;&gt;"",$J20&gt;$H20),"Leased_Units greater than Total_Units; ","")&amp;IF($I20&lt;0,"Occupied_Units negative; ","")&amp;IF($J20&lt;0,"Leased_Units negative; ","")&amp;IF($P20&lt;0,"Avg_Market_Rent negative; ","")))</f>
        <v/>
      </c>
    </row>
    <row r="21" ht="15" customHeight="1">
      <c r="A21" s="5" t="n"/>
      <c r="B21" s="15" t="n"/>
      <c r="C21" s="15">
        <f>IFERROR(VLOOKUP($B21,Community_Master!$A$2:$K$100,2,FALSE),"")</f>
        <v/>
      </c>
      <c r="D21" s="15">
        <f>IFERROR(VLOOKUP($B21,Community_Master!$A$2:$K$100,4,FALSE),"")</f>
        <v/>
      </c>
      <c r="E21" s="15">
        <f>IFERROR(VLOOKUP($B21,Community_Master!$A$2:$K$100,5,FALSE),"")</f>
        <v/>
      </c>
      <c r="F21" s="15">
        <f>IFERROR(VLOOKUP($B21,Community_Master!$A$2:$K$100,6,FALSE),"")</f>
        <v/>
      </c>
      <c r="G21" s="15">
        <f>IFERROR(VLOOKUP($B21,Community_Master!$A$2:$K$100,8,FALSE),"")</f>
        <v/>
      </c>
      <c r="H21" s="15" t="n"/>
      <c r="I21" s="15" t="n"/>
      <c r="J21" s="15" t="n"/>
      <c r="K21" s="15" t="n"/>
      <c r="L21" s="15">
        <f>IF($H21="","",MAX($H21-$I21,0))</f>
        <v/>
      </c>
      <c r="M21" s="6">
        <f>IF($H21="","",IFERROR($I21/$H21,""))</f>
        <v/>
      </c>
      <c r="N21" s="6">
        <f>IF($H21="","",IFERROR($J21/$H21,""))</f>
        <v/>
      </c>
      <c r="O21" s="6" t="n"/>
      <c r="P21" s="7" t="n"/>
      <c r="Q21" s="7" t="n"/>
      <c r="R21" s="7" t="n"/>
      <c r="S21" s="7" t="n"/>
      <c r="T21" s="7">
        <f>IF($H21="","",IFERROR($H21*$P21,""))</f>
        <v/>
      </c>
      <c r="U21" s="7" t="n"/>
      <c r="V21" s="7" t="n"/>
      <c r="W21" s="7" t="n"/>
      <c r="X21" s="7">
        <f>IF(OR($U21="",$W21=""),"",($U21+$V21)-$W21)</f>
        <v/>
      </c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9" t="n"/>
      <c r="AJ21" s="8" t="n"/>
      <c r="AK21" s="8" t="n"/>
      <c r="AL21" s="15" t="n"/>
      <c r="AM21" s="15" t="n"/>
      <c r="AN21" s="15" t="n"/>
      <c r="AO21" s="15" t="n"/>
      <c r="AP21" s="10" t="n"/>
      <c r="AQ21" s="15">
        <f>IF($B21="","",IF(OR(ISERROR(MATCH($B21,Community_Master!$A$2:$A$100,0)),$A21="",AND($H21&lt;&gt;"",$I21&gt;$H21),AND($H21&lt;&gt;"",$J21&gt;$H21),$I21&lt;0,$J21&lt;0,$K21&lt;0,$P21&lt;0,$Q21&lt;0,$Y21&lt;0,$Z21&lt;0,$AA21&lt;0,$AB21&lt;0,$AC21&lt;0),"ERROR","OK"))</f>
        <v/>
      </c>
      <c r="AR21" s="15">
        <f>IF($B21="","",TRIM(IF(ISERROR(MATCH($B21,Community_Master!$A$2:$A$100,0)),"Invalid Community_ID; ","")&amp;IF($A21="","Missing Report_Month; ","")&amp;IF(AND($H21&lt;&gt;"",$I21&gt;$H21),"Occupied_Units greater than Total_Units; ","")&amp;IF(AND($H21&lt;&gt;"",$J21&gt;$H21),"Leased_Units greater than Total_Units; ","")&amp;IF($I21&lt;0,"Occupied_Units negative; ","")&amp;IF($J21&lt;0,"Leased_Units negative; ","")&amp;IF($P21&lt;0,"Avg_Market_Rent negative; ","")))</f>
        <v/>
      </c>
    </row>
    <row r="22" ht="15" customHeight="1">
      <c r="A22" s="5" t="n"/>
      <c r="B22" s="15" t="n"/>
      <c r="C22" s="15">
        <f>IFERROR(VLOOKUP($B22,Community_Master!$A$2:$K$100,2,FALSE),"")</f>
        <v/>
      </c>
      <c r="D22" s="15">
        <f>IFERROR(VLOOKUP($B22,Community_Master!$A$2:$K$100,4,FALSE),"")</f>
        <v/>
      </c>
      <c r="E22" s="15">
        <f>IFERROR(VLOOKUP($B22,Community_Master!$A$2:$K$100,5,FALSE),"")</f>
        <v/>
      </c>
      <c r="F22" s="15">
        <f>IFERROR(VLOOKUP($B22,Community_Master!$A$2:$K$100,6,FALSE),"")</f>
        <v/>
      </c>
      <c r="G22" s="15">
        <f>IFERROR(VLOOKUP($B22,Community_Master!$A$2:$K$100,8,FALSE),"")</f>
        <v/>
      </c>
      <c r="H22" s="15" t="n"/>
      <c r="I22" s="15" t="n"/>
      <c r="J22" s="15" t="n"/>
      <c r="K22" s="15" t="n"/>
      <c r="L22" s="15">
        <f>IF($H22="","",MAX($H22-$I22,0))</f>
        <v/>
      </c>
      <c r="M22" s="6">
        <f>IF($H22="","",IFERROR($I22/$H22,""))</f>
        <v/>
      </c>
      <c r="N22" s="6">
        <f>IF($H22="","",IFERROR($J22/$H22,""))</f>
        <v/>
      </c>
      <c r="O22" s="6" t="n"/>
      <c r="P22" s="7" t="n"/>
      <c r="Q22" s="7" t="n"/>
      <c r="R22" s="7" t="n"/>
      <c r="S22" s="7" t="n"/>
      <c r="T22" s="7">
        <f>IF($H22="","",IFERROR($H22*$P22,""))</f>
        <v/>
      </c>
      <c r="U22" s="7" t="n"/>
      <c r="V22" s="7" t="n"/>
      <c r="W22" s="7" t="n"/>
      <c r="X22" s="7">
        <f>IF(OR($U22="",$W22=""),"",($U22+$V22)-$W22)</f>
        <v/>
      </c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9" t="n"/>
      <c r="AJ22" s="8" t="n"/>
      <c r="AK22" s="8" t="n"/>
      <c r="AL22" s="15" t="n"/>
      <c r="AM22" s="15" t="n"/>
      <c r="AN22" s="15" t="n"/>
      <c r="AO22" s="15" t="n"/>
      <c r="AP22" s="10" t="n"/>
      <c r="AQ22" s="15">
        <f>IF($B22="","",IF(OR(ISERROR(MATCH($B22,Community_Master!$A$2:$A$100,0)),$A22="",AND($H22&lt;&gt;"",$I22&gt;$H22),AND($H22&lt;&gt;"",$J22&gt;$H22),$I22&lt;0,$J22&lt;0,$K22&lt;0,$P22&lt;0,$Q22&lt;0,$Y22&lt;0,$Z22&lt;0,$AA22&lt;0,$AB22&lt;0,$AC22&lt;0),"ERROR","OK"))</f>
        <v/>
      </c>
      <c r="AR22" s="15">
        <f>IF($B22="","",TRIM(IF(ISERROR(MATCH($B22,Community_Master!$A$2:$A$100,0)),"Invalid Community_ID; ","")&amp;IF($A22="","Missing Report_Month; ","")&amp;IF(AND($H22&lt;&gt;"",$I22&gt;$H22),"Occupied_Units greater than Total_Units; ","")&amp;IF(AND($H22&lt;&gt;"",$J22&gt;$H22),"Leased_Units greater than Total_Units; ","")&amp;IF($I22&lt;0,"Occupied_Units negative; ","")&amp;IF($J22&lt;0,"Leased_Units negative; ","")&amp;IF($P22&lt;0,"Avg_Market_Rent negative; ","")))</f>
        <v/>
      </c>
    </row>
    <row r="23" ht="15" customHeight="1">
      <c r="A23" s="5" t="n"/>
      <c r="B23" s="15" t="n"/>
      <c r="C23" s="15">
        <f>IFERROR(VLOOKUP($B23,Community_Master!$A$2:$K$100,2,FALSE),"")</f>
        <v/>
      </c>
      <c r="D23" s="15">
        <f>IFERROR(VLOOKUP($B23,Community_Master!$A$2:$K$100,4,FALSE),"")</f>
        <v/>
      </c>
      <c r="E23" s="15">
        <f>IFERROR(VLOOKUP($B23,Community_Master!$A$2:$K$100,5,FALSE),"")</f>
        <v/>
      </c>
      <c r="F23" s="15">
        <f>IFERROR(VLOOKUP($B23,Community_Master!$A$2:$K$100,6,FALSE),"")</f>
        <v/>
      </c>
      <c r="G23" s="15">
        <f>IFERROR(VLOOKUP($B23,Community_Master!$A$2:$K$100,8,FALSE),"")</f>
        <v/>
      </c>
      <c r="H23" s="15" t="n"/>
      <c r="I23" s="15" t="n"/>
      <c r="J23" s="15" t="n"/>
      <c r="K23" s="15" t="n"/>
      <c r="L23" s="15">
        <f>IF($H23="","",MAX($H23-$I23,0))</f>
        <v/>
      </c>
      <c r="M23" s="6">
        <f>IF($H23="","",IFERROR($I23/$H23,""))</f>
        <v/>
      </c>
      <c r="N23" s="6">
        <f>IF($H23="","",IFERROR($J23/$H23,""))</f>
        <v/>
      </c>
      <c r="O23" s="6" t="n"/>
      <c r="P23" s="7" t="n"/>
      <c r="Q23" s="7" t="n"/>
      <c r="R23" s="7" t="n"/>
      <c r="S23" s="7" t="n"/>
      <c r="T23" s="7">
        <f>IF($H23="","",IFERROR($H23*$P23,""))</f>
        <v/>
      </c>
      <c r="U23" s="7" t="n"/>
      <c r="V23" s="7" t="n"/>
      <c r="W23" s="7" t="n"/>
      <c r="X23" s="7">
        <f>IF(OR($U23="",$W23=""),"",($U23+$V23)-$W23)</f>
        <v/>
      </c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9" t="n"/>
      <c r="AJ23" s="8" t="n"/>
      <c r="AK23" s="8" t="n"/>
      <c r="AL23" s="15" t="n"/>
      <c r="AM23" s="15" t="n"/>
      <c r="AN23" s="15" t="n"/>
      <c r="AO23" s="15" t="n"/>
      <c r="AP23" s="10" t="n"/>
      <c r="AQ23" s="15">
        <f>IF($B23="","",IF(OR(ISERROR(MATCH($B23,Community_Master!$A$2:$A$100,0)),$A23="",AND($H23&lt;&gt;"",$I23&gt;$H23),AND($H23&lt;&gt;"",$J23&gt;$H23),$I23&lt;0,$J23&lt;0,$K23&lt;0,$P23&lt;0,$Q23&lt;0,$Y23&lt;0,$Z23&lt;0,$AA23&lt;0,$AB23&lt;0,$AC23&lt;0),"ERROR","OK"))</f>
        <v/>
      </c>
      <c r="AR23" s="15">
        <f>IF($B23="","",TRIM(IF(ISERROR(MATCH($B23,Community_Master!$A$2:$A$100,0)),"Invalid Community_ID; ","")&amp;IF($A23="","Missing Report_Month; ","")&amp;IF(AND($H23&lt;&gt;"",$I23&gt;$H23),"Occupied_Units greater than Total_Units; ","")&amp;IF(AND($H23&lt;&gt;"",$J23&gt;$H23),"Leased_Units greater than Total_Units; ","")&amp;IF($I23&lt;0,"Occupied_Units negative; ","")&amp;IF($J23&lt;0,"Leased_Units negative; ","")&amp;IF($P23&lt;0,"Avg_Market_Rent negative; ","")))</f>
        <v/>
      </c>
    </row>
    <row r="24" ht="15" customHeight="1">
      <c r="A24" s="5" t="n"/>
      <c r="B24" s="15" t="n"/>
      <c r="C24" s="15">
        <f>IFERROR(VLOOKUP($B24,Community_Master!$A$2:$K$100,2,FALSE),"")</f>
        <v/>
      </c>
      <c r="D24" s="15">
        <f>IFERROR(VLOOKUP($B24,Community_Master!$A$2:$K$100,4,FALSE),"")</f>
        <v/>
      </c>
      <c r="E24" s="15">
        <f>IFERROR(VLOOKUP($B24,Community_Master!$A$2:$K$100,5,FALSE),"")</f>
        <v/>
      </c>
      <c r="F24" s="15">
        <f>IFERROR(VLOOKUP($B24,Community_Master!$A$2:$K$100,6,FALSE),"")</f>
        <v/>
      </c>
      <c r="G24" s="15">
        <f>IFERROR(VLOOKUP($B24,Community_Master!$A$2:$K$100,8,FALSE),"")</f>
        <v/>
      </c>
      <c r="H24" s="15" t="n"/>
      <c r="I24" s="15" t="n"/>
      <c r="J24" s="15" t="n"/>
      <c r="K24" s="15" t="n"/>
      <c r="L24" s="15">
        <f>IF($H24="","",MAX($H24-$I24,0))</f>
        <v/>
      </c>
      <c r="M24" s="6">
        <f>IF($H24="","",IFERROR($I24/$H24,""))</f>
        <v/>
      </c>
      <c r="N24" s="6">
        <f>IF($H24="","",IFERROR($J24/$H24,""))</f>
        <v/>
      </c>
      <c r="O24" s="6" t="n"/>
      <c r="P24" s="7" t="n"/>
      <c r="Q24" s="7" t="n"/>
      <c r="R24" s="7" t="n"/>
      <c r="S24" s="7" t="n"/>
      <c r="T24" s="7">
        <f>IF($H24="","",IFERROR($H24*$P24,""))</f>
        <v/>
      </c>
      <c r="U24" s="7" t="n"/>
      <c r="V24" s="7" t="n"/>
      <c r="W24" s="7" t="n"/>
      <c r="X24" s="7">
        <f>IF(OR($U24="",$W24=""),"",($U24+$V24)-$W24)</f>
        <v/>
      </c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9" t="n"/>
      <c r="AJ24" s="8" t="n"/>
      <c r="AK24" s="8" t="n"/>
      <c r="AL24" s="15" t="n"/>
      <c r="AM24" s="15" t="n"/>
      <c r="AN24" s="15" t="n"/>
      <c r="AO24" s="15" t="n"/>
      <c r="AP24" s="10" t="n"/>
      <c r="AQ24" s="15">
        <f>IF($B24="","",IF(OR(ISERROR(MATCH($B24,Community_Master!$A$2:$A$100,0)),$A24="",AND($H24&lt;&gt;"",$I24&gt;$H24),AND($H24&lt;&gt;"",$J24&gt;$H24),$I24&lt;0,$J24&lt;0,$K24&lt;0,$P24&lt;0,$Q24&lt;0,$Y24&lt;0,$Z24&lt;0,$AA24&lt;0,$AB24&lt;0,$AC24&lt;0),"ERROR","OK"))</f>
        <v/>
      </c>
      <c r="AR24" s="15">
        <f>IF($B24="","",TRIM(IF(ISERROR(MATCH($B24,Community_Master!$A$2:$A$100,0)),"Invalid Community_ID; ","")&amp;IF($A24="","Missing Report_Month; ","")&amp;IF(AND($H24&lt;&gt;"",$I24&gt;$H24),"Occupied_Units greater than Total_Units; ","")&amp;IF(AND($H24&lt;&gt;"",$J24&gt;$H24),"Leased_Units greater than Total_Units; ","")&amp;IF($I24&lt;0,"Occupied_Units negative; ","")&amp;IF($J24&lt;0,"Leased_Units negative; ","")&amp;IF($P24&lt;0,"Avg_Market_Rent negative; ","")))</f>
        <v/>
      </c>
    </row>
    <row r="25" ht="15" customHeight="1">
      <c r="A25" s="5" t="n"/>
      <c r="B25" s="15" t="n"/>
      <c r="C25" s="15">
        <f>IFERROR(VLOOKUP($B25,Community_Master!$A$2:$K$100,2,FALSE),"")</f>
        <v/>
      </c>
      <c r="D25" s="15">
        <f>IFERROR(VLOOKUP($B25,Community_Master!$A$2:$K$100,4,FALSE),"")</f>
        <v/>
      </c>
      <c r="E25" s="15">
        <f>IFERROR(VLOOKUP($B25,Community_Master!$A$2:$K$100,5,FALSE),"")</f>
        <v/>
      </c>
      <c r="F25" s="15">
        <f>IFERROR(VLOOKUP($B25,Community_Master!$A$2:$K$100,6,FALSE),"")</f>
        <v/>
      </c>
      <c r="G25" s="15">
        <f>IFERROR(VLOOKUP($B25,Community_Master!$A$2:$K$100,8,FALSE),"")</f>
        <v/>
      </c>
      <c r="H25" s="15" t="n"/>
      <c r="I25" s="15" t="n"/>
      <c r="J25" s="15" t="n"/>
      <c r="K25" s="15" t="n"/>
      <c r="L25" s="15">
        <f>IF($H25="","",MAX($H25-$I25,0))</f>
        <v/>
      </c>
      <c r="M25" s="6">
        <f>IF($H25="","",IFERROR($I25/$H25,""))</f>
        <v/>
      </c>
      <c r="N25" s="6">
        <f>IF($H25="","",IFERROR($J25/$H25,""))</f>
        <v/>
      </c>
      <c r="O25" s="6" t="n"/>
      <c r="P25" s="7" t="n"/>
      <c r="Q25" s="7" t="n"/>
      <c r="R25" s="7" t="n"/>
      <c r="S25" s="7" t="n"/>
      <c r="T25" s="7">
        <f>IF($H25="","",IFERROR($H25*$P25,""))</f>
        <v/>
      </c>
      <c r="U25" s="7" t="n"/>
      <c r="V25" s="7" t="n"/>
      <c r="W25" s="7" t="n"/>
      <c r="X25" s="7">
        <f>IF(OR($U25="",$W25=""),"",($U25+$V25)-$W25)</f>
        <v/>
      </c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9" t="n"/>
      <c r="AJ25" s="8" t="n"/>
      <c r="AK25" s="8" t="n"/>
      <c r="AL25" s="15" t="n"/>
      <c r="AM25" s="15" t="n"/>
      <c r="AN25" s="15" t="n"/>
      <c r="AO25" s="15" t="n"/>
      <c r="AP25" s="10" t="n"/>
      <c r="AQ25" s="15">
        <f>IF($B25="","",IF(OR(ISERROR(MATCH($B25,Community_Master!$A$2:$A$100,0)),$A25="",AND($H25&lt;&gt;"",$I25&gt;$H25),AND($H25&lt;&gt;"",$J25&gt;$H25),$I25&lt;0,$J25&lt;0,$K25&lt;0,$P25&lt;0,$Q25&lt;0,$Y25&lt;0,$Z25&lt;0,$AA25&lt;0,$AB25&lt;0,$AC25&lt;0),"ERROR","OK"))</f>
        <v/>
      </c>
      <c r="AR25" s="15">
        <f>IF($B25="","",TRIM(IF(ISERROR(MATCH($B25,Community_Master!$A$2:$A$100,0)),"Invalid Community_ID; ","")&amp;IF($A25="","Missing Report_Month; ","")&amp;IF(AND($H25&lt;&gt;"",$I25&gt;$H25),"Occupied_Units greater than Total_Units; ","")&amp;IF(AND($H25&lt;&gt;"",$J25&gt;$H25),"Leased_Units greater than Total_Units; ","")&amp;IF($I25&lt;0,"Occupied_Units negative; ","")&amp;IF($J25&lt;0,"Leased_Units negative; ","")&amp;IF($P25&lt;0,"Avg_Market_Rent negative; ","")))</f>
        <v/>
      </c>
    </row>
    <row r="26" ht="15" customHeight="1">
      <c r="A26" s="5" t="n"/>
      <c r="B26" s="15" t="n"/>
      <c r="C26" s="15">
        <f>IFERROR(VLOOKUP($B26,Community_Master!$A$2:$K$100,2,FALSE),"")</f>
        <v/>
      </c>
      <c r="D26" s="15">
        <f>IFERROR(VLOOKUP($B26,Community_Master!$A$2:$K$100,4,FALSE),"")</f>
        <v/>
      </c>
      <c r="E26" s="15">
        <f>IFERROR(VLOOKUP($B26,Community_Master!$A$2:$K$100,5,FALSE),"")</f>
        <v/>
      </c>
      <c r="F26" s="15">
        <f>IFERROR(VLOOKUP($B26,Community_Master!$A$2:$K$100,6,FALSE),"")</f>
        <v/>
      </c>
      <c r="G26" s="15">
        <f>IFERROR(VLOOKUP($B26,Community_Master!$A$2:$K$100,8,FALSE),"")</f>
        <v/>
      </c>
      <c r="H26" s="15" t="n"/>
      <c r="I26" s="15" t="n"/>
      <c r="J26" s="15" t="n"/>
      <c r="K26" s="15" t="n"/>
      <c r="L26" s="15">
        <f>IF($H26="","",MAX($H26-$I26,0))</f>
        <v/>
      </c>
      <c r="M26" s="6">
        <f>IF($H26="","",IFERROR($I26/$H26,""))</f>
        <v/>
      </c>
      <c r="N26" s="6">
        <f>IF($H26="","",IFERROR($J26/$H26,""))</f>
        <v/>
      </c>
      <c r="O26" s="6" t="n"/>
      <c r="P26" s="7" t="n"/>
      <c r="Q26" s="7" t="n"/>
      <c r="R26" s="7" t="n"/>
      <c r="S26" s="7" t="n"/>
      <c r="T26" s="7">
        <f>IF($H26="","",IFERROR($H26*$P26,""))</f>
        <v/>
      </c>
      <c r="U26" s="7" t="n"/>
      <c r="V26" s="7" t="n"/>
      <c r="W26" s="7" t="n"/>
      <c r="X26" s="7">
        <f>IF(OR($U26="",$W26=""),"",($U26+$V26)-$W26)</f>
        <v/>
      </c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9" t="n"/>
      <c r="AJ26" s="8" t="n"/>
      <c r="AK26" s="8" t="n"/>
      <c r="AL26" s="15" t="n"/>
      <c r="AM26" s="15" t="n"/>
      <c r="AN26" s="15" t="n"/>
      <c r="AO26" s="15" t="n"/>
      <c r="AP26" s="10" t="n"/>
      <c r="AQ26" s="15">
        <f>IF($B26="","",IF(OR(ISERROR(MATCH($B26,Community_Master!$A$2:$A$100,0)),$A26="",AND($H26&lt;&gt;"",$I26&gt;$H26),AND($H26&lt;&gt;"",$J26&gt;$H26),$I26&lt;0,$J26&lt;0,$K26&lt;0,$P26&lt;0,$Q26&lt;0,$Y26&lt;0,$Z26&lt;0,$AA26&lt;0,$AB26&lt;0,$AC26&lt;0),"ERROR","OK"))</f>
        <v/>
      </c>
      <c r="AR26" s="15">
        <f>IF($B26="","",TRIM(IF(ISERROR(MATCH($B26,Community_Master!$A$2:$A$100,0)),"Invalid Community_ID; ","")&amp;IF($A26="","Missing Report_Month; ","")&amp;IF(AND($H26&lt;&gt;"",$I26&gt;$H26),"Occupied_Units greater than Total_Units; ","")&amp;IF(AND($H26&lt;&gt;"",$J26&gt;$H26),"Leased_Units greater than Total_Units; ","")&amp;IF($I26&lt;0,"Occupied_Units negative; ","")&amp;IF($J26&lt;0,"Leased_Units negative; ","")&amp;IF($P26&lt;0,"Avg_Market_Rent negative; ","")))</f>
        <v/>
      </c>
    </row>
    <row r="27" ht="15" customHeight="1">
      <c r="A27" s="5" t="n"/>
      <c r="B27" s="15" t="n"/>
      <c r="C27" s="15">
        <f>IFERROR(VLOOKUP($B27,Community_Master!$A$2:$K$100,2,FALSE),"")</f>
        <v/>
      </c>
      <c r="D27" s="15">
        <f>IFERROR(VLOOKUP($B27,Community_Master!$A$2:$K$100,4,FALSE),"")</f>
        <v/>
      </c>
      <c r="E27" s="15">
        <f>IFERROR(VLOOKUP($B27,Community_Master!$A$2:$K$100,5,FALSE),"")</f>
        <v/>
      </c>
      <c r="F27" s="15">
        <f>IFERROR(VLOOKUP($B27,Community_Master!$A$2:$K$100,6,FALSE),"")</f>
        <v/>
      </c>
      <c r="G27" s="15">
        <f>IFERROR(VLOOKUP($B27,Community_Master!$A$2:$K$100,8,FALSE),"")</f>
        <v/>
      </c>
      <c r="H27" s="15" t="n"/>
      <c r="I27" s="15" t="n"/>
      <c r="J27" s="15" t="n"/>
      <c r="K27" s="15" t="n"/>
      <c r="L27" s="15">
        <f>IF($H27="","",MAX($H27-$I27,0))</f>
        <v/>
      </c>
      <c r="M27" s="6">
        <f>IF($H27="","",IFERROR($I27/$H27,""))</f>
        <v/>
      </c>
      <c r="N27" s="6">
        <f>IF($H27="","",IFERROR($J27/$H27,""))</f>
        <v/>
      </c>
      <c r="O27" s="6" t="n"/>
      <c r="P27" s="7" t="n"/>
      <c r="Q27" s="7" t="n"/>
      <c r="R27" s="7" t="n"/>
      <c r="S27" s="7" t="n"/>
      <c r="T27" s="7">
        <f>IF($H27="","",IFERROR($H27*$P27,""))</f>
        <v/>
      </c>
      <c r="U27" s="7" t="n"/>
      <c r="V27" s="7" t="n"/>
      <c r="W27" s="7" t="n"/>
      <c r="X27" s="7">
        <f>IF(OR($U27="",$W27=""),"",($U27+$V27)-$W27)</f>
        <v/>
      </c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9" t="n"/>
      <c r="AJ27" s="8" t="n"/>
      <c r="AK27" s="8" t="n"/>
      <c r="AL27" s="15" t="n"/>
      <c r="AM27" s="15" t="n"/>
      <c r="AN27" s="15" t="n"/>
      <c r="AO27" s="15" t="n"/>
      <c r="AP27" s="10" t="n"/>
      <c r="AQ27" s="15">
        <f>IF($B27="","",IF(OR(ISERROR(MATCH($B27,Community_Master!$A$2:$A$100,0)),$A27="",AND($H27&lt;&gt;"",$I27&gt;$H27),AND($H27&lt;&gt;"",$J27&gt;$H27),$I27&lt;0,$J27&lt;0,$K27&lt;0,$P27&lt;0,$Q27&lt;0,$Y27&lt;0,$Z27&lt;0,$AA27&lt;0,$AB27&lt;0,$AC27&lt;0),"ERROR","OK"))</f>
        <v/>
      </c>
      <c r="AR27" s="15">
        <f>IF($B27="","",TRIM(IF(ISERROR(MATCH($B27,Community_Master!$A$2:$A$100,0)),"Invalid Community_ID; ","")&amp;IF($A27="","Missing Report_Month; ","")&amp;IF(AND($H27&lt;&gt;"",$I27&gt;$H27),"Occupied_Units greater than Total_Units; ","")&amp;IF(AND($H27&lt;&gt;"",$J27&gt;$H27),"Leased_Units greater than Total_Units; ","")&amp;IF($I27&lt;0,"Occupied_Units negative; ","")&amp;IF($J27&lt;0,"Leased_Units negative; ","")&amp;IF($P27&lt;0,"Avg_Market_Rent negative; ","")))</f>
        <v/>
      </c>
    </row>
    <row r="28" ht="15" customHeight="1">
      <c r="A28" s="5" t="n"/>
      <c r="B28" s="15" t="n"/>
      <c r="C28" s="15">
        <f>IFERROR(VLOOKUP($B28,Community_Master!$A$2:$K$100,2,FALSE),"")</f>
        <v/>
      </c>
      <c r="D28" s="15">
        <f>IFERROR(VLOOKUP($B28,Community_Master!$A$2:$K$100,4,FALSE),"")</f>
        <v/>
      </c>
      <c r="E28" s="15">
        <f>IFERROR(VLOOKUP($B28,Community_Master!$A$2:$K$100,5,FALSE),"")</f>
        <v/>
      </c>
      <c r="F28" s="15">
        <f>IFERROR(VLOOKUP($B28,Community_Master!$A$2:$K$100,6,FALSE),"")</f>
        <v/>
      </c>
      <c r="G28" s="15">
        <f>IFERROR(VLOOKUP($B28,Community_Master!$A$2:$K$100,8,FALSE),"")</f>
        <v/>
      </c>
      <c r="H28" s="15" t="n"/>
      <c r="I28" s="15" t="n"/>
      <c r="J28" s="15" t="n"/>
      <c r="K28" s="15" t="n"/>
      <c r="L28" s="15">
        <f>IF($H28="","",MAX($H28-$I28,0))</f>
        <v/>
      </c>
      <c r="M28" s="6">
        <f>IF($H28="","",IFERROR($I28/$H28,""))</f>
        <v/>
      </c>
      <c r="N28" s="6">
        <f>IF($H28="","",IFERROR($J28/$H28,""))</f>
        <v/>
      </c>
      <c r="O28" s="6" t="n"/>
      <c r="P28" s="7" t="n"/>
      <c r="Q28" s="7" t="n"/>
      <c r="R28" s="7" t="n"/>
      <c r="S28" s="7" t="n"/>
      <c r="T28" s="7">
        <f>IF($H28="","",IFERROR($H28*$P28,""))</f>
        <v/>
      </c>
      <c r="U28" s="7" t="n"/>
      <c r="V28" s="7" t="n"/>
      <c r="W28" s="7" t="n"/>
      <c r="X28" s="7">
        <f>IF(OR($U28="",$W28=""),"",($U28+$V28)-$W28)</f>
        <v/>
      </c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9" t="n"/>
      <c r="AJ28" s="8" t="n"/>
      <c r="AK28" s="8" t="n"/>
      <c r="AL28" s="15" t="n"/>
      <c r="AM28" s="15" t="n"/>
      <c r="AN28" s="15" t="n"/>
      <c r="AO28" s="15" t="n"/>
      <c r="AP28" s="10" t="n"/>
      <c r="AQ28" s="15">
        <f>IF($B28="","",IF(OR(ISERROR(MATCH($B28,Community_Master!$A$2:$A$100,0)),$A28="",AND($H28&lt;&gt;"",$I28&gt;$H28),AND($H28&lt;&gt;"",$J28&gt;$H28),$I28&lt;0,$J28&lt;0,$K28&lt;0,$P28&lt;0,$Q28&lt;0,$Y28&lt;0,$Z28&lt;0,$AA28&lt;0,$AB28&lt;0,$AC28&lt;0),"ERROR","OK"))</f>
        <v/>
      </c>
      <c r="AR28" s="15">
        <f>IF($B28="","",TRIM(IF(ISERROR(MATCH($B28,Community_Master!$A$2:$A$100,0)),"Invalid Community_ID; ","")&amp;IF($A28="","Missing Report_Month; ","")&amp;IF(AND($H28&lt;&gt;"",$I28&gt;$H28),"Occupied_Units greater than Total_Units; ","")&amp;IF(AND($H28&lt;&gt;"",$J28&gt;$H28),"Leased_Units greater than Total_Units; ","")&amp;IF($I28&lt;0,"Occupied_Units negative; ","")&amp;IF($J28&lt;0,"Leased_Units negative; ","")&amp;IF($P28&lt;0,"Avg_Market_Rent negative; ","")))</f>
        <v/>
      </c>
    </row>
    <row r="29" ht="15" customHeight="1">
      <c r="A29" s="5" t="n"/>
      <c r="B29" s="15" t="n"/>
      <c r="C29" s="15">
        <f>IFERROR(VLOOKUP($B29,Community_Master!$A$2:$K$100,2,FALSE),"")</f>
        <v/>
      </c>
      <c r="D29" s="15">
        <f>IFERROR(VLOOKUP($B29,Community_Master!$A$2:$K$100,4,FALSE),"")</f>
        <v/>
      </c>
      <c r="E29" s="15">
        <f>IFERROR(VLOOKUP($B29,Community_Master!$A$2:$K$100,5,FALSE),"")</f>
        <v/>
      </c>
      <c r="F29" s="15">
        <f>IFERROR(VLOOKUP($B29,Community_Master!$A$2:$K$100,6,FALSE),"")</f>
        <v/>
      </c>
      <c r="G29" s="15">
        <f>IFERROR(VLOOKUP($B29,Community_Master!$A$2:$K$100,8,FALSE),"")</f>
        <v/>
      </c>
      <c r="H29" s="15" t="n"/>
      <c r="I29" s="15" t="n"/>
      <c r="J29" s="15" t="n"/>
      <c r="K29" s="15" t="n"/>
      <c r="L29" s="15">
        <f>IF($H29="","",MAX($H29-$I29,0))</f>
        <v/>
      </c>
      <c r="M29" s="6">
        <f>IF($H29="","",IFERROR($I29/$H29,""))</f>
        <v/>
      </c>
      <c r="N29" s="6">
        <f>IF($H29="","",IFERROR($J29/$H29,""))</f>
        <v/>
      </c>
      <c r="O29" s="6" t="n"/>
      <c r="P29" s="7" t="n"/>
      <c r="Q29" s="7" t="n"/>
      <c r="R29" s="7" t="n"/>
      <c r="S29" s="7" t="n"/>
      <c r="T29" s="7">
        <f>IF($H29="","",IFERROR($H29*$P29,""))</f>
        <v/>
      </c>
      <c r="U29" s="7" t="n"/>
      <c r="V29" s="7" t="n"/>
      <c r="W29" s="7" t="n"/>
      <c r="X29" s="7">
        <f>IF(OR($U29="",$W29=""),"",($U29+$V29)-$W29)</f>
        <v/>
      </c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9" t="n"/>
      <c r="AJ29" s="8" t="n"/>
      <c r="AK29" s="8" t="n"/>
      <c r="AL29" s="15" t="n"/>
      <c r="AM29" s="15" t="n"/>
      <c r="AN29" s="15" t="n"/>
      <c r="AO29" s="15" t="n"/>
      <c r="AP29" s="10" t="n"/>
      <c r="AQ29" s="15">
        <f>IF($B29="","",IF(OR(ISERROR(MATCH($B29,Community_Master!$A$2:$A$100,0)),$A29="",AND($H29&lt;&gt;"",$I29&gt;$H29),AND($H29&lt;&gt;"",$J29&gt;$H29),$I29&lt;0,$J29&lt;0,$K29&lt;0,$P29&lt;0,$Q29&lt;0,$Y29&lt;0,$Z29&lt;0,$AA29&lt;0,$AB29&lt;0,$AC29&lt;0),"ERROR","OK"))</f>
        <v/>
      </c>
      <c r="AR29" s="15">
        <f>IF($B29="","",TRIM(IF(ISERROR(MATCH($B29,Community_Master!$A$2:$A$100,0)),"Invalid Community_ID; ","")&amp;IF($A29="","Missing Report_Month; ","")&amp;IF(AND($H29&lt;&gt;"",$I29&gt;$H29),"Occupied_Units greater than Total_Units; ","")&amp;IF(AND($H29&lt;&gt;"",$J29&gt;$H29),"Leased_Units greater than Total_Units; ","")&amp;IF($I29&lt;0,"Occupied_Units negative; ","")&amp;IF($J29&lt;0,"Leased_Units negative; ","")&amp;IF($P29&lt;0,"Avg_Market_Rent negative; ","")))</f>
        <v/>
      </c>
    </row>
    <row r="30" ht="15" customHeight="1">
      <c r="A30" s="5" t="n"/>
      <c r="B30" s="15" t="n"/>
      <c r="C30" s="15">
        <f>IFERROR(VLOOKUP($B30,Community_Master!$A$2:$K$100,2,FALSE),"")</f>
        <v/>
      </c>
      <c r="D30" s="15">
        <f>IFERROR(VLOOKUP($B30,Community_Master!$A$2:$K$100,4,FALSE),"")</f>
        <v/>
      </c>
      <c r="E30" s="15">
        <f>IFERROR(VLOOKUP($B30,Community_Master!$A$2:$K$100,5,FALSE),"")</f>
        <v/>
      </c>
      <c r="F30" s="15">
        <f>IFERROR(VLOOKUP($B30,Community_Master!$A$2:$K$100,6,FALSE),"")</f>
        <v/>
      </c>
      <c r="G30" s="15">
        <f>IFERROR(VLOOKUP($B30,Community_Master!$A$2:$K$100,8,FALSE),"")</f>
        <v/>
      </c>
      <c r="H30" s="15" t="n"/>
      <c r="I30" s="15" t="n"/>
      <c r="J30" s="15" t="n"/>
      <c r="K30" s="15" t="n"/>
      <c r="L30" s="15">
        <f>IF($H30="","",MAX($H30-$I30,0))</f>
        <v/>
      </c>
      <c r="M30" s="6">
        <f>IF($H30="","",IFERROR($I30/$H30,""))</f>
        <v/>
      </c>
      <c r="N30" s="6">
        <f>IF($H30="","",IFERROR($J30/$H30,""))</f>
        <v/>
      </c>
      <c r="O30" s="6" t="n"/>
      <c r="P30" s="7" t="n"/>
      <c r="Q30" s="7" t="n"/>
      <c r="R30" s="7" t="n"/>
      <c r="S30" s="7" t="n"/>
      <c r="T30" s="7">
        <f>IF($H30="","",IFERROR($H30*$P30,""))</f>
        <v/>
      </c>
      <c r="U30" s="7" t="n"/>
      <c r="V30" s="7" t="n"/>
      <c r="W30" s="7" t="n"/>
      <c r="X30" s="7">
        <f>IF(OR($U30="",$W30=""),"",($U30+$V30)-$W30)</f>
        <v/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9" t="n"/>
      <c r="AJ30" s="8" t="n"/>
      <c r="AK30" s="8" t="n"/>
      <c r="AL30" s="15" t="n"/>
      <c r="AM30" s="15" t="n"/>
      <c r="AN30" s="15" t="n"/>
      <c r="AO30" s="15" t="n"/>
      <c r="AP30" s="10" t="n"/>
      <c r="AQ30" s="15">
        <f>IF($B30="","",IF(OR(ISERROR(MATCH($B30,Community_Master!$A$2:$A$100,0)),$A30="",AND($H30&lt;&gt;"",$I30&gt;$H30),AND($H30&lt;&gt;"",$J30&gt;$H30),$I30&lt;0,$J30&lt;0,$K30&lt;0,$P30&lt;0,$Q30&lt;0,$Y30&lt;0,$Z30&lt;0,$AA30&lt;0,$AB30&lt;0,$AC30&lt;0),"ERROR","OK"))</f>
        <v/>
      </c>
      <c r="AR30" s="15">
        <f>IF($B30="","",TRIM(IF(ISERROR(MATCH($B30,Community_Master!$A$2:$A$100,0)),"Invalid Community_ID; ","")&amp;IF($A30="","Missing Report_Month; ","")&amp;IF(AND($H30&lt;&gt;"",$I30&gt;$H30),"Occupied_Units greater than Total_Units; ","")&amp;IF(AND($H30&lt;&gt;"",$J30&gt;$H30),"Leased_Units greater than Total_Units; ","")&amp;IF($I30&lt;0,"Occupied_Units negative; ","")&amp;IF($J30&lt;0,"Leased_Units negative; ","")&amp;IF($P30&lt;0,"Avg_Market_Rent negative; ","")))</f>
        <v/>
      </c>
    </row>
    <row r="31" ht="15" customHeight="1">
      <c r="A31" s="5" t="n"/>
      <c r="B31" s="15" t="n"/>
      <c r="C31" s="15">
        <f>IFERROR(VLOOKUP($B31,Community_Master!$A$2:$K$100,2,FALSE),"")</f>
        <v/>
      </c>
      <c r="D31" s="15">
        <f>IFERROR(VLOOKUP($B31,Community_Master!$A$2:$K$100,4,FALSE),"")</f>
        <v/>
      </c>
      <c r="E31" s="15">
        <f>IFERROR(VLOOKUP($B31,Community_Master!$A$2:$K$100,5,FALSE),"")</f>
        <v/>
      </c>
      <c r="F31" s="15">
        <f>IFERROR(VLOOKUP($B31,Community_Master!$A$2:$K$100,6,FALSE),"")</f>
        <v/>
      </c>
      <c r="G31" s="15">
        <f>IFERROR(VLOOKUP($B31,Community_Master!$A$2:$K$100,8,FALSE),"")</f>
        <v/>
      </c>
      <c r="H31" s="15">
        <f>IFERROR(VLOOKUP($B31,Community_Master!$A$2:$K$100,7,FALSE),"")</f>
        <v/>
      </c>
      <c r="I31" s="15" t="n"/>
      <c r="J31" s="15" t="n"/>
      <c r="K31" s="15" t="n"/>
      <c r="L31" s="15">
        <f>IF($H31="","",MAX($H31-$I31,0))</f>
        <v/>
      </c>
      <c r="M31" s="6">
        <f>IF($H31="","",IFERROR($I31/$H31,""))</f>
        <v/>
      </c>
      <c r="N31" s="6">
        <f>IF($H31="","",IFERROR($J31/$H31,""))</f>
        <v/>
      </c>
      <c r="O31" s="6" t="n"/>
      <c r="P31" s="7" t="n"/>
      <c r="Q31" s="7" t="n"/>
      <c r="R31" s="7" t="n"/>
      <c r="S31" s="7" t="n"/>
      <c r="T31" s="7">
        <f>IF($H31="","",IFERROR($H31*$P31,""))</f>
        <v/>
      </c>
      <c r="U31" s="7" t="n"/>
      <c r="V31" s="7" t="n"/>
      <c r="W31" s="7" t="n"/>
      <c r="X31" s="7">
        <f>IF(OR($U31="",$W31=""),"",($U31+$V31)-$W31)</f>
        <v/>
      </c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9" t="n"/>
      <c r="AJ31" s="8" t="n"/>
      <c r="AK31" s="8" t="n"/>
      <c r="AL31" s="15" t="n"/>
      <c r="AM31" s="15" t="n"/>
      <c r="AN31" s="15" t="n"/>
      <c r="AO31" s="15" t="n"/>
      <c r="AP31" s="10" t="n"/>
      <c r="AQ31" s="15">
        <f>IF($B31="","",IF(OR(ISERROR(MATCH($B31,Community_Master!$A$2:$A$100,0)),$A31="",AND($H31&lt;&gt;"",$I31&gt;$H31),AND($H31&lt;&gt;"",$J31&gt;$H31),$I31&lt;0,$J31&lt;0,$K31&lt;0,$P31&lt;0,$Q31&lt;0,$Y31&lt;0,$Z31&lt;0,$AA31&lt;0,$AB31&lt;0,$AC31&lt;0),"ERROR","OK"))</f>
        <v/>
      </c>
      <c r="AR31" s="15">
        <f>IF($B31="","",TRIM(IF(ISERROR(MATCH($B31,Community_Master!$A$2:$A$100,0)),"Invalid Community_ID; ","")&amp;IF($A31="","Missing Report_Month; ","")&amp;IF(AND($H31&lt;&gt;"",$I31&gt;$H31),"Occupied_Units greater than Total_Units; ","")&amp;IF(AND($H31&lt;&gt;"",$J31&gt;$H31),"Leased_Units greater than Total_Units; ","")&amp;IF($I31&lt;0,"Occupied_Units negative; ","")&amp;IF($J31&lt;0,"Leased_Units negative; ","")&amp;IF($P31&lt;0,"Avg_Market_Rent negative; ","")))</f>
        <v/>
      </c>
    </row>
    <row r="32" ht="15" customHeight="1">
      <c r="A32" s="5" t="n"/>
      <c r="B32" s="15" t="n"/>
      <c r="C32" s="15">
        <f>IFERROR(VLOOKUP($B32,Community_Master!$A$2:$K$100,2,FALSE),"")</f>
        <v/>
      </c>
      <c r="D32" s="15">
        <f>IFERROR(VLOOKUP($B32,Community_Master!$A$2:$K$100,4,FALSE),"")</f>
        <v/>
      </c>
      <c r="E32" s="15">
        <f>IFERROR(VLOOKUP($B32,Community_Master!$A$2:$K$100,5,FALSE),"")</f>
        <v/>
      </c>
      <c r="F32" s="15">
        <f>IFERROR(VLOOKUP($B32,Community_Master!$A$2:$K$100,6,FALSE),"")</f>
        <v/>
      </c>
      <c r="G32" s="15">
        <f>IFERROR(VLOOKUP($B32,Community_Master!$A$2:$K$100,8,FALSE),"")</f>
        <v/>
      </c>
      <c r="H32" s="15">
        <f>IFERROR(VLOOKUP($B32,Community_Master!$A$2:$K$100,7,FALSE),"")</f>
        <v/>
      </c>
      <c r="I32" s="15" t="n"/>
      <c r="J32" s="15" t="n"/>
      <c r="K32" s="15" t="n"/>
      <c r="L32" s="15">
        <f>IF($H32="","",MAX($H32-$I32,0))</f>
        <v/>
      </c>
      <c r="M32" s="6">
        <f>IF($H32="","",IFERROR($I32/$H32,""))</f>
        <v/>
      </c>
      <c r="N32" s="6">
        <f>IF($H32="","",IFERROR($J32/$H32,""))</f>
        <v/>
      </c>
      <c r="O32" s="6" t="n"/>
      <c r="P32" s="7" t="n"/>
      <c r="Q32" s="7" t="n"/>
      <c r="R32" s="7" t="n"/>
      <c r="S32" s="7" t="n"/>
      <c r="T32" s="7">
        <f>IF($H32="","",IFERROR($H32*$P32,""))</f>
        <v/>
      </c>
      <c r="U32" s="7" t="n"/>
      <c r="V32" s="7" t="n"/>
      <c r="W32" s="7" t="n"/>
      <c r="X32" s="7">
        <f>IF(OR($U32="",$W32=""),"",($U32+$V32)-$W32)</f>
        <v/>
      </c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9" t="n"/>
      <c r="AJ32" s="8" t="n"/>
      <c r="AK32" s="8" t="n"/>
      <c r="AL32" s="15" t="n"/>
      <c r="AM32" s="15" t="n"/>
      <c r="AN32" s="15" t="n"/>
      <c r="AO32" s="15" t="n"/>
      <c r="AP32" s="10" t="n"/>
      <c r="AQ32" s="15">
        <f>IF($B32="","",IF(OR(ISERROR(MATCH($B32,Community_Master!$A$2:$A$100,0)),$A32="",AND($H32&lt;&gt;"",$I32&gt;$H32),AND($H32&lt;&gt;"",$J32&gt;$H32),$I32&lt;0,$J32&lt;0,$K32&lt;0,$P32&lt;0,$Q32&lt;0,$Y32&lt;0,$Z32&lt;0,$AA32&lt;0,$AB32&lt;0,$AC32&lt;0),"ERROR","OK"))</f>
        <v/>
      </c>
      <c r="AR32" s="15">
        <f>IF($B32="","",TRIM(IF(ISERROR(MATCH($B32,Community_Master!$A$2:$A$100,0)),"Invalid Community_ID; ","")&amp;IF($A32="","Missing Report_Month; ","")&amp;IF(AND($H32&lt;&gt;"",$I32&gt;$H32),"Occupied_Units greater than Total_Units; ","")&amp;IF(AND($H32&lt;&gt;"",$J32&gt;$H32),"Leased_Units greater than Total_Units; ","")&amp;IF($I32&lt;0,"Occupied_Units negative; ","")&amp;IF($J32&lt;0,"Leased_Units negative; ","")&amp;IF($P32&lt;0,"Avg_Market_Rent negative; ","")))</f>
        <v/>
      </c>
    </row>
    <row r="33" ht="15" customHeight="1">
      <c r="A33" s="5" t="n"/>
      <c r="B33" s="15" t="n"/>
      <c r="C33" s="15">
        <f>IFERROR(VLOOKUP($B33,Community_Master!$A$2:$K$100,2,FALSE),"")</f>
        <v/>
      </c>
      <c r="D33" s="15">
        <f>IFERROR(VLOOKUP($B33,Community_Master!$A$2:$K$100,4,FALSE),"")</f>
        <v/>
      </c>
      <c r="E33" s="15">
        <f>IFERROR(VLOOKUP($B33,Community_Master!$A$2:$K$100,5,FALSE),"")</f>
        <v/>
      </c>
      <c r="F33" s="15">
        <f>IFERROR(VLOOKUP($B33,Community_Master!$A$2:$K$100,6,FALSE),"")</f>
        <v/>
      </c>
      <c r="G33" s="15">
        <f>IFERROR(VLOOKUP($B33,Community_Master!$A$2:$K$100,8,FALSE),"")</f>
        <v/>
      </c>
      <c r="H33" s="15">
        <f>IFERROR(VLOOKUP($B33,Community_Master!$A$2:$K$100,7,FALSE),"")</f>
        <v/>
      </c>
      <c r="I33" s="15" t="n"/>
      <c r="J33" s="15" t="n"/>
      <c r="K33" s="15" t="n"/>
      <c r="L33" s="15">
        <f>IF($H33="","",MAX($H33-$I33,0))</f>
        <v/>
      </c>
      <c r="M33" s="6">
        <f>IF($H33="","",IFERROR($I33/$H33,""))</f>
        <v/>
      </c>
      <c r="N33" s="6">
        <f>IF($H33="","",IFERROR($J33/$H33,""))</f>
        <v/>
      </c>
      <c r="O33" s="6" t="n"/>
      <c r="P33" s="7" t="n"/>
      <c r="Q33" s="7" t="n"/>
      <c r="R33" s="7" t="n"/>
      <c r="S33" s="7" t="n"/>
      <c r="T33" s="7">
        <f>IF($H33="","",IFERROR($H33*$P33,""))</f>
        <v/>
      </c>
      <c r="U33" s="7" t="n"/>
      <c r="V33" s="7" t="n"/>
      <c r="W33" s="7" t="n"/>
      <c r="X33" s="7">
        <f>IF(OR($U33="",$W33=""),"",($U33+$V33)-$W33)</f>
        <v/>
      </c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9" t="n"/>
      <c r="AJ33" s="8" t="n"/>
      <c r="AK33" s="8" t="n"/>
      <c r="AL33" s="15" t="n"/>
      <c r="AM33" s="15" t="n"/>
      <c r="AN33" s="15" t="n"/>
      <c r="AO33" s="15" t="n"/>
      <c r="AP33" s="10" t="n"/>
      <c r="AQ33" s="15">
        <f>IF($B33="","",IF(OR(ISERROR(MATCH($B33,Community_Master!$A$2:$A$100,0)),$A33="",AND($H33&lt;&gt;"",$I33&gt;$H33),AND($H33&lt;&gt;"",$J33&gt;$H33),$I33&lt;0,$J33&lt;0,$K33&lt;0,$P33&lt;0,$Q33&lt;0,$Y33&lt;0,$Z33&lt;0,$AA33&lt;0,$AB33&lt;0,$AC33&lt;0),"ERROR","OK"))</f>
        <v/>
      </c>
      <c r="AR33" s="15">
        <f>IF($B33="","",TRIM(IF(ISERROR(MATCH($B33,Community_Master!$A$2:$A$100,0)),"Invalid Community_ID; ","")&amp;IF($A33="","Missing Report_Month; ","")&amp;IF(AND($H33&lt;&gt;"",$I33&gt;$H33),"Occupied_Units greater than Total_Units; ","")&amp;IF(AND($H33&lt;&gt;"",$J33&gt;$H33),"Leased_Units greater than Total_Units; ","")&amp;IF($I33&lt;0,"Occupied_Units negative; ","")&amp;IF($J33&lt;0,"Leased_Units negative; ","")&amp;IF($P33&lt;0,"Avg_Market_Rent negative; ","")))</f>
        <v/>
      </c>
    </row>
    <row r="34" ht="15" customHeight="1">
      <c r="A34" s="5" t="n"/>
      <c r="B34" s="15" t="n"/>
      <c r="C34" s="15">
        <f>IFERROR(VLOOKUP($B34,Community_Master!$A$2:$K$100,2,FALSE),"")</f>
        <v/>
      </c>
      <c r="D34" s="15">
        <f>IFERROR(VLOOKUP($B34,Community_Master!$A$2:$K$100,4,FALSE),"")</f>
        <v/>
      </c>
      <c r="E34" s="15">
        <f>IFERROR(VLOOKUP($B34,Community_Master!$A$2:$K$100,5,FALSE),"")</f>
        <v/>
      </c>
      <c r="F34" s="15">
        <f>IFERROR(VLOOKUP($B34,Community_Master!$A$2:$K$100,6,FALSE),"")</f>
        <v/>
      </c>
      <c r="G34" s="15">
        <f>IFERROR(VLOOKUP($B34,Community_Master!$A$2:$K$100,8,FALSE),"")</f>
        <v/>
      </c>
      <c r="H34" s="15">
        <f>IFERROR(VLOOKUP($B34,Community_Master!$A$2:$K$100,7,FALSE),"")</f>
        <v/>
      </c>
      <c r="I34" s="15" t="n"/>
      <c r="J34" s="15" t="n"/>
      <c r="K34" s="15" t="n"/>
      <c r="L34" s="15">
        <f>IF($H34="","",MAX($H34-$I34,0))</f>
        <v/>
      </c>
      <c r="M34" s="6">
        <f>IF($H34="","",IFERROR($I34/$H34,""))</f>
        <v/>
      </c>
      <c r="N34" s="6">
        <f>IF($H34="","",IFERROR($J34/$H34,""))</f>
        <v/>
      </c>
      <c r="O34" s="6" t="n"/>
      <c r="P34" s="7" t="n"/>
      <c r="Q34" s="7" t="n"/>
      <c r="R34" s="7" t="n"/>
      <c r="S34" s="7" t="n"/>
      <c r="T34" s="7">
        <f>IF($H34="","",IFERROR($H34*$P34,""))</f>
        <v/>
      </c>
      <c r="U34" s="7" t="n"/>
      <c r="V34" s="7" t="n"/>
      <c r="W34" s="7" t="n"/>
      <c r="X34" s="7">
        <f>IF(OR($U34="",$W34=""),"",($U34+$V34)-$W34)</f>
        <v/>
      </c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9" t="n"/>
      <c r="AJ34" s="8" t="n"/>
      <c r="AK34" s="8" t="n"/>
      <c r="AL34" s="15" t="n"/>
      <c r="AM34" s="15" t="n"/>
      <c r="AN34" s="15" t="n"/>
      <c r="AO34" s="15" t="n"/>
      <c r="AP34" s="10" t="n"/>
      <c r="AQ34" s="15">
        <f>IF($B34="","",IF(OR(ISERROR(MATCH($B34,Community_Master!$A$2:$A$100,0)),$A34="",AND($H34&lt;&gt;"",$I34&gt;$H34),AND($H34&lt;&gt;"",$J34&gt;$H34),$I34&lt;0,$J34&lt;0,$K34&lt;0,$P34&lt;0,$Q34&lt;0,$Y34&lt;0,$Z34&lt;0,$AA34&lt;0,$AB34&lt;0,$AC34&lt;0),"ERROR","OK"))</f>
        <v/>
      </c>
      <c r="AR34" s="15">
        <f>IF($B34="","",TRIM(IF(ISERROR(MATCH($B34,Community_Master!$A$2:$A$100,0)),"Invalid Community_ID; ","")&amp;IF($A34="","Missing Report_Month; ","")&amp;IF(AND($H34&lt;&gt;"",$I34&gt;$H34),"Occupied_Units greater than Total_Units; ","")&amp;IF(AND($H34&lt;&gt;"",$J34&gt;$H34),"Leased_Units greater than Total_Units; ","")&amp;IF($I34&lt;0,"Occupied_Units negative; ","")&amp;IF($J34&lt;0,"Leased_Units negative; ","")&amp;IF($P34&lt;0,"Avg_Market_Rent negative; ","")))</f>
        <v/>
      </c>
    </row>
    <row r="35" ht="15" customHeight="1">
      <c r="A35" s="5" t="n"/>
      <c r="B35" s="15" t="n"/>
      <c r="C35" s="15">
        <f>IFERROR(VLOOKUP($B35,Community_Master!$A$2:$K$100,2,FALSE),"")</f>
        <v/>
      </c>
      <c r="D35" s="15">
        <f>IFERROR(VLOOKUP($B35,Community_Master!$A$2:$K$100,4,FALSE),"")</f>
        <v/>
      </c>
      <c r="E35" s="15">
        <f>IFERROR(VLOOKUP($B35,Community_Master!$A$2:$K$100,5,FALSE),"")</f>
        <v/>
      </c>
      <c r="F35" s="15">
        <f>IFERROR(VLOOKUP($B35,Community_Master!$A$2:$K$100,6,FALSE),"")</f>
        <v/>
      </c>
      <c r="G35" s="15">
        <f>IFERROR(VLOOKUP($B35,Community_Master!$A$2:$K$100,8,FALSE),"")</f>
        <v/>
      </c>
      <c r="H35" s="15">
        <f>IFERROR(VLOOKUP($B35,Community_Master!$A$2:$K$100,7,FALSE),"")</f>
        <v/>
      </c>
      <c r="I35" s="15" t="n"/>
      <c r="J35" s="15" t="n"/>
      <c r="K35" s="15" t="n"/>
      <c r="L35" s="15">
        <f>IF($H35="","",MAX($H35-$I35,0))</f>
        <v/>
      </c>
      <c r="M35" s="6">
        <f>IF($H35="","",IFERROR($I35/$H35,""))</f>
        <v/>
      </c>
      <c r="N35" s="6">
        <f>IF($H35="","",IFERROR($J35/$H35,""))</f>
        <v/>
      </c>
      <c r="O35" s="6" t="n"/>
      <c r="P35" s="7" t="n"/>
      <c r="Q35" s="7" t="n"/>
      <c r="R35" s="7" t="n"/>
      <c r="S35" s="7" t="n"/>
      <c r="T35" s="7">
        <f>IF($H35="","",IFERROR($H35*$P35,""))</f>
        <v/>
      </c>
      <c r="U35" s="7" t="n"/>
      <c r="V35" s="7" t="n"/>
      <c r="W35" s="7" t="n"/>
      <c r="X35" s="7">
        <f>IF(OR($U35="",$W35=""),"",($U35+$V35)-$W35)</f>
        <v/>
      </c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9" t="n"/>
      <c r="AJ35" s="8" t="n"/>
      <c r="AK35" s="8" t="n"/>
      <c r="AL35" s="15" t="n"/>
      <c r="AM35" s="15" t="n"/>
      <c r="AN35" s="15" t="n"/>
      <c r="AO35" s="15" t="n"/>
      <c r="AP35" s="10" t="n"/>
      <c r="AQ35" s="15">
        <f>IF($B35="","",IF(OR(ISERROR(MATCH($B35,Community_Master!$A$2:$A$100,0)),$A35="",AND($H35&lt;&gt;"",$I35&gt;$H35),AND($H35&lt;&gt;"",$J35&gt;$H35),$I35&lt;0,$J35&lt;0,$K35&lt;0,$P35&lt;0,$Q35&lt;0,$Y35&lt;0,$Z35&lt;0,$AA35&lt;0,$AB35&lt;0,$AC35&lt;0),"ERROR","OK"))</f>
        <v/>
      </c>
      <c r="AR35" s="15">
        <f>IF($B35="","",TRIM(IF(ISERROR(MATCH($B35,Community_Master!$A$2:$A$100,0)),"Invalid Community_ID; ","")&amp;IF($A35="","Missing Report_Month; ","")&amp;IF(AND($H35&lt;&gt;"",$I35&gt;$H35),"Occupied_Units greater than Total_Units; ","")&amp;IF(AND($H35&lt;&gt;"",$J35&gt;$H35),"Leased_Units greater than Total_Units; ","")&amp;IF($I35&lt;0,"Occupied_Units negative; ","")&amp;IF($J35&lt;0,"Leased_Units negative; ","")&amp;IF($P35&lt;0,"Avg_Market_Rent negative; ","")))</f>
        <v/>
      </c>
    </row>
    <row r="36" ht="15" customHeight="1">
      <c r="A36" s="5" t="n"/>
      <c r="B36" s="15" t="n"/>
      <c r="C36" s="15">
        <f>IFERROR(VLOOKUP($B36,Community_Master!$A$2:$K$100,2,FALSE),"")</f>
        <v/>
      </c>
      <c r="D36" s="15">
        <f>IFERROR(VLOOKUP($B36,Community_Master!$A$2:$K$100,4,FALSE),"")</f>
        <v/>
      </c>
      <c r="E36" s="15">
        <f>IFERROR(VLOOKUP($B36,Community_Master!$A$2:$K$100,5,FALSE),"")</f>
        <v/>
      </c>
      <c r="F36" s="15">
        <f>IFERROR(VLOOKUP($B36,Community_Master!$A$2:$K$100,6,FALSE),"")</f>
        <v/>
      </c>
      <c r="G36" s="15">
        <f>IFERROR(VLOOKUP($B36,Community_Master!$A$2:$K$100,8,FALSE),"")</f>
        <v/>
      </c>
      <c r="H36" s="15">
        <f>IFERROR(VLOOKUP($B36,Community_Master!$A$2:$K$100,7,FALSE),"")</f>
        <v/>
      </c>
      <c r="I36" s="15" t="n"/>
      <c r="J36" s="15" t="n"/>
      <c r="K36" s="15" t="n"/>
      <c r="L36" s="15">
        <f>IF($H36="","",MAX($H36-$I36,0))</f>
        <v/>
      </c>
      <c r="M36" s="6">
        <f>IF($H36="","",IFERROR($I36/$H36,""))</f>
        <v/>
      </c>
      <c r="N36" s="6">
        <f>IF($H36="","",IFERROR($J36/$H36,""))</f>
        <v/>
      </c>
      <c r="O36" s="6" t="n"/>
      <c r="P36" s="7" t="n"/>
      <c r="Q36" s="7" t="n"/>
      <c r="R36" s="7" t="n"/>
      <c r="S36" s="7" t="n"/>
      <c r="T36" s="7">
        <f>IF($H36="","",IFERROR($H36*$P36,""))</f>
        <v/>
      </c>
      <c r="U36" s="7" t="n"/>
      <c r="V36" s="7" t="n"/>
      <c r="W36" s="7" t="n"/>
      <c r="X36" s="7">
        <f>IF(OR($U36="",$W36=""),"",($U36+$V36)-$W36)</f>
        <v/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9" t="n"/>
      <c r="AJ36" s="8" t="n"/>
      <c r="AK36" s="8" t="n"/>
      <c r="AL36" s="15" t="n"/>
      <c r="AM36" s="15" t="n"/>
      <c r="AN36" s="15" t="n"/>
      <c r="AO36" s="15" t="n"/>
      <c r="AP36" s="10" t="n"/>
      <c r="AQ36" s="15">
        <f>IF($B36="","",IF(OR(ISERROR(MATCH($B36,Community_Master!$A$2:$A$100,0)),$A36="",AND($H36&lt;&gt;"",$I36&gt;$H36),AND($H36&lt;&gt;"",$J36&gt;$H36),$I36&lt;0,$J36&lt;0,$K36&lt;0,$P36&lt;0,$Q36&lt;0,$Y36&lt;0,$Z36&lt;0,$AA36&lt;0,$AB36&lt;0,$AC36&lt;0),"ERROR","OK"))</f>
        <v/>
      </c>
      <c r="AR36" s="15">
        <f>IF($B36="","",TRIM(IF(ISERROR(MATCH($B36,Community_Master!$A$2:$A$100,0)),"Invalid Community_ID; ","")&amp;IF($A36="","Missing Report_Month; ","")&amp;IF(AND($H36&lt;&gt;"",$I36&gt;$H36),"Occupied_Units greater than Total_Units; ","")&amp;IF(AND($H36&lt;&gt;"",$J36&gt;$H36),"Leased_Units greater than Total_Units; ","")&amp;IF($I36&lt;0,"Occupied_Units negative; ","")&amp;IF($J36&lt;0,"Leased_Units negative; ","")&amp;IF($P36&lt;0,"Avg_Market_Rent negative; ","")))</f>
        <v/>
      </c>
    </row>
    <row r="37" ht="15" customHeight="1">
      <c r="A37" s="5" t="n"/>
      <c r="B37" s="15" t="n"/>
      <c r="C37" s="15">
        <f>IFERROR(VLOOKUP($B37,Community_Master!$A$2:$K$100,2,FALSE),"")</f>
        <v/>
      </c>
      <c r="D37" s="15">
        <f>IFERROR(VLOOKUP($B37,Community_Master!$A$2:$K$100,4,FALSE),"")</f>
        <v/>
      </c>
      <c r="E37" s="15">
        <f>IFERROR(VLOOKUP($B37,Community_Master!$A$2:$K$100,5,FALSE),"")</f>
        <v/>
      </c>
      <c r="F37" s="15">
        <f>IFERROR(VLOOKUP($B37,Community_Master!$A$2:$K$100,6,FALSE),"")</f>
        <v/>
      </c>
      <c r="G37" s="15">
        <f>IFERROR(VLOOKUP($B37,Community_Master!$A$2:$K$100,8,FALSE),"")</f>
        <v/>
      </c>
      <c r="H37" s="15">
        <f>IFERROR(VLOOKUP($B37,Community_Master!$A$2:$K$100,7,FALSE),"")</f>
        <v/>
      </c>
      <c r="I37" s="15" t="n"/>
      <c r="J37" s="15" t="n"/>
      <c r="K37" s="15" t="n"/>
      <c r="L37" s="15">
        <f>IF($H37="","",MAX($H37-$I37,0))</f>
        <v/>
      </c>
      <c r="M37" s="6">
        <f>IF($H37="","",IFERROR($I37/$H37,""))</f>
        <v/>
      </c>
      <c r="N37" s="6">
        <f>IF($H37="","",IFERROR($J37/$H37,""))</f>
        <v/>
      </c>
      <c r="O37" s="6" t="n"/>
      <c r="P37" s="7" t="n"/>
      <c r="Q37" s="7" t="n"/>
      <c r="R37" s="7" t="n"/>
      <c r="S37" s="7" t="n"/>
      <c r="T37" s="7">
        <f>IF($H37="","",IFERROR($H37*$P37,""))</f>
        <v/>
      </c>
      <c r="U37" s="7" t="n"/>
      <c r="V37" s="7" t="n"/>
      <c r="W37" s="7" t="n"/>
      <c r="X37" s="7">
        <f>IF(OR($U37="",$W37=""),"",($U37+$V37)-$W37)</f>
        <v/>
      </c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9" t="n"/>
      <c r="AJ37" s="8" t="n"/>
      <c r="AK37" s="8" t="n"/>
      <c r="AL37" s="15" t="n"/>
      <c r="AM37" s="15" t="n"/>
      <c r="AN37" s="15" t="n"/>
      <c r="AO37" s="15" t="n"/>
      <c r="AP37" s="10" t="n"/>
      <c r="AQ37" s="15">
        <f>IF($B37="","",IF(OR(ISERROR(MATCH($B37,Community_Master!$A$2:$A$100,0)),$A37="",AND($H37&lt;&gt;"",$I37&gt;$H37),AND($H37&lt;&gt;"",$J37&gt;$H37),$I37&lt;0,$J37&lt;0,$K37&lt;0,$P37&lt;0,$Q37&lt;0,$Y37&lt;0,$Z37&lt;0,$AA37&lt;0,$AB37&lt;0,$AC37&lt;0),"ERROR","OK"))</f>
        <v/>
      </c>
      <c r="AR37" s="15">
        <f>IF($B37="","",TRIM(IF(ISERROR(MATCH($B37,Community_Master!$A$2:$A$100,0)),"Invalid Community_ID; ","")&amp;IF($A37="","Missing Report_Month; ","")&amp;IF(AND($H37&lt;&gt;"",$I37&gt;$H37),"Occupied_Units greater than Total_Units; ","")&amp;IF(AND($H37&lt;&gt;"",$J37&gt;$H37),"Leased_Units greater than Total_Units; ","")&amp;IF($I37&lt;0,"Occupied_Units negative; ","")&amp;IF($J37&lt;0,"Leased_Units negative; ","")&amp;IF($P37&lt;0,"Avg_Market_Rent negative; ","")))</f>
        <v/>
      </c>
    </row>
    <row r="38" ht="15" customHeight="1">
      <c r="A38" s="5" t="n"/>
      <c r="B38" s="15" t="n"/>
      <c r="C38" s="15">
        <f>IFERROR(VLOOKUP($B38,Community_Master!$A$2:$K$100,2,FALSE),"")</f>
        <v/>
      </c>
      <c r="D38" s="15">
        <f>IFERROR(VLOOKUP($B38,Community_Master!$A$2:$K$100,4,FALSE),"")</f>
        <v/>
      </c>
      <c r="E38" s="15">
        <f>IFERROR(VLOOKUP($B38,Community_Master!$A$2:$K$100,5,FALSE),"")</f>
        <v/>
      </c>
      <c r="F38" s="15">
        <f>IFERROR(VLOOKUP($B38,Community_Master!$A$2:$K$100,6,FALSE),"")</f>
        <v/>
      </c>
      <c r="G38" s="15">
        <f>IFERROR(VLOOKUP($B38,Community_Master!$A$2:$K$100,8,FALSE),"")</f>
        <v/>
      </c>
      <c r="H38" s="15">
        <f>IFERROR(VLOOKUP($B38,Community_Master!$A$2:$K$100,7,FALSE),"")</f>
        <v/>
      </c>
      <c r="I38" s="15" t="n"/>
      <c r="J38" s="15" t="n"/>
      <c r="K38" s="15" t="n"/>
      <c r="L38" s="15">
        <f>IF($H38="","",MAX($H38-$I38,0))</f>
        <v/>
      </c>
      <c r="M38" s="6">
        <f>IF($H38="","",IFERROR($I38/$H38,""))</f>
        <v/>
      </c>
      <c r="N38" s="6">
        <f>IF($H38="","",IFERROR($J38/$H38,""))</f>
        <v/>
      </c>
      <c r="O38" s="6" t="n"/>
      <c r="P38" s="7" t="n"/>
      <c r="Q38" s="7" t="n"/>
      <c r="R38" s="7" t="n"/>
      <c r="S38" s="7" t="n"/>
      <c r="T38" s="7">
        <f>IF($H38="","",IFERROR($H38*$P38,""))</f>
        <v/>
      </c>
      <c r="U38" s="7" t="n"/>
      <c r="V38" s="7" t="n"/>
      <c r="W38" s="7" t="n"/>
      <c r="X38" s="7">
        <f>IF(OR($U38="",$W38=""),"",($U38+$V38)-$W38)</f>
        <v/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9" t="n"/>
      <c r="AJ38" s="8" t="n"/>
      <c r="AK38" s="8" t="n"/>
      <c r="AL38" s="15" t="n"/>
      <c r="AM38" s="15" t="n"/>
      <c r="AN38" s="15" t="n"/>
      <c r="AO38" s="15" t="n"/>
      <c r="AP38" s="10" t="n"/>
      <c r="AQ38" s="15">
        <f>IF($B38="","",IF(OR(ISERROR(MATCH($B38,Community_Master!$A$2:$A$100,0)),$A38="",AND($H38&lt;&gt;"",$I38&gt;$H38),AND($H38&lt;&gt;"",$J38&gt;$H38),$I38&lt;0,$J38&lt;0,$K38&lt;0,$P38&lt;0,$Q38&lt;0,$Y38&lt;0,$Z38&lt;0,$AA38&lt;0,$AB38&lt;0,$AC38&lt;0),"ERROR","OK"))</f>
        <v/>
      </c>
      <c r="AR38" s="15">
        <f>IF($B38="","",TRIM(IF(ISERROR(MATCH($B38,Community_Master!$A$2:$A$100,0)),"Invalid Community_ID; ","")&amp;IF($A38="","Missing Report_Month; ","")&amp;IF(AND($H38&lt;&gt;"",$I38&gt;$H38),"Occupied_Units greater than Total_Units; ","")&amp;IF(AND($H38&lt;&gt;"",$J38&gt;$H38),"Leased_Units greater than Total_Units; ","")&amp;IF($I38&lt;0,"Occupied_Units negative; ","")&amp;IF($J38&lt;0,"Leased_Units negative; ","")&amp;IF($P38&lt;0,"Avg_Market_Rent negative; ","")))</f>
        <v/>
      </c>
    </row>
    <row r="39" ht="15" customHeight="1">
      <c r="A39" s="5" t="n"/>
      <c r="B39" s="15" t="n"/>
      <c r="C39" s="15">
        <f>IFERROR(VLOOKUP($B39,Community_Master!$A$2:$K$100,2,FALSE),"")</f>
        <v/>
      </c>
      <c r="D39" s="15">
        <f>IFERROR(VLOOKUP($B39,Community_Master!$A$2:$K$100,4,FALSE),"")</f>
        <v/>
      </c>
      <c r="E39" s="15">
        <f>IFERROR(VLOOKUP($B39,Community_Master!$A$2:$K$100,5,FALSE),"")</f>
        <v/>
      </c>
      <c r="F39" s="15">
        <f>IFERROR(VLOOKUP($B39,Community_Master!$A$2:$K$100,6,FALSE),"")</f>
        <v/>
      </c>
      <c r="G39" s="15">
        <f>IFERROR(VLOOKUP($B39,Community_Master!$A$2:$K$100,8,FALSE),"")</f>
        <v/>
      </c>
      <c r="H39" s="15">
        <f>IFERROR(VLOOKUP($B39,Community_Master!$A$2:$K$100,7,FALSE),"")</f>
        <v/>
      </c>
      <c r="I39" s="15" t="n"/>
      <c r="J39" s="15" t="n"/>
      <c r="K39" s="15" t="n"/>
      <c r="L39" s="15">
        <f>IF($H39="","",MAX($H39-$I39,0))</f>
        <v/>
      </c>
      <c r="M39" s="6">
        <f>IF($H39="","",IFERROR($I39/$H39,""))</f>
        <v/>
      </c>
      <c r="N39" s="6">
        <f>IF($H39="","",IFERROR($J39/$H39,""))</f>
        <v/>
      </c>
      <c r="O39" s="6" t="n"/>
      <c r="P39" s="7" t="n"/>
      <c r="Q39" s="7" t="n"/>
      <c r="R39" s="7" t="n"/>
      <c r="S39" s="7" t="n"/>
      <c r="T39" s="7">
        <f>IF($H39="","",IFERROR($H39*$P39,""))</f>
        <v/>
      </c>
      <c r="U39" s="7" t="n"/>
      <c r="V39" s="7" t="n"/>
      <c r="W39" s="7" t="n"/>
      <c r="X39" s="7">
        <f>IF(OR($U39="",$W39=""),"",($U39+$V39)-$W39)</f>
        <v/>
      </c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9" t="n"/>
      <c r="AJ39" s="8" t="n"/>
      <c r="AK39" s="8" t="n"/>
      <c r="AL39" s="15" t="n"/>
      <c r="AM39" s="15" t="n"/>
      <c r="AN39" s="15" t="n"/>
      <c r="AO39" s="15" t="n"/>
      <c r="AP39" s="10" t="n"/>
      <c r="AQ39" s="15">
        <f>IF($B39="","",IF(OR(ISERROR(MATCH($B39,Community_Master!$A$2:$A$100,0)),$A39="",AND($H39&lt;&gt;"",$I39&gt;$H39),AND($H39&lt;&gt;"",$J39&gt;$H39),$I39&lt;0,$J39&lt;0,$K39&lt;0,$P39&lt;0,$Q39&lt;0,$Y39&lt;0,$Z39&lt;0,$AA39&lt;0,$AB39&lt;0,$AC39&lt;0),"ERROR","OK"))</f>
        <v/>
      </c>
      <c r="AR39" s="15">
        <f>IF($B39="","",TRIM(IF(ISERROR(MATCH($B39,Community_Master!$A$2:$A$100,0)),"Invalid Community_ID; ","")&amp;IF($A39="","Missing Report_Month; ","")&amp;IF(AND($H39&lt;&gt;"",$I39&gt;$H39),"Occupied_Units greater than Total_Units; ","")&amp;IF(AND($H39&lt;&gt;"",$J39&gt;$H39),"Leased_Units greater than Total_Units; ","")&amp;IF($I39&lt;0,"Occupied_Units negative; ","")&amp;IF($J39&lt;0,"Leased_Units negative; ","")&amp;IF($P39&lt;0,"Avg_Market_Rent negative; ","")))</f>
        <v/>
      </c>
    </row>
    <row r="40" ht="15" customHeight="1">
      <c r="A40" s="5" t="n"/>
      <c r="B40" s="15" t="n"/>
      <c r="C40" s="15">
        <f>IFERROR(VLOOKUP($B40,Community_Master!$A$2:$K$100,2,FALSE),"")</f>
        <v/>
      </c>
      <c r="D40" s="15">
        <f>IFERROR(VLOOKUP($B40,Community_Master!$A$2:$K$100,4,FALSE),"")</f>
        <v/>
      </c>
      <c r="E40" s="15">
        <f>IFERROR(VLOOKUP($B40,Community_Master!$A$2:$K$100,5,FALSE),"")</f>
        <v/>
      </c>
      <c r="F40" s="15">
        <f>IFERROR(VLOOKUP($B40,Community_Master!$A$2:$K$100,6,FALSE),"")</f>
        <v/>
      </c>
      <c r="G40" s="15">
        <f>IFERROR(VLOOKUP($B40,Community_Master!$A$2:$K$100,8,FALSE),"")</f>
        <v/>
      </c>
      <c r="H40" s="15">
        <f>IFERROR(VLOOKUP($B40,Community_Master!$A$2:$K$100,7,FALSE),"")</f>
        <v/>
      </c>
      <c r="I40" s="15" t="n"/>
      <c r="J40" s="15" t="n"/>
      <c r="K40" s="15" t="n"/>
      <c r="L40" s="15">
        <f>IF($H40="","",MAX($H40-$I40,0))</f>
        <v/>
      </c>
      <c r="M40" s="6">
        <f>IF($H40="","",IFERROR($I40/$H40,""))</f>
        <v/>
      </c>
      <c r="N40" s="6">
        <f>IF($H40="","",IFERROR($J40/$H40,""))</f>
        <v/>
      </c>
      <c r="O40" s="6" t="n"/>
      <c r="P40" s="7" t="n"/>
      <c r="Q40" s="7" t="n"/>
      <c r="R40" s="7" t="n"/>
      <c r="S40" s="7" t="n"/>
      <c r="T40" s="7">
        <f>IF($H40="","",IFERROR($H40*$P40,""))</f>
        <v/>
      </c>
      <c r="U40" s="7" t="n"/>
      <c r="V40" s="7" t="n"/>
      <c r="W40" s="7" t="n"/>
      <c r="X40" s="7">
        <f>IF(OR($U40="",$W40=""),"",($U40+$V40)-$W40)</f>
        <v/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9" t="n"/>
      <c r="AJ40" s="8" t="n"/>
      <c r="AK40" s="8" t="n"/>
      <c r="AL40" s="15" t="n"/>
      <c r="AM40" s="15" t="n"/>
      <c r="AN40" s="15" t="n"/>
      <c r="AO40" s="15" t="n"/>
      <c r="AP40" s="10" t="n"/>
      <c r="AQ40" s="15">
        <f>IF($B40="","",IF(OR(ISERROR(MATCH($B40,Community_Master!$A$2:$A$100,0)),$A40="",AND($H40&lt;&gt;"",$I40&gt;$H40),AND($H40&lt;&gt;"",$J40&gt;$H40),$I40&lt;0,$J40&lt;0,$K40&lt;0,$P40&lt;0,$Q40&lt;0,$Y40&lt;0,$Z40&lt;0,$AA40&lt;0,$AB40&lt;0,$AC40&lt;0),"ERROR","OK"))</f>
        <v/>
      </c>
      <c r="AR40" s="15">
        <f>IF($B40="","",TRIM(IF(ISERROR(MATCH($B40,Community_Master!$A$2:$A$100,0)),"Invalid Community_ID; ","")&amp;IF($A40="","Missing Report_Month; ","")&amp;IF(AND($H40&lt;&gt;"",$I40&gt;$H40),"Occupied_Units greater than Total_Units; ","")&amp;IF(AND($H40&lt;&gt;"",$J40&gt;$H40),"Leased_Units greater than Total_Units; ","")&amp;IF($I40&lt;0,"Occupied_Units negative; ","")&amp;IF($J40&lt;0,"Leased_Units negative; ","")&amp;IF($P40&lt;0,"Avg_Market_Rent negative; ","")))</f>
        <v/>
      </c>
    </row>
    <row r="41" ht="15" customHeight="1">
      <c r="A41" s="5" t="n"/>
      <c r="B41" s="15" t="n"/>
      <c r="C41" s="15">
        <f>IFERROR(VLOOKUP($B41,Community_Master!$A$2:$K$100,2,FALSE),"")</f>
        <v/>
      </c>
      <c r="D41" s="15">
        <f>IFERROR(VLOOKUP($B41,Community_Master!$A$2:$K$100,4,FALSE),"")</f>
        <v/>
      </c>
      <c r="E41" s="15">
        <f>IFERROR(VLOOKUP($B41,Community_Master!$A$2:$K$100,5,FALSE),"")</f>
        <v/>
      </c>
      <c r="F41" s="15">
        <f>IFERROR(VLOOKUP($B41,Community_Master!$A$2:$K$100,6,FALSE),"")</f>
        <v/>
      </c>
      <c r="G41" s="15">
        <f>IFERROR(VLOOKUP($B41,Community_Master!$A$2:$K$100,8,FALSE),"")</f>
        <v/>
      </c>
      <c r="H41" s="15">
        <f>IFERROR(VLOOKUP($B41,Community_Master!$A$2:$K$100,7,FALSE),"")</f>
        <v/>
      </c>
      <c r="I41" s="15" t="n"/>
      <c r="J41" s="15" t="n"/>
      <c r="K41" s="15" t="n"/>
      <c r="L41" s="15">
        <f>IF($H41="","",MAX($H41-$I41,0))</f>
        <v/>
      </c>
      <c r="M41" s="6">
        <f>IF($H41="","",IFERROR($I41/$H41,""))</f>
        <v/>
      </c>
      <c r="N41" s="6">
        <f>IF($H41="","",IFERROR($J41/$H41,""))</f>
        <v/>
      </c>
      <c r="O41" s="6" t="n"/>
      <c r="P41" s="7" t="n"/>
      <c r="Q41" s="7" t="n"/>
      <c r="R41" s="7" t="n"/>
      <c r="S41" s="7" t="n"/>
      <c r="T41" s="7">
        <f>IF($H41="","",IFERROR($H41*$P41,""))</f>
        <v/>
      </c>
      <c r="U41" s="7" t="n"/>
      <c r="V41" s="7" t="n"/>
      <c r="W41" s="7" t="n"/>
      <c r="X41" s="7">
        <f>IF(OR($U41="",$W41=""),"",($U41+$V41)-$W41)</f>
        <v/>
      </c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9" t="n"/>
      <c r="AJ41" s="8" t="n"/>
      <c r="AK41" s="8" t="n"/>
      <c r="AL41" s="15" t="n"/>
      <c r="AM41" s="15" t="n"/>
      <c r="AN41" s="15" t="n"/>
      <c r="AO41" s="15" t="n"/>
      <c r="AP41" s="10" t="n"/>
      <c r="AQ41" s="15">
        <f>IF($B41="","",IF(OR(ISERROR(MATCH($B41,Community_Master!$A$2:$A$100,0)),$A41="",AND($H41&lt;&gt;"",$I41&gt;$H41),AND($H41&lt;&gt;"",$J41&gt;$H41),$I41&lt;0,$J41&lt;0,$K41&lt;0,$P41&lt;0,$Q41&lt;0,$Y41&lt;0,$Z41&lt;0,$AA41&lt;0,$AB41&lt;0,$AC41&lt;0),"ERROR","OK"))</f>
        <v/>
      </c>
      <c r="AR41" s="15">
        <f>IF($B41="","",TRIM(IF(ISERROR(MATCH($B41,Community_Master!$A$2:$A$100,0)),"Invalid Community_ID; ","")&amp;IF($A41="","Missing Report_Month; ","")&amp;IF(AND($H41&lt;&gt;"",$I41&gt;$H41),"Occupied_Units greater than Total_Units; ","")&amp;IF(AND($H41&lt;&gt;"",$J41&gt;$H41),"Leased_Units greater than Total_Units; ","")&amp;IF($I41&lt;0,"Occupied_Units negative; ","")&amp;IF($J41&lt;0,"Leased_Units negative; ","")&amp;IF($P41&lt;0,"Avg_Market_Rent negative; ","")))</f>
        <v/>
      </c>
    </row>
    <row r="42" ht="15" customHeight="1">
      <c r="A42" s="5" t="n"/>
      <c r="B42" s="15" t="n"/>
      <c r="C42" s="15">
        <f>IFERROR(VLOOKUP($B42,Community_Master!$A$2:$K$100,2,FALSE),"")</f>
        <v/>
      </c>
      <c r="D42" s="15">
        <f>IFERROR(VLOOKUP($B42,Community_Master!$A$2:$K$100,4,FALSE),"")</f>
        <v/>
      </c>
      <c r="E42" s="15">
        <f>IFERROR(VLOOKUP($B42,Community_Master!$A$2:$K$100,5,FALSE),"")</f>
        <v/>
      </c>
      <c r="F42" s="15">
        <f>IFERROR(VLOOKUP($B42,Community_Master!$A$2:$K$100,6,FALSE),"")</f>
        <v/>
      </c>
      <c r="G42" s="15">
        <f>IFERROR(VLOOKUP($B42,Community_Master!$A$2:$K$100,8,FALSE),"")</f>
        <v/>
      </c>
      <c r="H42" s="15">
        <f>IFERROR(VLOOKUP($B42,Community_Master!$A$2:$K$100,7,FALSE),"")</f>
        <v/>
      </c>
      <c r="I42" s="15" t="n"/>
      <c r="J42" s="15" t="n"/>
      <c r="K42" s="15" t="n"/>
      <c r="L42" s="15">
        <f>IF($H42="","",MAX($H42-$I42,0))</f>
        <v/>
      </c>
      <c r="M42" s="6">
        <f>IF($H42="","",IFERROR($I42/$H42,""))</f>
        <v/>
      </c>
      <c r="N42" s="6">
        <f>IF($H42="","",IFERROR($J42/$H42,""))</f>
        <v/>
      </c>
      <c r="O42" s="6" t="n"/>
      <c r="P42" s="7" t="n"/>
      <c r="Q42" s="7" t="n"/>
      <c r="R42" s="7" t="n"/>
      <c r="S42" s="7" t="n"/>
      <c r="T42" s="7">
        <f>IF($H42="","",IFERROR($H42*$P42,""))</f>
        <v/>
      </c>
      <c r="U42" s="7" t="n"/>
      <c r="V42" s="7" t="n"/>
      <c r="W42" s="7" t="n"/>
      <c r="X42" s="7">
        <f>IF(OR($U42="",$W42=""),"",($U42+$V42)-$W42)</f>
        <v/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9" t="n"/>
      <c r="AJ42" s="8" t="n"/>
      <c r="AK42" s="8" t="n"/>
      <c r="AL42" s="15" t="n"/>
      <c r="AM42" s="15" t="n"/>
      <c r="AN42" s="15" t="n"/>
      <c r="AO42" s="15" t="n"/>
      <c r="AP42" s="10" t="n"/>
      <c r="AQ42" s="15">
        <f>IF($B42="","",IF(OR(ISERROR(MATCH($B42,Community_Master!$A$2:$A$100,0)),$A42="",AND($H42&lt;&gt;"",$I42&gt;$H42),AND($H42&lt;&gt;"",$J42&gt;$H42),$I42&lt;0,$J42&lt;0,$K42&lt;0,$P42&lt;0,$Q42&lt;0,$Y42&lt;0,$Z42&lt;0,$AA42&lt;0,$AB42&lt;0,$AC42&lt;0),"ERROR","OK"))</f>
        <v/>
      </c>
      <c r="AR42" s="15">
        <f>IF($B42="","",TRIM(IF(ISERROR(MATCH($B42,Community_Master!$A$2:$A$100,0)),"Invalid Community_ID; ","")&amp;IF($A42="","Missing Report_Month; ","")&amp;IF(AND($H42&lt;&gt;"",$I42&gt;$H42),"Occupied_Units greater than Total_Units; ","")&amp;IF(AND($H42&lt;&gt;"",$J42&gt;$H42),"Leased_Units greater than Total_Units; ","")&amp;IF($I42&lt;0,"Occupied_Units negative; ","")&amp;IF($J42&lt;0,"Leased_Units negative; ","")&amp;IF($P42&lt;0,"Avg_Market_Rent negative; ","")))</f>
        <v/>
      </c>
    </row>
    <row r="43" ht="15" customHeight="1">
      <c r="A43" s="5" t="n"/>
      <c r="B43" s="15" t="n"/>
      <c r="C43" s="15">
        <f>IFERROR(VLOOKUP($B43,Community_Master!$A$2:$K$100,2,FALSE),"")</f>
        <v/>
      </c>
      <c r="D43" s="15">
        <f>IFERROR(VLOOKUP($B43,Community_Master!$A$2:$K$100,4,FALSE),"")</f>
        <v/>
      </c>
      <c r="E43" s="15">
        <f>IFERROR(VLOOKUP($B43,Community_Master!$A$2:$K$100,5,FALSE),"")</f>
        <v/>
      </c>
      <c r="F43" s="15">
        <f>IFERROR(VLOOKUP($B43,Community_Master!$A$2:$K$100,6,FALSE),"")</f>
        <v/>
      </c>
      <c r="G43" s="15">
        <f>IFERROR(VLOOKUP($B43,Community_Master!$A$2:$K$100,8,FALSE),"")</f>
        <v/>
      </c>
      <c r="H43" s="15">
        <f>IFERROR(VLOOKUP($B43,Community_Master!$A$2:$K$100,7,FALSE),"")</f>
        <v/>
      </c>
      <c r="I43" s="15" t="n"/>
      <c r="J43" s="15" t="n"/>
      <c r="K43" s="15" t="n"/>
      <c r="L43" s="15">
        <f>IF($H43="","",MAX($H43-$I43,0))</f>
        <v/>
      </c>
      <c r="M43" s="6">
        <f>IF($H43="","",IFERROR($I43/$H43,""))</f>
        <v/>
      </c>
      <c r="N43" s="6">
        <f>IF($H43="","",IFERROR($J43/$H43,""))</f>
        <v/>
      </c>
      <c r="O43" s="6" t="n"/>
      <c r="P43" s="7" t="n"/>
      <c r="Q43" s="7" t="n"/>
      <c r="R43" s="7" t="n"/>
      <c r="S43" s="7" t="n"/>
      <c r="T43" s="7">
        <f>IF($H43="","",IFERROR($H43*$P43,""))</f>
        <v/>
      </c>
      <c r="U43" s="7" t="n"/>
      <c r="V43" s="7" t="n"/>
      <c r="W43" s="7" t="n"/>
      <c r="X43" s="7">
        <f>IF(OR($U43="",$W43=""),"",($U43+$V43)-$W43)</f>
        <v/>
      </c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9" t="n"/>
      <c r="AJ43" s="8" t="n"/>
      <c r="AK43" s="8" t="n"/>
      <c r="AL43" s="15" t="n"/>
      <c r="AM43" s="15" t="n"/>
      <c r="AN43" s="15" t="n"/>
      <c r="AO43" s="15" t="n"/>
      <c r="AP43" s="10" t="n"/>
      <c r="AQ43" s="15">
        <f>IF($B43="","",IF(OR(ISERROR(MATCH($B43,Community_Master!$A$2:$A$100,0)),$A43="",AND($H43&lt;&gt;"",$I43&gt;$H43),AND($H43&lt;&gt;"",$J43&gt;$H43),$I43&lt;0,$J43&lt;0,$K43&lt;0,$P43&lt;0,$Q43&lt;0,$Y43&lt;0,$Z43&lt;0,$AA43&lt;0,$AB43&lt;0,$AC43&lt;0),"ERROR","OK"))</f>
        <v/>
      </c>
      <c r="AR43" s="15">
        <f>IF($B43="","",TRIM(IF(ISERROR(MATCH($B43,Community_Master!$A$2:$A$100,0)),"Invalid Community_ID; ","")&amp;IF($A43="","Missing Report_Month; ","")&amp;IF(AND($H43&lt;&gt;"",$I43&gt;$H43),"Occupied_Units greater than Total_Units; ","")&amp;IF(AND($H43&lt;&gt;"",$J43&gt;$H43),"Leased_Units greater than Total_Units; ","")&amp;IF($I43&lt;0,"Occupied_Units negative; ","")&amp;IF($J43&lt;0,"Leased_Units negative; ","")&amp;IF($P43&lt;0,"Avg_Market_Rent negative; ","")))</f>
        <v/>
      </c>
    </row>
    <row r="44" ht="15" customHeight="1">
      <c r="A44" s="5" t="n"/>
      <c r="B44" s="15" t="n"/>
      <c r="C44" s="15">
        <f>IFERROR(VLOOKUP($B44,Community_Master!$A$2:$K$100,2,FALSE),"")</f>
        <v/>
      </c>
      <c r="D44" s="15">
        <f>IFERROR(VLOOKUP($B44,Community_Master!$A$2:$K$100,4,FALSE),"")</f>
        <v/>
      </c>
      <c r="E44" s="15">
        <f>IFERROR(VLOOKUP($B44,Community_Master!$A$2:$K$100,5,FALSE),"")</f>
        <v/>
      </c>
      <c r="F44" s="15">
        <f>IFERROR(VLOOKUP($B44,Community_Master!$A$2:$K$100,6,FALSE),"")</f>
        <v/>
      </c>
      <c r="G44" s="15">
        <f>IFERROR(VLOOKUP($B44,Community_Master!$A$2:$K$100,8,FALSE),"")</f>
        <v/>
      </c>
      <c r="H44" s="15">
        <f>IFERROR(VLOOKUP($B44,Community_Master!$A$2:$K$100,7,FALSE),"")</f>
        <v/>
      </c>
      <c r="I44" s="15" t="n"/>
      <c r="J44" s="15" t="n"/>
      <c r="K44" s="15" t="n"/>
      <c r="L44" s="15">
        <f>IF($H44="","",MAX($H44-$I44,0))</f>
        <v/>
      </c>
      <c r="M44" s="6">
        <f>IF($H44="","",IFERROR($I44/$H44,""))</f>
        <v/>
      </c>
      <c r="N44" s="6">
        <f>IF($H44="","",IFERROR($J44/$H44,""))</f>
        <v/>
      </c>
      <c r="O44" s="6" t="n"/>
      <c r="P44" s="7" t="n"/>
      <c r="Q44" s="7" t="n"/>
      <c r="R44" s="7" t="n"/>
      <c r="S44" s="7" t="n"/>
      <c r="T44" s="7">
        <f>IF($H44="","",IFERROR($H44*$P44,""))</f>
        <v/>
      </c>
      <c r="U44" s="7" t="n"/>
      <c r="V44" s="7" t="n"/>
      <c r="W44" s="7" t="n"/>
      <c r="X44" s="7">
        <f>IF(OR($U44="",$W44=""),"",($U44+$V44)-$W44)</f>
        <v/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9" t="n"/>
      <c r="AJ44" s="8" t="n"/>
      <c r="AK44" s="8" t="n"/>
      <c r="AL44" s="15" t="n"/>
      <c r="AM44" s="15" t="n"/>
      <c r="AN44" s="15" t="n"/>
      <c r="AO44" s="15" t="n"/>
      <c r="AP44" s="10" t="n"/>
      <c r="AQ44" s="15">
        <f>IF($B44="","",IF(OR(ISERROR(MATCH($B44,Community_Master!$A$2:$A$100,0)),$A44="",AND($H44&lt;&gt;"",$I44&gt;$H44),AND($H44&lt;&gt;"",$J44&gt;$H44),$I44&lt;0,$J44&lt;0,$K44&lt;0,$P44&lt;0,$Q44&lt;0,$Y44&lt;0,$Z44&lt;0,$AA44&lt;0,$AB44&lt;0,$AC44&lt;0),"ERROR","OK"))</f>
        <v/>
      </c>
      <c r="AR44" s="15">
        <f>IF($B44="","",TRIM(IF(ISERROR(MATCH($B44,Community_Master!$A$2:$A$100,0)),"Invalid Community_ID; ","")&amp;IF($A44="","Missing Report_Month; ","")&amp;IF(AND($H44&lt;&gt;"",$I44&gt;$H44),"Occupied_Units greater than Total_Units; ","")&amp;IF(AND($H44&lt;&gt;"",$J44&gt;$H44),"Leased_Units greater than Total_Units; ","")&amp;IF($I44&lt;0,"Occupied_Units negative; ","")&amp;IF($J44&lt;0,"Leased_Units negative; ","")&amp;IF($P44&lt;0,"Avg_Market_Rent negative; ","")))</f>
        <v/>
      </c>
    </row>
    <row r="45" ht="15" customHeight="1">
      <c r="A45" s="5" t="n"/>
      <c r="B45" s="15" t="n"/>
      <c r="C45" s="15">
        <f>IFERROR(VLOOKUP($B45,Community_Master!$A$2:$K$100,2,FALSE),"")</f>
        <v/>
      </c>
      <c r="D45" s="15">
        <f>IFERROR(VLOOKUP($B45,Community_Master!$A$2:$K$100,4,FALSE),"")</f>
        <v/>
      </c>
      <c r="E45" s="15">
        <f>IFERROR(VLOOKUP($B45,Community_Master!$A$2:$K$100,5,FALSE),"")</f>
        <v/>
      </c>
      <c r="F45" s="15">
        <f>IFERROR(VLOOKUP($B45,Community_Master!$A$2:$K$100,6,FALSE),"")</f>
        <v/>
      </c>
      <c r="G45" s="15">
        <f>IFERROR(VLOOKUP($B45,Community_Master!$A$2:$K$100,8,FALSE),"")</f>
        <v/>
      </c>
      <c r="H45" s="15">
        <f>IFERROR(VLOOKUP($B45,Community_Master!$A$2:$K$100,7,FALSE),"")</f>
        <v/>
      </c>
      <c r="I45" s="15" t="n"/>
      <c r="J45" s="15" t="n"/>
      <c r="K45" s="15" t="n"/>
      <c r="L45" s="15">
        <f>IF($H45="","",MAX($H45-$I45,0))</f>
        <v/>
      </c>
      <c r="M45" s="6">
        <f>IF($H45="","",IFERROR($I45/$H45,""))</f>
        <v/>
      </c>
      <c r="N45" s="6">
        <f>IF($H45="","",IFERROR($J45/$H45,""))</f>
        <v/>
      </c>
      <c r="O45" s="6" t="n"/>
      <c r="P45" s="7" t="n"/>
      <c r="Q45" s="7" t="n"/>
      <c r="R45" s="7" t="n"/>
      <c r="S45" s="7" t="n"/>
      <c r="T45" s="7">
        <f>IF($H45="","",IFERROR($H45*$P45,""))</f>
        <v/>
      </c>
      <c r="U45" s="7" t="n"/>
      <c r="V45" s="7" t="n"/>
      <c r="W45" s="7" t="n"/>
      <c r="X45" s="7">
        <f>IF(OR($U45="",$W45=""),"",($U45+$V45)-$W45)</f>
        <v/>
      </c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9" t="n"/>
      <c r="AJ45" s="8" t="n"/>
      <c r="AK45" s="8" t="n"/>
      <c r="AL45" s="15" t="n"/>
      <c r="AM45" s="15" t="n"/>
      <c r="AN45" s="15" t="n"/>
      <c r="AO45" s="15" t="n"/>
      <c r="AP45" s="10" t="n"/>
      <c r="AQ45" s="15">
        <f>IF($B45="","",IF(OR(ISERROR(MATCH($B45,Community_Master!$A$2:$A$100,0)),$A45="",AND($H45&lt;&gt;"",$I45&gt;$H45),AND($H45&lt;&gt;"",$J45&gt;$H45),$I45&lt;0,$J45&lt;0,$K45&lt;0,$P45&lt;0,$Q45&lt;0,$Y45&lt;0,$Z45&lt;0,$AA45&lt;0,$AB45&lt;0,$AC45&lt;0),"ERROR","OK"))</f>
        <v/>
      </c>
      <c r="AR45" s="15">
        <f>IF($B45="","",TRIM(IF(ISERROR(MATCH($B45,Community_Master!$A$2:$A$100,0)),"Invalid Community_ID; ","")&amp;IF($A45="","Missing Report_Month; ","")&amp;IF(AND($H45&lt;&gt;"",$I45&gt;$H45),"Occupied_Units greater than Total_Units; ","")&amp;IF(AND($H45&lt;&gt;"",$J45&gt;$H45),"Leased_Units greater than Total_Units; ","")&amp;IF($I45&lt;0,"Occupied_Units negative; ","")&amp;IF($J45&lt;0,"Leased_Units negative; ","")&amp;IF($P45&lt;0,"Avg_Market_Rent negative; ","")))</f>
        <v/>
      </c>
    </row>
    <row r="46" ht="15" customHeight="1">
      <c r="A46" s="5" t="n"/>
      <c r="B46" s="15" t="n"/>
      <c r="C46" s="15">
        <f>IFERROR(VLOOKUP($B46,Community_Master!$A$2:$K$100,2,FALSE),"")</f>
        <v/>
      </c>
      <c r="D46" s="15">
        <f>IFERROR(VLOOKUP($B46,Community_Master!$A$2:$K$100,4,FALSE),"")</f>
        <v/>
      </c>
      <c r="E46" s="15">
        <f>IFERROR(VLOOKUP($B46,Community_Master!$A$2:$K$100,5,FALSE),"")</f>
        <v/>
      </c>
      <c r="F46" s="15">
        <f>IFERROR(VLOOKUP($B46,Community_Master!$A$2:$K$100,6,FALSE),"")</f>
        <v/>
      </c>
      <c r="G46" s="15">
        <f>IFERROR(VLOOKUP($B46,Community_Master!$A$2:$K$100,8,FALSE),"")</f>
        <v/>
      </c>
      <c r="H46" s="15">
        <f>IFERROR(VLOOKUP($B46,Community_Master!$A$2:$K$100,7,FALSE),"")</f>
        <v/>
      </c>
      <c r="I46" s="15" t="n"/>
      <c r="J46" s="15" t="n"/>
      <c r="K46" s="15" t="n"/>
      <c r="L46" s="15">
        <f>IF($H46="","",MAX($H46-$I46,0))</f>
        <v/>
      </c>
      <c r="M46" s="6">
        <f>IF($H46="","",IFERROR($I46/$H46,""))</f>
        <v/>
      </c>
      <c r="N46" s="6">
        <f>IF($H46="","",IFERROR($J46/$H46,""))</f>
        <v/>
      </c>
      <c r="O46" s="6" t="n"/>
      <c r="P46" s="7" t="n"/>
      <c r="Q46" s="7" t="n"/>
      <c r="R46" s="7" t="n"/>
      <c r="S46" s="7" t="n"/>
      <c r="T46" s="7">
        <f>IF($H46="","",IFERROR($H46*$P46,""))</f>
        <v/>
      </c>
      <c r="U46" s="7" t="n"/>
      <c r="V46" s="7" t="n"/>
      <c r="W46" s="7" t="n"/>
      <c r="X46" s="7">
        <f>IF(OR($U46="",$W46=""),"",($U46+$V46)-$W46)</f>
        <v/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9" t="n"/>
      <c r="AJ46" s="8" t="n"/>
      <c r="AK46" s="8" t="n"/>
      <c r="AL46" s="15" t="n"/>
      <c r="AM46" s="15" t="n"/>
      <c r="AN46" s="15" t="n"/>
      <c r="AO46" s="15" t="n"/>
      <c r="AP46" s="10" t="n"/>
      <c r="AQ46" s="15">
        <f>IF($B46="","",IF(OR(ISERROR(MATCH($B46,Community_Master!$A$2:$A$100,0)),$A46="",AND($H46&lt;&gt;"",$I46&gt;$H46),AND($H46&lt;&gt;"",$J46&gt;$H46),$I46&lt;0,$J46&lt;0,$K46&lt;0,$P46&lt;0,$Q46&lt;0,$Y46&lt;0,$Z46&lt;0,$AA46&lt;0,$AB46&lt;0,$AC46&lt;0),"ERROR","OK"))</f>
        <v/>
      </c>
      <c r="AR46" s="15">
        <f>IF($B46="","",TRIM(IF(ISERROR(MATCH($B46,Community_Master!$A$2:$A$100,0)),"Invalid Community_ID; ","")&amp;IF($A46="","Missing Report_Month; ","")&amp;IF(AND($H46&lt;&gt;"",$I46&gt;$H46),"Occupied_Units greater than Total_Units; ","")&amp;IF(AND($H46&lt;&gt;"",$J46&gt;$H46),"Leased_Units greater than Total_Units; ","")&amp;IF($I46&lt;0,"Occupied_Units negative; ","")&amp;IF($J46&lt;0,"Leased_Units negative; ","")&amp;IF($P46&lt;0,"Avg_Market_Rent negative; ","")))</f>
        <v/>
      </c>
    </row>
    <row r="47" ht="15" customHeight="1">
      <c r="A47" s="5" t="n"/>
      <c r="B47" s="15" t="n"/>
      <c r="C47" s="15">
        <f>IFERROR(VLOOKUP($B47,Community_Master!$A$2:$K$100,2,FALSE),"")</f>
        <v/>
      </c>
      <c r="D47" s="15">
        <f>IFERROR(VLOOKUP($B47,Community_Master!$A$2:$K$100,4,FALSE),"")</f>
        <v/>
      </c>
      <c r="E47" s="15">
        <f>IFERROR(VLOOKUP($B47,Community_Master!$A$2:$K$100,5,FALSE),"")</f>
        <v/>
      </c>
      <c r="F47" s="15">
        <f>IFERROR(VLOOKUP($B47,Community_Master!$A$2:$K$100,6,FALSE),"")</f>
        <v/>
      </c>
      <c r="G47" s="15">
        <f>IFERROR(VLOOKUP($B47,Community_Master!$A$2:$K$100,8,FALSE),"")</f>
        <v/>
      </c>
      <c r="H47" s="15">
        <f>IFERROR(VLOOKUP($B47,Community_Master!$A$2:$K$100,7,FALSE),"")</f>
        <v/>
      </c>
      <c r="I47" s="15" t="n"/>
      <c r="J47" s="15" t="n"/>
      <c r="K47" s="15" t="n"/>
      <c r="L47" s="15">
        <f>IF($H47="","",MAX($H47-$I47,0))</f>
        <v/>
      </c>
      <c r="M47" s="6">
        <f>IF($H47="","",IFERROR($I47/$H47,""))</f>
        <v/>
      </c>
      <c r="N47" s="6">
        <f>IF($H47="","",IFERROR($J47/$H47,""))</f>
        <v/>
      </c>
      <c r="O47" s="6" t="n"/>
      <c r="P47" s="7" t="n"/>
      <c r="Q47" s="7" t="n"/>
      <c r="R47" s="7" t="n"/>
      <c r="S47" s="7" t="n"/>
      <c r="T47" s="7">
        <f>IF($H47="","",IFERROR($H47*$P47,""))</f>
        <v/>
      </c>
      <c r="U47" s="7" t="n"/>
      <c r="V47" s="7" t="n"/>
      <c r="W47" s="7" t="n"/>
      <c r="X47" s="7">
        <f>IF(OR($U47="",$W47=""),"",($U47+$V47)-$W47)</f>
        <v/>
      </c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9" t="n"/>
      <c r="AJ47" s="8" t="n"/>
      <c r="AK47" s="8" t="n"/>
      <c r="AL47" s="15" t="n"/>
      <c r="AM47" s="15" t="n"/>
      <c r="AN47" s="15" t="n"/>
      <c r="AO47" s="15" t="n"/>
      <c r="AP47" s="10" t="n"/>
      <c r="AQ47" s="15">
        <f>IF($B47="","",IF(OR(ISERROR(MATCH($B47,Community_Master!$A$2:$A$100,0)),$A47="",AND($H47&lt;&gt;"",$I47&gt;$H47),AND($H47&lt;&gt;"",$J47&gt;$H47),$I47&lt;0,$J47&lt;0,$K47&lt;0,$P47&lt;0,$Q47&lt;0,$Y47&lt;0,$Z47&lt;0,$AA47&lt;0,$AB47&lt;0,$AC47&lt;0),"ERROR","OK"))</f>
        <v/>
      </c>
      <c r="AR47" s="15">
        <f>IF($B47="","",TRIM(IF(ISERROR(MATCH($B47,Community_Master!$A$2:$A$100,0)),"Invalid Community_ID; ","")&amp;IF($A47="","Missing Report_Month; ","")&amp;IF(AND($H47&lt;&gt;"",$I47&gt;$H47),"Occupied_Units greater than Total_Units; ","")&amp;IF(AND($H47&lt;&gt;"",$J47&gt;$H47),"Leased_Units greater than Total_Units; ","")&amp;IF($I47&lt;0,"Occupied_Units negative; ","")&amp;IF($J47&lt;0,"Leased_Units negative; ","")&amp;IF($P47&lt;0,"Avg_Market_Rent negative; ","")))</f>
        <v/>
      </c>
    </row>
    <row r="48" ht="15" customHeight="1">
      <c r="A48" s="5" t="n"/>
      <c r="B48" s="15" t="n"/>
      <c r="C48" s="15">
        <f>IFERROR(VLOOKUP($B48,Community_Master!$A$2:$K$100,2,FALSE),"")</f>
        <v/>
      </c>
      <c r="D48" s="15">
        <f>IFERROR(VLOOKUP($B48,Community_Master!$A$2:$K$100,4,FALSE),"")</f>
        <v/>
      </c>
      <c r="E48" s="15">
        <f>IFERROR(VLOOKUP($B48,Community_Master!$A$2:$K$100,5,FALSE),"")</f>
        <v/>
      </c>
      <c r="F48" s="15">
        <f>IFERROR(VLOOKUP($B48,Community_Master!$A$2:$K$100,6,FALSE),"")</f>
        <v/>
      </c>
      <c r="G48" s="15">
        <f>IFERROR(VLOOKUP($B48,Community_Master!$A$2:$K$100,8,FALSE),"")</f>
        <v/>
      </c>
      <c r="H48" s="15">
        <f>IFERROR(VLOOKUP($B48,Community_Master!$A$2:$K$100,7,FALSE),"")</f>
        <v/>
      </c>
      <c r="I48" s="15" t="n"/>
      <c r="J48" s="15" t="n"/>
      <c r="K48" s="15" t="n"/>
      <c r="L48" s="15">
        <f>IF($H48="","",MAX($H48-$I48,0))</f>
        <v/>
      </c>
      <c r="M48" s="6">
        <f>IF($H48="","",IFERROR($I48/$H48,""))</f>
        <v/>
      </c>
      <c r="N48" s="6">
        <f>IF($H48="","",IFERROR($J48/$H48,""))</f>
        <v/>
      </c>
      <c r="O48" s="6" t="n"/>
      <c r="P48" s="7" t="n"/>
      <c r="Q48" s="7" t="n"/>
      <c r="R48" s="7" t="n"/>
      <c r="S48" s="7" t="n"/>
      <c r="T48" s="7">
        <f>IF($H48="","",IFERROR($H48*$P48,""))</f>
        <v/>
      </c>
      <c r="U48" s="7" t="n"/>
      <c r="V48" s="7" t="n"/>
      <c r="W48" s="7" t="n"/>
      <c r="X48" s="7">
        <f>IF(OR($U48="",$W48=""),"",($U48+$V48)-$W48)</f>
        <v/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9" t="n"/>
      <c r="AJ48" s="8" t="n"/>
      <c r="AK48" s="8" t="n"/>
      <c r="AL48" s="15" t="n"/>
      <c r="AM48" s="15" t="n"/>
      <c r="AN48" s="15" t="n"/>
      <c r="AO48" s="15" t="n"/>
      <c r="AP48" s="10" t="n"/>
      <c r="AQ48" s="15">
        <f>IF($B48="","",IF(OR(ISERROR(MATCH($B48,Community_Master!$A$2:$A$100,0)),$A48="",AND($H48&lt;&gt;"",$I48&gt;$H48),AND($H48&lt;&gt;"",$J48&gt;$H48),$I48&lt;0,$J48&lt;0,$K48&lt;0,$P48&lt;0,$Q48&lt;0,$Y48&lt;0,$Z48&lt;0,$AA48&lt;0,$AB48&lt;0,$AC48&lt;0),"ERROR","OK"))</f>
        <v/>
      </c>
      <c r="AR48" s="15">
        <f>IF($B48="","",TRIM(IF(ISERROR(MATCH($B48,Community_Master!$A$2:$A$100,0)),"Invalid Community_ID; ","")&amp;IF($A48="","Missing Report_Month; ","")&amp;IF(AND($H48&lt;&gt;"",$I48&gt;$H48),"Occupied_Units greater than Total_Units; ","")&amp;IF(AND($H48&lt;&gt;"",$J48&gt;$H48),"Leased_Units greater than Total_Units; ","")&amp;IF($I48&lt;0,"Occupied_Units negative; ","")&amp;IF($J48&lt;0,"Leased_Units negative; ","")&amp;IF($P48&lt;0,"Avg_Market_Rent negative; ","")))</f>
        <v/>
      </c>
    </row>
    <row r="49" ht="15" customHeight="1">
      <c r="A49" s="5" t="n"/>
      <c r="B49" s="15" t="n"/>
      <c r="C49" s="15">
        <f>IFERROR(VLOOKUP($B49,Community_Master!$A$2:$K$100,2,FALSE),"")</f>
        <v/>
      </c>
      <c r="D49" s="15">
        <f>IFERROR(VLOOKUP($B49,Community_Master!$A$2:$K$100,4,FALSE),"")</f>
        <v/>
      </c>
      <c r="E49" s="15">
        <f>IFERROR(VLOOKUP($B49,Community_Master!$A$2:$K$100,5,FALSE),"")</f>
        <v/>
      </c>
      <c r="F49" s="15">
        <f>IFERROR(VLOOKUP($B49,Community_Master!$A$2:$K$100,6,FALSE),"")</f>
        <v/>
      </c>
      <c r="G49" s="15">
        <f>IFERROR(VLOOKUP($B49,Community_Master!$A$2:$K$100,8,FALSE),"")</f>
        <v/>
      </c>
      <c r="H49" s="15">
        <f>IFERROR(VLOOKUP($B49,Community_Master!$A$2:$K$100,7,FALSE),"")</f>
        <v/>
      </c>
      <c r="I49" s="15" t="n"/>
      <c r="J49" s="15" t="n"/>
      <c r="K49" s="15" t="n"/>
      <c r="L49" s="15">
        <f>IF($H49="","",MAX($H49-$I49,0))</f>
        <v/>
      </c>
      <c r="M49" s="6">
        <f>IF($H49="","",IFERROR($I49/$H49,""))</f>
        <v/>
      </c>
      <c r="N49" s="6">
        <f>IF($H49="","",IFERROR($J49/$H49,""))</f>
        <v/>
      </c>
      <c r="O49" s="6" t="n"/>
      <c r="P49" s="7" t="n"/>
      <c r="Q49" s="7" t="n"/>
      <c r="R49" s="7" t="n"/>
      <c r="S49" s="7" t="n"/>
      <c r="T49" s="7">
        <f>IF($H49="","",IFERROR($H49*$P49,""))</f>
        <v/>
      </c>
      <c r="U49" s="7" t="n"/>
      <c r="V49" s="7" t="n"/>
      <c r="W49" s="7" t="n"/>
      <c r="X49" s="7">
        <f>IF(OR($U49="",$W49=""),"",($U49+$V49)-$W49)</f>
        <v/>
      </c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9" t="n"/>
      <c r="AJ49" s="8" t="n"/>
      <c r="AK49" s="8" t="n"/>
      <c r="AL49" s="15" t="n"/>
      <c r="AM49" s="15" t="n"/>
      <c r="AN49" s="15" t="n"/>
      <c r="AO49" s="15" t="n"/>
      <c r="AP49" s="10" t="n"/>
      <c r="AQ49" s="15">
        <f>IF($B49="","",IF(OR(ISERROR(MATCH($B49,Community_Master!$A$2:$A$100,0)),$A49="",AND($H49&lt;&gt;"",$I49&gt;$H49),AND($H49&lt;&gt;"",$J49&gt;$H49),$I49&lt;0,$J49&lt;0,$K49&lt;0,$P49&lt;0,$Q49&lt;0,$Y49&lt;0,$Z49&lt;0,$AA49&lt;0,$AB49&lt;0,$AC49&lt;0),"ERROR","OK"))</f>
        <v/>
      </c>
      <c r="AR49" s="15">
        <f>IF($B49="","",TRIM(IF(ISERROR(MATCH($B49,Community_Master!$A$2:$A$100,0)),"Invalid Community_ID; ","")&amp;IF($A49="","Missing Report_Month; ","")&amp;IF(AND($H49&lt;&gt;"",$I49&gt;$H49),"Occupied_Units greater than Total_Units; ","")&amp;IF(AND($H49&lt;&gt;"",$J49&gt;$H49),"Leased_Units greater than Total_Units; ","")&amp;IF($I49&lt;0,"Occupied_Units negative; ","")&amp;IF($J49&lt;0,"Leased_Units negative; ","")&amp;IF($P49&lt;0,"Avg_Market_Rent negative; ","")))</f>
        <v/>
      </c>
    </row>
    <row r="50" ht="15" customHeight="1">
      <c r="A50" s="5" t="n"/>
      <c r="B50" s="15" t="n"/>
      <c r="C50" s="15">
        <f>IFERROR(VLOOKUP($B50,Community_Master!$A$2:$K$100,2,FALSE),"")</f>
        <v/>
      </c>
      <c r="D50" s="15">
        <f>IFERROR(VLOOKUP($B50,Community_Master!$A$2:$K$100,4,FALSE),"")</f>
        <v/>
      </c>
      <c r="E50" s="15">
        <f>IFERROR(VLOOKUP($B50,Community_Master!$A$2:$K$100,5,FALSE),"")</f>
        <v/>
      </c>
      <c r="F50" s="15">
        <f>IFERROR(VLOOKUP($B50,Community_Master!$A$2:$K$100,6,FALSE),"")</f>
        <v/>
      </c>
      <c r="G50" s="15">
        <f>IFERROR(VLOOKUP($B50,Community_Master!$A$2:$K$100,8,FALSE),"")</f>
        <v/>
      </c>
      <c r="H50" s="15">
        <f>IFERROR(VLOOKUP($B50,Community_Master!$A$2:$K$100,7,FALSE),"")</f>
        <v/>
      </c>
      <c r="I50" s="15" t="n"/>
      <c r="J50" s="15" t="n"/>
      <c r="K50" s="15" t="n"/>
      <c r="L50" s="15">
        <f>IF($H50="","",MAX($H50-$I50,0))</f>
        <v/>
      </c>
      <c r="M50" s="6">
        <f>IF($H50="","",IFERROR($I50/$H50,""))</f>
        <v/>
      </c>
      <c r="N50" s="6">
        <f>IF($H50="","",IFERROR($J50/$H50,""))</f>
        <v/>
      </c>
      <c r="O50" s="6" t="n"/>
      <c r="P50" s="7" t="n"/>
      <c r="Q50" s="7" t="n"/>
      <c r="R50" s="7" t="n"/>
      <c r="S50" s="7" t="n"/>
      <c r="T50" s="7">
        <f>IF($H50="","",IFERROR($H50*$P50,""))</f>
        <v/>
      </c>
      <c r="U50" s="7" t="n"/>
      <c r="V50" s="7" t="n"/>
      <c r="W50" s="7" t="n"/>
      <c r="X50" s="7">
        <f>IF(OR($U50="",$W50=""),"",($U50+$V50)-$W50)</f>
        <v/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9" t="n"/>
      <c r="AJ50" s="8" t="n"/>
      <c r="AK50" s="8" t="n"/>
      <c r="AL50" s="15" t="n"/>
      <c r="AM50" s="15" t="n"/>
      <c r="AN50" s="15" t="n"/>
      <c r="AO50" s="15" t="n"/>
      <c r="AP50" s="10" t="n"/>
      <c r="AQ50" s="15">
        <f>IF($B50="","",IF(OR(ISERROR(MATCH($B50,Community_Master!$A$2:$A$100,0)),$A50="",AND($H50&lt;&gt;"",$I50&gt;$H50),AND($H50&lt;&gt;"",$J50&gt;$H50),$I50&lt;0,$J50&lt;0,$K50&lt;0,$P50&lt;0,$Q50&lt;0,$Y50&lt;0,$Z50&lt;0,$AA50&lt;0,$AB50&lt;0,$AC50&lt;0),"ERROR","OK"))</f>
        <v/>
      </c>
      <c r="AR50" s="15">
        <f>IF($B50="","",TRIM(IF(ISERROR(MATCH($B50,Community_Master!$A$2:$A$100,0)),"Invalid Community_ID; ","")&amp;IF($A50="","Missing Report_Month; ","")&amp;IF(AND($H50&lt;&gt;"",$I50&gt;$H50),"Occupied_Units greater than Total_Units; ","")&amp;IF(AND($H50&lt;&gt;"",$J50&gt;$H50),"Leased_Units greater than Total_Units; ","")&amp;IF($I50&lt;0,"Occupied_Units negative; ","")&amp;IF($J50&lt;0,"Leased_Units negative; ","")&amp;IF($P50&lt;0,"Avg_Market_Rent negative; ","")))</f>
        <v/>
      </c>
    </row>
    <row r="51" ht="15" customHeight="1">
      <c r="A51" s="5" t="n"/>
      <c r="B51" s="15" t="n"/>
      <c r="C51" s="15">
        <f>IFERROR(VLOOKUP($B51,Community_Master!$A$2:$K$100,2,FALSE),"")</f>
        <v/>
      </c>
      <c r="D51" s="15">
        <f>IFERROR(VLOOKUP($B51,Community_Master!$A$2:$K$100,4,FALSE),"")</f>
        <v/>
      </c>
      <c r="E51" s="15">
        <f>IFERROR(VLOOKUP($B51,Community_Master!$A$2:$K$100,5,FALSE),"")</f>
        <v/>
      </c>
      <c r="F51" s="15">
        <f>IFERROR(VLOOKUP($B51,Community_Master!$A$2:$K$100,6,FALSE),"")</f>
        <v/>
      </c>
      <c r="G51" s="15">
        <f>IFERROR(VLOOKUP($B51,Community_Master!$A$2:$K$100,8,FALSE),"")</f>
        <v/>
      </c>
      <c r="H51" s="15">
        <f>IFERROR(VLOOKUP($B51,Community_Master!$A$2:$K$100,7,FALSE),"")</f>
        <v/>
      </c>
      <c r="I51" s="15" t="n"/>
      <c r="J51" s="15" t="n"/>
      <c r="K51" s="15" t="n"/>
      <c r="L51" s="15">
        <f>IF($H51="","",MAX($H51-$I51,0))</f>
        <v/>
      </c>
      <c r="M51" s="6">
        <f>IF($H51="","",IFERROR($I51/$H51,""))</f>
        <v/>
      </c>
      <c r="N51" s="6">
        <f>IF($H51="","",IFERROR($J51/$H51,""))</f>
        <v/>
      </c>
      <c r="O51" s="6" t="n"/>
      <c r="P51" s="7" t="n"/>
      <c r="Q51" s="7" t="n"/>
      <c r="R51" s="7" t="n"/>
      <c r="S51" s="7" t="n"/>
      <c r="T51" s="7">
        <f>IF($H51="","",IFERROR($H51*$P51,""))</f>
        <v/>
      </c>
      <c r="U51" s="7" t="n"/>
      <c r="V51" s="7" t="n"/>
      <c r="W51" s="7" t="n"/>
      <c r="X51" s="7">
        <f>IF(OR($U51="",$W51=""),"",($U51+$V51)-$W51)</f>
        <v/>
      </c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9" t="n"/>
      <c r="AJ51" s="8" t="n"/>
      <c r="AK51" s="8" t="n"/>
      <c r="AL51" s="15" t="n"/>
      <c r="AM51" s="15" t="n"/>
      <c r="AN51" s="15" t="n"/>
      <c r="AO51" s="15" t="n"/>
      <c r="AP51" s="10" t="n"/>
      <c r="AQ51" s="15">
        <f>IF($B51="","",IF(OR(ISERROR(MATCH($B51,Community_Master!$A$2:$A$100,0)),$A51="",AND($H51&lt;&gt;"",$I51&gt;$H51),AND($H51&lt;&gt;"",$J51&gt;$H51),$I51&lt;0,$J51&lt;0,$K51&lt;0,$P51&lt;0,$Q51&lt;0,$Y51&lt;0,$Z51&lt;0,$AA51&lt;0,$AB51&lt;0,$AC51&lt;0),"ERROR","OK"))</f>
        <v/>
      </c>
      <c r="AR51" s="15">
        <f>IF($B51="","",TRIM(IF(ISERROR(MATCH($B51,Community_Master!$A$2:$A$100,0)),"Invalid Community_ID; ","")&amp;IF($A51="","Missing Report_Month; ","")&amp;IF(AND($H51&lt;&gt;"",$I51&gt;$H51),"Occupied_Units greater than Total_Units; ","")&amp;IF(AND($H51&lt;&gt;"",$J51&gt;$H51),"Leased_Units greater than Total_Units; ","")&amp;IF($I51&lt;0,"Occupied_Units negative; ","")&amp;IF($J51&lt;0,"Leased_Units negative; ","")&amp;IF($P51&lt;0,"Avg_Market_Rent negative; ","")))</f>
        <v/>
      </c>
    </row>
    <row r="52" ht="15" customHeight="1">
      <c r="A52" s="5" t="n"/>
      <c r="B52" s="15" t="n"/>
      <c r="C52" s="15">
        <f>IFERROR(VLOOKUP($B52,Community_Master!$A$2:$K$100,2,FALSE),"")</f>
        <v/>
      </c>
      <c r="D52" s="15">
        <f>IFERROR(VLOOKUP($B52,Community_Master!$A$2:$K$100,4,FALSE),"")</f>
        <v/>
      </c>
      <c r="E52" s="15">
        <f>IFERROR(VLOOKUP($B52,Community_Master!$A$2:$K$100,5,FALSE),"")</f>
        <v/>
      </c>
      <c r="F52" s="15">
        <f>IFERROR(VLOOKUP($B52,Community_Master!$A$2:$K$100,6,FALSE),"")</f>
        <v/>
      </c>
      <c r="G52" s="15">
        <f>IFERROR(VLOOKUP($B52,Community_Master!$A$2:$K$100,8,FALSE),"")</f>
        <v/>
      </c>
      <c r="H52" s="15">
        <f>IFERROR(VLOOKUP($B52,Community_Master!$A$2:$K$100,7,FALSE),"")</f>
        <v/>
      </c>
      <c r="I52" s="15" t="n"/>
      <c r="J52" s="15" t="n"/>
      <c r="K52" s="15" t="n"/>
      <c r="L52" s="15">
        <f>IF($H52="","",MAX($H52-$I52,0))</f>
        <v/>
      </c>
      <c r="M52" s="6">
        <f>IF($H52="","",IFERROR($I52/$H52,""))</f>
        <v/>
      </c>
      <c r="N52" s="6">
        <f>IF($H52="","",IFERROR($J52/$H52,""))</f>
        <v/>
      </c>
      <c r="O52" s="6" t="n"/>
      <c r="P52" s="7" t="n"/>
      <c r="Q52" s="7" t="n"/>
      <c r="R52" s="7" t="n"/>
      <c r="S52" s="7" t="n"/>
      <c r="T52" s="7">
        <f>IF($H52="","",IFERROR($H52*$P52,""))</f>
        <v/>
      </c>
      <c r="U52" s="7" t="n"/>
      <c r="V52" s="7" t="n"/>
      <c r="W52" s="7" t="n"/>
      <c r="X52" s="7">
        <f>IF(OR($U52="",$W52=""),"",($U52+$V52)-$W52)</f>
        <v/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9" t="n"/>
      <c r="AJ52" s="8" t="n"/>
      <c r="AK52" s="8" t="n"/>
      <c r="AL52" s="15" t="n"/>
      <c r="AM52" s="15" t="n"/>
      <c r="AN52" s="15" t="n"/>
      <c r="AO52" s="15" t="n"/>
      <c r="AP52" s="10" t="n"/>
      <c r="AQ52" s="15">
        <f>IF($B52="","",IF(OR(ISERROR(MATCH($B52,Community_Master!$A$2:$A$100,0)),$A52="",AND($H52&lt;&gt;"",$I52&gt;$H52),AND($H52&lt;&gt;"",$J52&gt;$H52),$I52&lt;0,$J52&lt;0,$K52&lt;0,$P52&lt;0,$Q52&lt;0,$Y52&lt;0,$Z52&lt;0,$AA52&lt;0,$AB52&lt;0,$AC52&lt;0),"ERROR","OK"))</f>
        <v/>
      </c>
      <c r="AR52" s="15">
        <f>IF($B52="","",TRIM(IF(ISERROR(MATCH($B52,Community_Master!$A$2:$A$100,0)),"Invalid Community_ID; ","")&amp;IF($A52="","Missing Report_Month; ","")&amp;IF(AND($H52&lt;&gt;"",$I52&gt;$H52),"Occupied_Units greater than Total_Units; ","")&amp;IF(AND($H52&lt;&gt;"",$J52&gt;$H52),"Leased_Units greater than Total_Units; ","")&amp;IF($I52&lt;0,"Occupied_Units negative; ","")&amp;IF($J52&lt;0,"Leased_Units negative; ","")&amp;IF($P52&lt;0,"Avg_Market_Rent negative; ","")))</f>
        <v/>
      </c>
    </row>
    <row r="53" ht="15" customHeight="1">
      <c r="A53" s="5" t="n"/>
      <c r="B53" s="15" t="n"/>
      <c r="C53" s="15">
        <f>IFERROR(VLOOKUP($B53,Community_Master!$A$2:$K$100,2,FALSE),"")</f>
        <v/>
      </c>
      <c r="D53" s="15">
        <f>IFERROR(VLOOKUP($B53,Community_Master!$A$2:$K$100,4,FALSE),"")</f>
        <v/>
      </c>
      <c r="E53" s="15">
        <f>IFERROR(VLOOKUP($B53,Community_Master!$A$2:$K$100,5,FALSE),"")</f>
        <v/>
      </c>
      <c r="F53" s="15">
        <f>IFERROR(VLOOKUP($B53,Community_Master!$A$2:$K$100,6,FALSE),"")</f>
        <v/>
      </c>
      <c r="G53" s="15">
        <f>IFERROR(VLOOKUP($B53,Community_Master!$A$2:$K$100,8,FALSE),"")</f>
        <v/>
      </c>
      <c r="H53" s="15">
        <f>IFERROR(VLOOKUP($B53,Community_Master!$A$2:$K$100,7,FALSE),"")</f>
        <v/>
      </c>
      <c r="I53" s="15" t="n"/>
      <c r="J53" s="15" t="n"/>
      <c r="K53" s="15" t="n"/>
      <c r="L53" s="15">
        <f>IF($H53="","",MAX($H53-$I53,0))</f>
        <v/>
      </c>
      <c r="M53" s="6">
        <f>IF($H53="","",IFERROR($I53/$H53,""))</f>
        <v/>
      </c>
      <c r="N53" s="6">
        <f>IF($H53="","",IFERROR($J53/$H53,""))</f>
        <v/>
      </c>
      <c r="O53" s="6" t="n"/>
      <c r="P53" s="7" t="n"/>
      <c r="Q53" s="7" t="n"/>
      <c r="R53" s="7" t="n"/>
      <c r="S53" s="7" t="n"/>
      <c r="T53" s="7">
        <f>IF($H53="","",IFERROR($H53*$P53,""))</f>
        <v/>
      </c>
      <c r="U53" s="7" t="n"/>
      <c r="V53" s="7" t="n"/>
      <c r="W53" s="7" t="n"/>
      <c r="X53" s="7">
        <f>IF(OR($U53="",$W53=""),"",($U53+$V53)-$W53)</f>
        <v/>
      </c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9" t="n"/>
      <c r="AJ53" s="8" t="n"/>
      <c r="AK53" s="8" t="n"/>
      <c r="AL53" s="15" t="n"/>
      <c r="AM53" s="15" t="n"/>
      <c r="AN53" s="15" t="n"/>
      <c r="AO53" s="15" t="n"/>
      <c r="AP53" s="10" t="n"/>
      <c r="AQ53" s="15">
        <f>IF($B53="","",IF(OR(ISERROR(MATCH($B53,Community_Master!$A$2:$A$100,0)),$A53="",AND($H53&lt;&gt;"",$I53&gt;$H53),AND($H53&lt;&gt;"",$J53&gt;$H53),$I53&lt;0,$J53&lt;0,$K53&lt;0,$P53&lt;0,$Q53&lt;0,$Y53&lt;0,$Z53&lt;0,$AA53&lt;0,$AB53&lt;0,$AC53&lt;0),"ERROR","OK"))</f>
        <v/>
      </c>
      <c r="AR53" s="15">
        <f>IF($B53="","",TRIM(IF(ISERROR(MATCH($B53,Community_Master!$A$2:$A$100,0)),"Invalid Community_ID; ","")&amp;IF($A53="","Missing Report_Month; ","")&amp;IF(AND($H53&lt;&gt;"",$I53&gt;$H53),"Occupied_Units greater than Total_Units; ","")&amp;IF(AND($H53&lt;&gt;"",$J53&gt;$H53),"Leased_Units greater than Total_Units; ","")&amp;IF($I53&lt;0,"Occupied_Units negative; ","")&amp;IF($J53&lt;0,"Leased_Units negative; ","")&amp;IF($P53&lt;0,"Avg_Market_Rent negative; ","")))</f>
        <v/>
      </c>
    </row>
    <row r="54" ht="15" customHeight="1">
      <c r="A54" s="5" t="n"/>
      <c r="B54" s="15" t="n"/>
      <c r="C54" s="15">
        <f>IFERROR(VLOOKUP($B54,Community_Master!$A$2:$K$100,2,FALSE),"")</f>
        <v/>
      </c>
      <c r="D54" s="15">
        <f>IFERROR(VLOOKUP($B54,Community_Master!$A$2:$K$100,4,FALSE),"")</f>
        <v/>
      </c>
      <c r="E54" s="15">
        <f>IFERROR(VLOOKUP($B54,Community_Master!$A$2:$K$100,5,FALSE),"")</f>
        <v/>
      </c>
      <c r="F54" s="15">
        <f>IFERROR(VLOOKUP($B54,Community_Master!$A$2:$K$100,6,FALSE),"")</f>
        <v/>
      </c>
      <c r="G54" s="15">
        <f>IFERROR(VLOOKUP($B54,Community_Master!$A$2:$K$100,8,FALSE),"")</f>
        <v/>
      </c>
      <c r="H54" s="15">
        <f>IFERROR(VLOOKUP($B54,Community_Master!$A$2:$K$100,7,FALSE),"")</f>
        <v/>
      </c>
      <c r="I54" s="15" t="n"/>
      <c r="J54" s="15" t="n"/>
      <c r="K54" s="15" t="n"/>
      <c r="L54" s="15">
        <f>IF($H54="","",MAX($H54-$I54,0))</f>
        <v/>
      </c>
      <c r="M54" s="6">
        <f>IF($H54="","",IFERROR($I54/$H54,""))</f>
        <v/>
      </c>
      <c r="N54" s="6">
        <f>IF($H54="","",IFERROR($J54/$H54,""))</f>
        <v/>
      </c>
      <c r="O54" s="6" t="n"/>
      <c r="P54" s="7" t="n"/>
      <c r="Q54" s="7" t="n"/>
      <c r="R54" s="7" t="n"/>
      <c r="S54" s="7" t="n"/>
      <c r="T54" s="7">
        <f>IF($H54="","",IFERROR($H54*$P54,""))</f>
        <v/>
      </c>
      <c r="U54" s="7" t="n"/>
      <c r="V54" s="7" t="n"/>
      <c r="W54" s="7" t="n"/>
      <c r="X54" s="7">
        <f>IF(OR($U54="",$W54=""),"",($U54+$V54)-$W54)</f>
        <v/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9" t="n"/>
      <c r="AJ54" s="8" t="n"/>
      <c r="AK54" s="8" t="n"/>
      <c r="AL54" s="15" t="n"/>
      <c r="AM54" s="15" t="n"/>
      <c r="AN54" s="15" t="n"/>
      <c r="AO54" s="15" t="n"/>
      <c r="AP54" s="10" t="n"/>
      <c r="AQ54" s="15">
        <f>IF($B54="","",IF(OR(ISERROR(MATCH($B54,Community_Master!$A$2:$A$100,0)),$A54="",AND($H54&lt;&gt;"",$I54&gt;$H54),AND($H54&lt;&gt;"",$J54&gt;$H54),$I54&lt;0,$J54&lt;0,$K54&lt;0,$P54&lt;0,$Q54&lt;0,$Y54&lt;0,$Z54&lt;0,$AA54&lt;0,$AB54&lt;0,$AC54&lt;0),"ERROR","OK"))</f>
        <v/>
      </c>
      <c r="AR54" s="15">
        <f>IF($B54="","",TRIM(IF(ISERROR(MATCH($B54,Community_Master!$A$2:$A$100,0)),"Invalid Community_ID; ","")&amp;IF($A54="","Missing Report_Month; ","")&amp;IF(AND($H54&lt;&gt;"",$I54&gt;$H54),"Occupied_Units greater than Total_Units; ","")&amp;IF(AND($H54&lt;&gt;"",$J54&gt;$H54),"Leased_Units greater than Total_Units; ","")&amp;IF($I54&lt;0,"Occupied_Units negative; ","")&amp;IF($J54&lt;0,"Leased_Units negative; ","")&amp;IF($P54&lt;0,"Avg_Market_Rent negative; ","")))</f>
        <v/>
      </c>
    </row>
    <row r="55" ht="15" customHeight="1">
      <c r="A55" s="5" t="n"/>
      <c r="B55" s="15" t="n"/>
      <c r="C55" s="15">
        <f>IFERROR(VLOOKUP($B55,Community_Master!$A$2:$K$100,2,FALSE),"")</f>
        <v/>
      </c>
      <c r="D55" s="15">
        <f>IFERROR(VLOOKUP($B55,Community_Master!$A$2:$K$100,4,FALSE),"")</f>
        <v/>
      </c>
      <c r="E55" s="15">
        <f>IFERROR(VLOOKUP($B55,Community_Master!$A$2:$K$100,5,FALSE),"")</f>
        <v/>
      </c>
      <c r="F55" s="15">
        <f>IFERROR(VLOOKUP($B55,Community_Master!$A$2:$K$100,6,FALSE),"")</f>
        <v/>
      </c>
      <c r="G55" s="15">
        <f>IFERROR(VLOOKUP($B55,Community_Master!$A$2:$K$100,8,FALSE),"")</f>
        <v/>
      </c>
      <c r="H55" s="15">
        <f>IFERROR(VLOOKUP($B55,Community_Master!$A$2:$K$100,7,FALSE),"")</f>
        <v/>
      </c>
      <c r="I55" s="15" t="n"/>
      <c r="J55" s="15" t="n"/>
      <c r="K55" s="15" t="n"/>
      <c r="L55" s="15">
        <f>IF($H55="","",MAX($H55-$I55,0))</f>
        <v/>
      </c>
      <c r="M55" s="6">
        <f>IF($H55="","",IFERROR($I55/$H55,""))</f>
        <v/>
      </c>
      <c r="N55" s="6">
        <f>IF($H55="","",IFERROR($J55/$H55,""))</f>
        <v/>
      </c>
      <c r="O55" s="6" t="n"/>
      <c r="P55" s="7" t="n"/>
      <c r="Q55" s="7" t="n"/>
      <c r="R55" s="7" t="n"/>
      <c r="S55" s="7" t="n"/>
      <c r="T55" s="7">
        <f>IF($H55="","",IFERROR($H55*$P55,""))</f>
        <v/>
      </c>
      <c r="U55" s="7" t="n"/>
      <c r="V55" s="7" t="n"/>
      <c r="W55" s="7" t="n"/>
      <c r="X55" s="7">
        <f>IF(OR($U55="",$W55=""),"",($U55+$V55)-$W55)</f>
        <v/>
      </c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9" t="n"/>
      <c r="AJ55" s="8" t="n"/>
      <c r="AK55" s="8" t="n"/>
      <c r="AL55" s="15" t="n"/>
      <c r="AM55" s="15" t="n"/>
      <c r="AN55" s="15" t="n"/>
      <c r="AO55" s="15" t="n"/>
      <c r="AP55" s="10" t="n"/>
      <c r="AQ55" s="15">
        <f>IF($B55="","",IF(OR(ISERROR(MATCH($B55,Community_Master!$A$2:$A$100,0)),$A55="",AND($H55&lt;&gt;"",$I55&gt;$H55),AND($H55&lt;&gt;"",$J55&gt;$H55),$I55&lt;0,$J55&lt;0,$K55&lt;0,$P55&lt;0,$Q55&lt;0,$Y55&lt;0,$Z55&lt;0,$AA55&lt;0,$AB55&lt;0,$AC55&lt;0),"ERROR","OK"))</f>
        <v/>
      </c>
      <c r="AR55" s="15">
        <f>IF($B55="","",TRIM(IF(ISERROR(MATCH($B55,Community_Master!$A$2:$A$100,0)),"Invalid Community_ID; ","")&amp;IF($A55="","Missing Report_Month; ","")&amp;IF(AND($H55&lt;&gt;"",$I55&gt;$H55),"Occupied_Units greater than Total_Units; ","")&amp;IF(AND($H55&lt;&gt;"",$J55&gt;$H55),"Leased_Units greater than Total_Units; ","")&amp;IF($I55&lt;0,"Occupied_Units negative; ","")&amp;IF($J55&lt;0,"Leased_Units negative; ","")&amp;IF($P55&lt;0,"Avg_Market_Rent negative; ","")))</f>
        <v/>
      </c>
    </row>
    <row r="56" ht="15" customHeight="1">
      <c r="A56" s="5" t="n"/>
      <c r="B56" s="15" t="n"/>
      <c r="C56" s="15">
        <f>IFERROR(VLOOKUP($B56,Community_Master!$A$2:$K$100,2,FALSE),"")</f>
        <v/>
      </c>
      <c r="D56" s="15">
        <f>IFERROR(VLOOKUP($B56,Community_Master!$A$2:$K$100,4,FALSE),"")</f>
        <v/>
      </c>
      <c r="E56" s="15">
        <f>IFERROR(VLOOKUP($B56,Community_Master!$A$2:$K$100,5,FALSE),"")</f>
        <v/>
      </c>
      <c r="F56" s="15">
        <f>IFERROR(VLOOKUP($B56,Community_Master!$A$2:$K$100,6,FALSE),"")</f>
        <v/>
      </c>
      <c r="G56" s="15">
        <f>IFERROR(VLOOKUP($B56,Community_Master!$A$2:$K$100,8,FALSE),"")</f>
        <v/>
      </c>
      <c r="H56" s="15">
        <f>IFERROR(VLOOKUP($B56,Community_Master!$A$2:$K$100,7,FALSE),"")</f>
        <v/>
      </c>
      <c r="I56" s="15" t="n"/>
      <c r="J56" s="15" t="n"/>
      <c r="K56" s="15" t="n"/>
      <c r="L56" s="15">
        <f>IF($H56="","",MAX($H56-$I56,0))</f>
        <v/>
      </c>
      <c r="M56" s="6">
        <f>IF($H56="","",IFERROR($I56/$H56,""))</f>
        <v/>
      </c>
      <c r="N56" s="6">
        <f>IF($H56="","",IFERROR($J56/$H56,""))</f>
        <v/>
      </c>
      <c r="O56" s="6" t="n"/>
      <c r="P56" s="7" t="n"/>
      <c r="Q56" s="7" t="n"/>
      <c r="R56" s="7" t="n"/>
      <c r="S56" s="7" t="n"/>
      <c r="T56" s="7">
        <f>IF($H56="","",IFERROR($H56*$P56,""))</f>
        <v/>
      </c>
      <c r="U56" s="7" t="n"/>
      <c r="V56" s="7" t="n"/>
      <c r="W56" s="7" t="n"/>
      <c r="X56" s="7">
        <f>IF(OR($U56="",$W56=""),"",($U56+$V56)-$W56)</f>
        <v/>
      </c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9" t="n"/>
      <c r="AJ56" s="8" t="n"/>
      <c r="AK56" s="8" t="n"/>
      <c r="AL56" s="15" t="n"/>
      <c r="AM56" s="15" t="n"/>
      <c r="AN56" s="15" t="n"/>
      <c r="AO56" s="15" t="n"/>
      <c r="AP56" s="10" t="n"/>
      <c r="AQ56" s="15">
        <f>IF($B56="","",IF(OR(ISERROR(MATCH($B56,Community_Master!$A$2:$A$100,0)),$A56="",AND($H56&lt;&gt;"",$I56&gt;$H56),AND($H56&lt;&gt;"",$J56&gt;$H56),$I56&lt;0,$J56&lt;0,$K56&lt;0,$P56&lt;0,$Q56&lt;0,$Y56&lt;0,$Z56&lt;0,$AA56&lt;0,$AB56&lt;0,$AC56&lt;0),"ERROR","OK"))</f>
        <v/>
      </c>
      <c r="AR56" s="15">
        <f>IF($B56="","",TRIM(IF(ISERROR(MATCH($B56,Community_Master!$A$2:$A$100,0)),"Invalid Community_ID; ","")&amp;IF($A56="","Missing Report_Month; ","")&amp;IF(AND($H56&lt;&gt;"",$I56&gt;$H56),"Occupied_Units greater than Total_Units; ","")&amp;IF(AND($H56&lt;&gt;"",$J56&gt;$H56),"Leased_Units greater than Total_Units; ","")&amp;IF($I56&lt;0,"Occupied_Units negative; ","")&amp;IF($J56&lt;0,"Leased_Units negative; ","")&amp;IF($P56&lt;0,"Avg_Market_Rent negative; ","")))</f>
        <v/>
      </c>
    </row>
    <row r="57" ht="15" customHeight="1">
      <c r="A57" s="5" t="n"/>
      <c r="B57" s="15" t="n"/>
      <c r="C57" s="15">
        <f>IFERROR(VLOOKUP($B57,Community_Master!$A$2:$K$100,2,FALSE),"")</f>
        <v/>
      </c>
      <c r="D57" s="15">
        <f>IFERROR(VLOOKUP($B57,Community_Master!$A$2:$K$100,4,FALSE),"")</f>
        <v/>
      </c>
      <c r="E57" s="15">
        <f>IFERROR(VLOOKUP($B57,Community_Master!$A$2:$K$100,5,FALSE),"")</f>
        <v/>
      </c>
      <c r="F57" s="15">
        <f>IFERROR(VLOOKUP($B57,Community_Master!$A$2:$K$100,6,FALSE),"")</f>
        <v/>
      </c>
      <c r="G57" s="15">
        <f>IFERROR(VLOOKUP($B57,Community_Master!$A$2:$K$100,8,FALSE),"")</f>
        <v/>
      </c>
      <c r="H57" s="15">
        <f>IFERROR(VLOOKUP($B57,Community_Master!$A$2:$K$100,7,FALSE),"")</f>
        <v/>
      </c>
      <c r="I57" s="15" t="n"/>
      <c r="J57" s="15" t="n"/>
      <c r="K57" s="15" t="n"/>
      <c r="L57" s="15">
        <f>IF($H57="","",MAX($H57-$I57,0))</f>
        <v/>
      </c>
      <c r="M57" s="6">
        <f>IF($H57="","",IFERROR($I57/$H57,""))</f>
        <v/>
      </c>
      <c r="N57" s="6">
        <f>IF($H57="","",IFERROR($J57/$H57,""))</f>
        <v/>
      </c>
      <c r="O57" s="6" t="n"/>
      <c r="P57" s="7" t="n"/>
      <c r="Q57" s="7" t="n"/>
      <c r="R57" s="7" t="n"/>
      <c r="S57" s="7" t="n"/>
      <c r="T57" s="7">
        <f>IF($H57="","",IFERROR($H57*$P57,""))</f>
        <v/>
      </c>
      <c r="U57" s="7" t="n"/>
      <c r="V57" s="7" t="n"/>
      <c r="W57" s="7" t="n"/>
      <c r="X57" s="7">
        <f>IF(OR($U57="",$W57=""),"",($U57+$V57)-$W57)</f>
        <v/>
      </c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9" t="n"/>
      <c r="AJ57" s="8" t="n"/>
      <c r="AK57" s="8" t="n"/>
      <c r="AL57" s="15" t="n"/>
      <c r="AM57" s="15" t="n"/>
      <c r="AN57" s="15" t="n"/>
      <c r="AO57" s="15" t="n"/>
      <c r="AP57" s="10" t="n"/>
      <c r="AQ57" s="15">
        <f>IF($B57="","",IF(OR(ISERROR(MATCH($B57,Community_Master!$A$2:$A$100,0)),$A57="",AND($H57&lt;&gt;"",$I57&gt;$H57),AND($H57&lt;&gt;"",$J57&gt;$H57),$I57&lt;0,$J57&lt;0,$K57&lt;0,$P57&lt;0,$Q57&lt;0,$Y57&lt;0,$Z57&lt;0,$AA57&lt;0,$AB57&lt;0,$AC57&lt;0),"ERROR","OK"))</f>
        <v/>
      </c>
      <c r="AR57" s="15">
        <f>IF($B57="","",TRIM(IF(ISERROR(MATCH($B57,Community_Master!$A$2:$A$100,0)),"Invalid Community_ID; ","")&amp;IF($A57="","Missing Report_Month; ","")&amp;IF(AND($H57&lt;&gt;"",$I57&gt;$H57),"Occupied_Units greater than Total_Units; ","")&amp;IF(AND($H57&lt;&gt;"",$J57&gt;$H57),"Leased_Units greater than Total_Units; ","")&amp;IF($I57&lt;0,"Occupied_Units negative; ","")&amp;IF($J57&lt;0,"Leased_Units negative; ","")&amp;IF($P57&lt;0,"Avg_Market_Rent negative; ","")))</f>
        <v/>
      </c>
    </row>
    <row r="58" ht="15" customHeight="1">
      <c r="A58" s="5" t="n"/>
      <c r="B58" s="15" t="n"/>
      <c r="C58" s="15">
        <f>IFERROR(VLOOKUP($B58,Community_Master!$A$2:$K$100,2,FALSE),"")</f>
        <v/>
      </c>
      <c r="D58" s="15">
        <f>IFERROR(VLOOKUP($B58,Community_Master!$A$2:$K$100,4,FALSE),"")</f>
        <v/>
      </c>
      <c r="E58" s="15">
        <f>IFERROR(VLOOKUP($B58,Community_Master!$A$2:$K$100,5,FALSE),"")</f>
        <v/>
      </c>
      <c r="F58" s="15">
        <f>IFERROR(VLOOKUP($B58,Community_Master!$A$2:$K$100,6,FALSE),"")</f>
        <v/>
      </c>
      <c r="G58" s="15">
        <f>IFERROR(VLOOKUP($B58,Community_Master!$A$2:$K$100,8,FALSE),"")</f>
        <v/>
      </c>
      <c r="H58" s="15">
        <f>IFERROR(VLOOKUP($B58,Community_Master!$A$2:$K$100,7,FALSE),"")</f>
        <v/>
      </c>
      <c r="I58" s="15" t="n"/>
      <c r="J58" s="15" t="n"/>
      <c r="K58" s="15" t="n"/>
      <c r="L58" s="15">
        <f>IF($H58="","",MAX($H58-$I58,0))</f>
        <v/>
      </c>
      <c r="M58" s="6">
        <f>IF($H58="","",IFERROR($I58/$H58,""))</f>
        <v/>
      </c>
      <c r="N58" s="6">
        <f>IF($H58="","",IFERROR($J58/$H58,""))</f>
        <v/>
      </c>
      <c r="O58" s="6" t="n"/>
      <c r="P58" s="7" t="n"/>
      <c r="Q58" s="7" t="n"/>
      <c r="R58" s="7" t="n"/>
      <c r="S58" s="7" t="n"/>
      <c r="T58" s="7">
        <f>IF($H58="","",IFERROR($H58*$P58,""))</f>
        <v/>
      </c>
      <c r="U58" s="7" t="n"/>
      <c r="V58" s="7" t="n"/>
      <c r="W58" s="7" t="n"/>
      <c r="X58" s="7">
        <f>IF(OR($U58="",$W58=""),"",($U58+$V58)-$W58)</f>
        <v/>
      </c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9" t="n"/>
      <c r="AJ58" s="8" t="n"/>
      <c r="AK58" s="8" t="n"/>
      <c r="AL58" s="15" t="n"/>
      <c r="AM58" s="15" t="n"/>
      <c r="AN58" s="15" t="n"/>
      <c r="AO58" s="15" t="n"/>
      <c r="AP58" s="10" t="n"/>
      <c r="AQ58" s="15">
        <f>IF($B58="","",IF(OR(ISERROR(MATCH($B58,Community_Master!$A$2:$A$100,0)),$A58="",AND($H58&lt;&gt;"",$I58&gt;$H58),AND($H58&lt;&gt;"",$J58&gt;$H58),$I58&lt;0,$J58&lt;0,$K58&lt;0,$P58&lt;0,$Q58&lt;0,$Y58&lt;0,$Z58&lt;0,$AA58&lt;0,$AB58&lt;0,$AC58&lt;0),"ERROR","OK"))</f>
        <v/>
      </c>
      <c r="AR58" s="15">
        <f>IF($B58="","",TRIM(IF(ISERROR(MATCH($B58,Community_Master!$A$2:$A$100,0)),"Invalid Community_ID; ","")&amp;IF($A58="","Missing Report_Month; ","")&amp;IF(AND($H58&lt;&gt;"",$I58&gt;$H58),"Occupied_Units greater than Total_Units; ","")&amp;IF(AND($H58&lt;&gt;"",$J58&gt;$H58),"Leased_Units greater than Total_Units; ","")&amp;IF($I58&lt;0,"Occupied_Units negative; ","")&amp;IF($J58&lt;0,"Leased_Units negative; ","")&amp;IF($P58&lt;0,"Avg_Market_Rent negative; ","")))</f>
        <v/>
      </c>
    </row>
    <row r="59" ht="15" customHeight="1">
      <c r="A59" s="5" t="n"/>
      <c r="B59" s="15" t="n"/>
      <c r="C59" s="15">
        <f>IFERROR(VLOOKUP($B59,Community_Master!$A$2:$K$100,2,FALSE),"")</f>
        <v/>
      </c>
      <c r="D59" s="15">
        <f>IFERROR(VLOOKUP($B59,Community_Master!$A$2:$K$100,4,FALSE),"")</f>
        <v/>
      </c>
      <c r="E59" s="15">
        <f>IFERROR(VLOOKUP($B59,Community_Master!$A$2:$K$100,5,FALSE),"")</f>
        <v/>
      </c>
      <c r="F59" s="15">
        <f>IFERROR(VLOOKUP($B59,Community_Master!$A$2:$K$100,6,FALSE),"")</f>
        <v/>
      </c>
      <c r="G59" s="15">
        <f>IFERROR(VLOOKUP($B59,Community_Master!$A$2:$K$100,8,FALSE),"")</f>
        <v/>
      </c>
      <c r="H59" s="15">
        <f>IFERROR(VLOOKUP($B59,Community_Master!$A$2:$K$100,7,FALSE),"")</f>
        <v/>
      </c>
      <c r="I59" s="15" t="n"/>
      <c r="J59" s="15" t="n"/>
      <c r="K59" s="15" t="n"/>
      <c r="L59" s="15">
        <f>IF($H59="","",MAX($H59-$I59,0))</f>
        <v/>
      </c>
      <c r="M59" s="6">
        <f>IF($H59="","",IFERROR($I59/$H59,""))</f>
        <v/>
      </c>
      <c r="N59" s="6">
        <f>IF($H59="","",IFERROR($J59/$H59,""))</f>
        <v/>
      </c>
      <c r="O59" s="6" t="n"/>
      <c r="P59" s="7" t="n"/>
      <c r="Q59" s="7" t="n"/>
      <c r="R59" s="7" t="n"/>
      <c r="S59" s="7" t="n"/>
      <c r="T59" s="7">
        <f>IF($H59="","",IFERROR($H59*$P59,""))</f>
        <v/>
      </c>
      <c r="U59" s="7" t="n"/>
      <c r="V59" s="7" t="n"/>
      <c r="W59" s="7" t="n"/>
      <c r="X59" s="7">
        <f>IF(OR($U59="",$W59=""),"",($U59+$V59)-$W59)</f>
        <v/>
      </c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9" t="n"/>
      <c r="AJ59" s="8" t="n"/>
      <c r="AK59" s="8" t="n"/>
      <c r="AL59" s="15" t="n"/>
      <c r="AM59" s="15" t="n"/>
      <c r="AN59" s="15" t="n"/>
      <c r="AO59" s="15" t="n"/>
      <c r="AP59" s="10" t="n"/>
      <c r="AQ59" s="15">
        <f>IF($B59="","",IF(OR(ISERROR(MATCH($B59,Community_Master!$A$2:$A$100,0)),$A59="",AND($H59&lt;&gt;"",$I59&gt;$H59),AND($H59&lt;&gt;"",$J59&gt;$H59),$I59&lt;0,$J59&lt;0,$K59&lt;0,$P59&lt;0,$Q59&lt;0,$Y59&lt;0,$Z59&lt;0,$AA59&lt;0,$AB59&lt;0,$AC59&lt;0),"ERROR","OK"))</f>
        <v/>
      </c>
      <c r="AR59" s="15">
        <f>IF($B59="","",TRIM(IF(ISERROR(MATCH($B59,Community_Master!$A$2:$A$100,0)),"Invalid Community_ID; ","")&amp;IF($A59="","Missing Report_Month; ","")&amp;IF(AND($H59&lt;&gt;"",$I59&gt;$H59),"Occupied_Units greater than Total_Units; ","")&amp;IF(AND($H59&lt;&gt;"",$J59&gt;$H59),"Leased_Units greater than Total_Units; ","")&amp;IF($I59&lt;0,"Occupied_Units negative; ","")&amp;IF($J59&lt;0,"Leased_Units negative; ","")&amp;IF($P59&lt;0,"Avg_Market_Rent negative; ","")))</f>
        <v/>
      </c>
    </row>
    <row r="60" ht="15" customHeight="1">
      <c r="A60" s="5" t="n"/>
      <c r="B60" s="15" t="n"/>
      <c r="C60" s="15">
        <f>IFERROR(VLOOKUP($B60,Community_Master!$A$2:$K$100,2,FALSE),"")</f>
        <v/>
      </c>
      <c r="D60" s="15">
        <f>IFERROR(VLOOKUP($B60,Community_Master!$A$2:$K$100,4,FALSE),"")</f>
        <v/>
      </c>
      <c r="E60" s="15">
        <f>IFERROR(VLOOKUP($B60,Community_Master!$A$2:$K$100,5,FALSE),"")</f>
        <v/>
      </c>
      <c r="F60" s="15">
        <f>IFERROR(VLOOKUP($B60,Community_Master!$A$2:$K$100,6,FALSE),"")</f>
        <v/>
      </c>
      <c r="G60" s="15">
        <f>IFERROR(VLOOKUP($B60,Community_Master!$A$2:$K$100,8,FALSE),"")</f>
        <v/>
      </c>
      <c r="H60" s="15">
        <f>IFERROR(VLOOKUP($B60,Community_Master!$A$2:$K$100,7,FALSE),"")</f>
        <v/>
      </c>
      <c r="I60" s="15" t="n"/>
      <c r="J60" s="15" t="n"/>
      <c r="K60" s="15" t="n"/>
      <c r="L60" s="15">
        <f>IF($H60="","",MAX($H60-$I60,0))</f>
        <v/>
      </c>
      <c r="M60" s="6">
        <f>IF($H60="","",IFERROR($I60/$H60,""))</f>
        <v/>
      </c>
      <c r="N60" s="6">
        <f>IF($H60="","",IFERROR($J60/$H60,""))</f>
        <v/>
      </c>
      <c r="O60" s="6" t="n"/>
      <c r="P60" s="7" t="n"/>
      <c r="Q60" s="7" t="n"/>
      <c r="R60" s="7" t="n"/>
      <c r="S60" s="7" t="n"/>
      <c r="T60" s="7">
        <f>IF($H60="","",IFERROR($H60*$P60,""))</f>
        <v/>
      </c>
      <c r="U60" s="7" t="n"/>
      <c r="V60" s="7" t="n"/>
      <c r="W60" s="7" t="n"/>
      <c r="X60" s="7">
        <f>IF(OR($U60="",$W60=""),"",($U60+$V60)-$W60)</f>
        <v/>
      </c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9" t="n"/>
      <c r="AJ60" s="8" t="n"/>
      <c r="AK60" s="8" t="n"/>
      <c r="AL60" s="15" t="n"/>
      <c r="AM60" s="15" t="n"/>
      <c r="AN60" s="15" t="n"/>
      <c r="AO60" s="15" t="n"/>
      <c r="AP60" s="10" t="n"/>
      <c r="AQ60" s="15">
        <f>IF($B60="","",IF(OR(ISERROR(MATCH($B60,Community_Master!$A$2:$A$100,0)),$A60="",AND($H60&lt;&gt;"",$I60&gt;$H60),AND($H60&lt;&gt;"",$J60&gt;$H60),$I60&lt;0,$J60&lt;0,$K60&lt;0,$P60&lt;0,$Q60&lt;0,$Y60&lt;0,$Z60&lt;0,$AA60&lt;0,$AB60&lt;0,$AC60&lt;0),"ERROR","OK"))</f>
        <v/>
      </c>
      <c r="AR60" s="15">
        <f>IF($B60="","",TRIM(IF(ISERROR(MATCH($B60,Community_Master!$A$2:$A$100,0)),"Invalid Community_ID; ","")&amp;IF($A60="","Missing Report_Month; ","")&amp;IF(AND($H60&lt;&gt;"",$I60&gt;$H60),"Occupied_Units greater than Total_Units; ","")&amp;IF(AND($H60&lt;&gt;"",$J60&gt;$H60),"Leased_Units greater than Total_Units; ","")&amp;IF($I60&lt;0,"Occupied_Units negative; ","")&amp;IF($J60&lt;0,"Leased_Units negative; ","")&amp;IF($P60&lt;0,"Avg_Market_Rent negative; ","")))</f>
        <v/>
      </c>
    </row>
    <row r="61" ht="15" customHeight="1">
      <c r="A61" s="5" t="n"/>
      <c r="B61" s="15" t="n"/>
      <c r="C61" s="15">
        <f>IFERROR(VLOOKUP($B61,Community_Master!$A$2:$K$100,2,FALSE),"")</f>
        <v/>
      </c>
      <c r="D61" s="15">
        <f>IFERROR(VLOOKUP($B61,Community_Master!$A$2:$K$100,4,FALSE),"")</f>
        <v/>
      </c>
      <c r="E61" s="15">
        <f>IFERROR(VLOOKUP($B61,Community_Master!$A$2:$K$100,5,FALSE),"")</f>
        <v/>
      </c>
      <c r="F61" s="15">
        <f>IFERROR(VLOOKUP($B61,Community_Master!$A$2:$K$100,6,FALSE),"")</f>
        <v/>
      </c>
      <c r="G61" s="15">
        <f>IFERROR(VLOOKUP($B61,Community_Master!$A$2:$K$100,8,FALSE),"")</f>
        <v/>
      </c>
      <c r="H61" s="15">
        <f>IFERROR(VLOOKUP($B61,Community_Master!$A$2:$K$100,7,FALSE),"")</f>
        <v/>
      </c>
      <c r="I61" s="15" t="n"/>
      <c r="J61" s="15" t="n"/>
      <c r="K61" s="15" t="n"/>
      <c r="L61" s="15">
        <f>IF($H61="","",MAX($H61-$I61,0))</f>
        <v/>
      </c>
      <c r="M61" s="6">
        <f>IF($H61="","",IFERROR($I61/$H61,""))</f>
        <v/>
      </c>
      <c r="N61" s="6">
        <f>IF($H61="","",IFERROR($J61/$H61,""))</f>
        <v/>
      </c>
      <c r="O61" s="6" t="n"/>
      <c r="P61" s="7" t="n"/>
      <c r="Q61" s="7" t="n"/>
      <c r="R61" s="7" t="n"/>
      <c r="S61" s="7" t="n"/>
      <c r="T61" s="7">
        <f>IF($H61="","",IFERROR($H61*$P61,""))</f>
        <v/>
      </c>
      <c r="U61" s="7" t="n"/>
      <c r="V61" s="7" t="n"/>
      <c r="W61" s="7" t="n"/>
      <c r="X61" s="7">
        <f>IF(OR($U61="",$W61=""),"",($U61+$V61)-$W61)</f>
        <v/>
      </c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9" t="n"/>
      <c r="AJ61" s="8" t="n"/>
      <c r="AK61" s="8" t="n"/>
      <c r="AL61" s="15" t="n"/>
      <c r="AM61" s="15" t="n"/>
      <c r="AN61" s="15" t="n"/>
      <c r="AO61" s="15" t="n"/>
      <c r="AP61" s="10" t="n"/>
      <c r="AQ61" s="15">
        <f>IF($B61="","",IF(OR(ISERROR(MATCH($B61,Community_Master!$A$2:$A$100,0)),$A61="",AND($H61&lt;&gt;"",$I61&gt;$H61),AND($H61&lt;&gt;"",$J61&gt;$H61),$I61&lt;0,$J61&lt;0,$K61&lt;0,$P61&lt;0,$Q61&lt;0,$Y61&lt;0,$Z61&lt;0,$AA61&lt;0,$AB61&lt;0,$AC61&lt;0),"ERROR","OK"))</f>
        <v/>
      </c>
      <c r="AR61" s="15">
        <f>IF($B61="","",TRIM(IF(ISERROR(MATCH($B61,Community_Master!$A$2:$A$100,0)),"Invalid Community_ID; ","")&amp;IF($A61="","Missing Report_Month; ","")&amp;IF(AND($H61&lt;&gt;"",$I61&gt;$H61),"Occupied_Units greater than Total_Units; ","")&amp;IF(AND($H61&lt;&gt;"",$J61&gt;$H61),"Leased_Units greater than Total_Units; ","")&amp;IF($I61&lt;0,"Occupied_Units negative; ","")&amp;IF($J61&lt;0,"Leased_Units negative; ","")&amp;IF($P61&lt;0,"Avg_Market_Rent negative; ","")))</f>
        <v/>
      </c>
    </row>
    <row r="62" ht="15" customHeight="1">
      <c r="A62" s="5" t="n"/>
      <c r="B62" s="15" t="n"/>
      <c r="C62" s="15">
        <f>IFERROR(VLOOKUP($B62,Community_Master!$A$2:$K$100,2,FALSE),"")</f>
        <v/>
      </c>
      <c r="D62" s="15">
        <f>IFERROR(VLOOKUP($B62,Community_Master!$A$2:$K$100,4,FALSE),"")</f>
        <v/>
      </c>
      <c r="E62" s="15">
        <f>IFERROR(VLOOKUP($B62,Community_Master!$A$2:$K$100,5,FALSE),"")</f>
        <v/>
      </c>
      <c r="F62" s="15">
        <f>IFERROR(VLOOKUP($B62,Community_Master!$A$2:$K$100,6,FALSE),"")</f>
        <v/>
      </c>
      <c r="G62" s="15">
        <f>IFERROR(VLOOKUP($B62,Community_Master!$A$2:$K$100,8,FALSE),"")</f>
        <v/>
      </c>
      <c r="H62" s="15">
        <f>IFERROR(VLOOKUP($B62,Community_Master!$A$2:$K$100,7,FALSE),"")</f>
        <v/>
      </c>
      <c r="I62" s="15" t="n"/>
      <c r="J62" s="15" t="n"/>
      <c r="K62" s="15" t="n"/>
      <c r="L62" s="15">
        <f>IF($H62="","",MAX($H62-$I62,0))</f>
        <v/>
      </c>
      <c r="M62" s="6">
        <f>IF($H62="","",IFERROR($I62/$H62,""))</f>
        <v/>
      </c>
      <c r="N62" s="6">
        <f>IF($H62="","",IFERROR($J62/$H62,""))</f>
        <v/>
      </c>
      <c r="O62" s="6" t="n"/>
      <c r="P62" s="7" t="n"/>
      <c r="Q62" s="7" t="n"/>
      <c r="R62" s="7" t="n"/>
      <c r="S62" s="7" t="n"/>
      <c r="T62" s="7">
        <f>IF($H62="","",IFERROR($H62*$P62,""))</f>
        <v/>
      </c>
      <c r="U62" s="7" t="n"/>
      <c r="V62" s="7" t="n"/>
      <c r="W62" s="7" t="n"/>
      <c r="X62" s="7">
        <f>IF(OR($U62="",$W62=""),"",($U62+$V62)-$W62)</f>
        <v/>
      </c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9" t="n"/>
      <c r="AJ62" s="8" t="n"/>
      <c r="AK62" s="8" t="n"/>
      <c r="AL62" s="15" t="n"/>
      <c r="AM62" s="15" t="n"/>
      <c r="AN62" s="15" t="n"/>
      <c r="AO62" s="15" t="n"/>
      <c r="AP62" s="10" t="n"/>
      <c r="AQ62" s="15">
        <f>IF($B62="","",IF(OR(ISERROR(MATCH($B62,Community_Master!$A$2:$A$100,0)),$A62="",AND($H62&lt;&gt;"",$I62&gt;$H62),AND($H62&lt;&gt;"",$J62&gt;$H62),$I62&lt;0,$J62&lt;0,$K62&lt;0,$P62&lt;0,$Q62&lt;0,$Y62&lt;0,$Z62&lt;0,$AA62&lt;0,$AB62&lt;0,$AC62&lt;0),"ERROR","OK"))</f>
        <v/>
      </c>
      <c r="AR62" s="15">
        <f>IF($B62="","",TRIM(IF(ISERROR(MATCH($B62,Community_Master!$A$2:$A$100,0)),"Invalid Community_ID; ","")&amp;IF($A62="","Missing Report_Month; ","")&amp;IF(AND($H62&lt;&gt;"",$I62&gt;$H62),"Occupied_Units greater than Total_Units; ","")&amp;IF(AND($H62&lt;&gt;"",$J62&gt;$H62),"Leased_Units greater than Total_Units; ","")&amp;IF($I62&lt;0,"Occupied_Units negative; ","")&amp;IF($J62&lt;0,"Leased_Units negative; ","")&amp;IF($P62&lt;0,"Avg_Market_Rent negative; ","")))</f>
        <v/>
      </c>
    </row>
    <row r="63" ht="15" customHeight="1">
      <c r="A63" s="5" t="n"/>
      <c r="B63" s="15" t="n"/>
      <c r="C63" s="15">
        <f>IFERROR(VLOOKUP($B63,Community_Master!$A$2:$K$100,2,FALSE),"")</f>
        <v/>
      </c>
      <c r="D63" s="15">
        <f>IFERROR(VLOOKUP($B63,Community_Master!$A$2:$K$100,4,FALSE),"")</f>
        <v/>
      </c>
      <c r="E63" s="15">
        <f>IFERROR(VLOOKUP($B63,Community_Master!$A$2:$K$100,5,FALSE),"")</f>
        <v/>
      </c>
      <c r="F63" s="15">
        <f>IFERROR(VLOOKUP($B63,Community_Master!$A$2:$K$100,6,FALSE),"")</f>
        <v/>
      </c>
      <c r="G63" s="15">
        <f>IFERROR(VLOOKUP($B63,Community_Master!$A$2:$K$100,8,FALSE),"")</f>
        <v/>
      </c>
      <c r="H63" s="15">
        <f>IFERROR(VLOOKUP($B63,Community_Master!$A$2:$K$100,7,FALSE),"")</f>
        <v/>
      </c>
      <c r="I63" s="15" t="n"/>
      <c r="J63" s="15" t="n"/>
      <c r="K63" s="15" t="n"/>
      <c r="L63" s="15">
        <f>IF($H63="","",MAX($H63-$I63,0))</f>
        <v/>
      </c>
      <c r="M63" s="6">
        <f>IF($H63="","",IFERROR($I63/$H63,""))</f>
        <v/>
      </c>
      <c r="N63" s="6">
        <f>IF($H63="","",IFERROR($J63/$H63,""))</f>
        <v/>
      </c>
      <c r="O63" s="6" t="n"/>
      <c r="P63" s="7" t="n"/>
      <c r="Q63" s="7" t="n"/>
      <c r="R63" s="7" t="n"/>
      <c r="S63" s="7" t="n"/>
      <c r="T63" s="7">
        <f>IF($H63="","",IFERROR($H63*$P63,""))</f>
        <v/>
      </c>
      <c r="U63" s="7" t="n"/>
      <c r="V63" s="7" t="n"/>
      <c r="W63" s="7" t="n"/>
      <c r="X63" s="7">
        <f>IF(OR($U63="",$W63=""),"",($U63+$V63)-$W63)</f>
        <v/>
      </c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9" t="n"/>
      <c r="AJ63" s="8" t="n"/>
      <c r="AK63" s="8" t="n"/>
      <c r="AL63" s="15" t="n"/>
      <c r="AM63" s="15" t="n"/>
      <c r="AN63" s="15" t="n"/>
      <c r="AO63" s="15" t="n"/>
      <c r="AP63" s="10" t="n"/>
      <c r="AQ63" s="15">
        <f>IF($B63="","",IF(OR(ISERROR(MATCH($B63,Community_Master!$A$2:$A$100,0)),$A63="",AND($H63&lt;&gt;"",$I63&gt;$H63),AND($H63&lt;&gt;"",$J63&gt;$H63),$I63&lt;0,$J63&lt;0,$K63&lt;0,$P63&lt;0,$Q63&lt;0,$Y63&lt;0,$Z63&lt;0,$AA63&lt;0,$AB63&lt;0,$AC63&lt;0),"ERROR","OK"))</f>
        <v/>
      </c>
      <c r="AR63" s="15">
        <f>IF($B63="","",TRIM(IF(ISERROR(MATCH($B63,Community_Master!$A$2:$A$100,0)),"Invalid Community_ID; ","")&amp;IF($A63="","Missing Report_Month; ","")&amp;IF(AND($H63&lt;&gt;"",$I63&gt;$H63),"Occupied_Units greater than Total_Units; ","")&amp;IF(AND($H63&lt;&gt;"",$J63&gt;$H63),"Leased_Units greater than Total_Units; ","")&amp;IF($I63&lt;0,"Occupied_Units negative; ","")&amp;IF($J63&lt;0,"Leased_Units negative; ","")&amp;IF($P63&lt;0,"Avg_Market_Rent negative; ","")))</f>
        <v/>
      </c>
    </row>
    <row r="64" ht="15" customHeight="1">
      <c r="A64" s="5" t="n"/>
      <c r="B64" s="15" t="n"/>
      <c r="C64" s="15">
        <f>IFERROR(VLOOKUP($B64,Community_Master!$A$2:$K$100,2,FALSE),"")</f>
        <v/>
      </c>
      <c r="D64" s="15">
        <f>IFERROR(VLOOKUP($B64,Community_Master!$A$2:$K$100,4,FALSE),"")</f>
        <v/>
      </c>
      <c r="E64" s="15">
        <f>IFERROR(VLOOKUP($B64,Community_Master!$A$2:$K$100,5,FALSE),"")</f>
        <v/>
      </c>
      <c r="F64" s="15">
        <f>IFERROR(VLOOKUP($B64,Community_Master!$A$2:$K$100,6,FALSE),"")</f>
        <v/>
      </c>
      <c r="G64" s="15">
        <f>IFERROR(VLOOKUP($B64,Community_Master!$A$2:$K$100,8,FALSE),"")</f>
        <v/>
      </c>
      <c r="H64" s="15">
        <f>IFERROR(VLOOKUP($B64,Community_Master!$A$2:$K$100,7,FALSE),"")</f>
        <v/>
      </c>
      <c r="I64" s="15" t="n"/>
      <c r="J64" s="15" t="n"/>
      <c r="K64" s="15" t="n"/>
      <c r="L64" s="15">
        <f>IF($H64="","",MAX($H64-$I64,0))</f>
        <v/>
      </c>
      <c r="M64" s="6">
        <f>IF($H64="","",IFERROR($I64/$H64,""))</f>
        <v/>
      </c>
      <c r="N64" s="6">
        <f>IF($H64="","",IFERROR($J64/$H64,""))</f>
        <v/>
      </c>
      <c r="O64" s="6" t="n"/>
      <c r="P64" s="7" t="n"/>
      <c r="Q64" s="7" t="n"/>
      <c r="R64" s="7" t="n"/>
      <c r="S64" s="7" t="n"/>
      <c r="T64" s="7">
        <f>IF($H64="","",IFERROR($H64*$P64,""))</f>
        <v/>
      </c>
      <c r="U64" s="7" t="n"/>
      <c r="V64" s="7" t="n"/>
      <c r="W64" s="7" t="n"/>
      <c r="X64" s="7">
        <f>IF(OR($U64="",$W64=""),"",($U64+$V64)-$W64)</f>
        <v/>
      </c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9" t="n"/>
      <c r="AJ64" s="8" t="n"/>
      <c r="AK64" s="8" t="n"/>
      <c r="AL64" s="15" t="n"/>
      <c r="AM64" s="15" t="n"/>
      <c r="AN64" s="15" t="n"/>
      <c r="AO64" s="15" t="n"/>
      <c r="AP64" s="10" t="n"/>
      <c r="AQ64" s="15">
        <f>IF($B64="","",IF(OR(ISERROR(MATCH($B64,Community_Master!$A$2:$A$100,0)),$A64="",AND($H64&lt;&gt;"",$I64&gt;$H64),AND($H64&lt;&gt;"",$J64&gt;$H64),$I64&lt;0,$J64&lt;0,$K64&lt;0,$P64&lt;0,$Q64&lt;0,$Y64&lt;0,$Z64&lt;0,$AA64&lt;0,$AB64&lt;0,$AC64&lt;0),"ERROR","OK"))</f>
        <v/>
      </c>
      <c r="AR64" s="15">
        <f>IF($B64="","",TRIM(IF(ISERROR(MATCH($B64,Community_Master!$A$2:$A$100,0)),"Invalid Community_ID; ","")&amp;IF($A64="","Missing Report_Month; ","")&amp;IF(AND($H64&lt;&gt;"",$I64&gt;$H64),"Occupied_Units greater than Total_Units; ","")&amp;IF(AND($H64&lt;&gt;"",$J64&gt;$H64),"Leased_Units greater than Total_Units; ","")&amp;IF($I64&lt;0,"Occupied_Units negative; ","")&amp;IF($J64&lt;0,"Leased_Units negative; ","")&amp;IF($P64&lt;0,"Avg_Market_Rent negative; ","")))</f>
        <v/>
      </c>
    </row>
    <row r="65" ht="15" customHeight="1">
      <c r="A65" s="5" t="n"/>
      <c r="B65" s="15" t="n"/>
      <c r="C65" s="15">
        <f>IFERROR(VLOOKUP($B65,Community_Master!$A$2:$K$100,2,FALSE),"")</f>
        <v/>
      </c>
      <c r="D65" s="15">
        <f>IFERROR(VLOOKUP($B65,Community_Master!$A$2:$K$100,4,FALSE),"")</f>
        <v/>
      </c>
      <c r="E65" s="15">
        <f>IFERROR(VLOOKUP($B65,Community_Master!$A$2:$K$100,5,FALSE),"")</f>
        <v/>
      </c>
      <c r="F65" s="15">
        <f>IFERROR(VLOOKUP($B65,Community_Master!$A$2:$K$100,6,FALSE),"")</f>
        <v/>
      </c>
      <c r="G65" s="15">
        <f>IFERROR(VLOOKUP($B65,Community_Master!$A$2:$K$100,8,FALSE),"")</f>
        <v/>
      </c>
      <c r="H65" s="15">
        <f>IFERROR(VLOOKUP($B65,Community_Master!$A$2:$K$100,7,FALSE),"")</f>
        <v/>
      </c>
      <c r="I65" s="15" t="n"/>
      <c r="J65" s="15" t="n"/>
      <c r="K65" s="15" t="n"/>
      <c r="L65" s="15">
        <f>IF($H65="","",MAX($H65-$I65,0))</f>
        <v/>
      </c>
      <c r="M65" s="6">
        <f>IF($H65="","",IFERROR($I65/$H65,""))</f>
        <v/>
      </c>
      <c r="N65" s="6">
        <f>IF($H65="","",IFERROR($J65/$H65,""))</f>
        <v/>
      </c>
      <c r="O65" s="6" t="n"/>
      <c r="P65" s="7" t="n"/>
      <c r="Q65" s="7" t="n"/>
      <c r="R65" s="7" t="n"/>
      <c r="S65" s="7" t="n"/>
      <c r="T65" s="7">
        <f>IF($H65="","",IFERROR($H65*$P65,""))</f>
        <v/>
      </c>
      <c r="U65" s="7" t="n"/>
      <c r="V65" s="7" t="n"/>
      <c r="W65" s="7" t="n"/>
      <c r="X65" s="7">
        <f>IF(OR($U65="",$W65=""),"",($U65+$V65)-$W65)</f>
        <v/>
      </c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9" t="n"/>
      <c r="AJ65" s="8" t="n"/>
      <c r="AK65" s="8" t="n"/>
      <c r="AL65" s="15" t="n"/>
      <c r="AM65" s="15" t="n"/>
      <c r="AN65" s="15" t="n"/>
      <c r="AO65" s="15" t="n"/>
      <c r="AP65" s="10" t="n"/>
      <c r="AQ65" s="15">
        <f>IF($B65="","",IF(OR(ISERROR(MATCH($B65,Community_Master!$A$2:$A$100,0)),$A65="",AND($H65&lt;&gt;"",$I65&gt;$H65),AND($H65&lt;&gt;"",$J65&gt;$H65),$I65&lt;0,$J65&lt;0,$K65&lt;0,$P65&lt;0,$Q65&lt;0,$Y65&lt;0,$Z65&lt;0,$AA65&lt;0,$AB65&lt;0,$AC65&lt;0),"ERROR","OK"))</f>
        <v/>
      </c>
      <c r="AR65" s="15">
        <f>IF($B65="","",TRIM(IF(ISERROR(MATCH($B65,Community_Master!$A$2:$A$100,0)),"Invalid Community_ID; ","")&amp;IF($A65="","Missing Report_Month; ","")&amp;IF(AND($H65&lt;&gt;"",$I65&gt;$H65),"Occupied_Units greater than Total_Units; ","")&amp;IF(AND($H65&lt;&gt;"",$J65&gt;$H65),"Leased_Units greater than Total_Units; ","")&amp;IF($I65&lt;0,"Occupied_Units negative; ","")&amp;IF($J65&lt;0,"Leased_Units negative; ","")&amp;IF($P65&lt;0,"Avg_Market_Rent negative; ","")))</f>
        <v/>
      </c>
    </row>
    <row r="66" ht="15" customHeight="1">
      <c r="A66" s="5" t="n"/>
      <c r="B66" s="15" t="n"/>
      <c r="C66" s="15">
        <f>IFERROR(VLOOKUP($B66,Community_Master!$A$2:$K$100,2,FALSE),"")</f>
        <v/>
      </c>
      <c r="D66" s="15">
        <f>IFERROR(VLOOKUP($B66,Community_Master!$A$2:$K$100,4,FALSE),"")</f>
        <v/>
      </c>
      <c r="E66" s="15">
        <f>IFERROR(VLOOKUP($B66,Community_Master!$A$2:$K$100,5,FALSE),"")</f>
        <v/>
      </c>
      <c r="F66" s="15">
        <f>IFERROR(VLOOKUP($B66,Community_Master!$A$2:$K$100,6,FALSE),"")</f>
        <v/>
      </c>
      <c r="G66" s="15">
        <f>IFERROR(VLOOKUP($B66,Community_Master!$A$2:$K$100,8,FALSE),"")</f>
        <v/>
      </c>
      <c r="H66" s="15">
        <f>IFERROR(VLOOKUP($B66,Community_Master!$A$2:$K$100,7,FALSE),"")</f>
        <v/>
      </c>
      <c r="I66" s="15" t="n"/>
      <c r="J66" s="15" t="n"/>
      <c r="K66" s="15" t="n"/>
      <c r="L66" s="15">
        <f>IF($H66="","",MAX($H66-$I66,0))</f>
        <v/>
      </c>
      <c r="M66" s="6">
        <f>IF($H66="","",IFERROR($I66/$H66,""))</f>
        <v/>
      </c>
      <c r="N66" s="6">
        <f>IF($H66="","",IFERROR($J66/$H66,""))</f>
        <v/>
      </c>
      <c r="O66" s="6" t="n"/>
      <c r="P66" s="7" t="n"/>
      <c r="Q66" s="7" t="n"/>
      <c r="R66" s="7" t="n"/>
      <c r="S66" s="7" t="n"/>
      <c r="T66" s="7">
        <f>IF($H66="","",IFERROR($H66*$P66,""))</f>
        <v/>
      </c>
      <c r="U66" s="7" t="n"/>
      <c r="V66" s="7" t="n"/>
      <c r="W66" s="7" t="n"/>
      <c r="X66" s="7">
        <f>IF(OR($U66="",$W66=""),"",($U66+$V66)-$W66)</f>
        <v/>
      </c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9" t="n"/>
      <c r="AJ66" s="8" t="n"/>
      <c r="AK66" s="8" t="n"/>
      <c r="AL66" s="15" t="n"/>
      <c r="AM66" s="15" t="n"/>
      <c r="AN66" s="15" t="n"/>
      <c r="AO66" s="15" t="n"/>
      <c r="AP66" s="10" t="n"/>
      <c r="AQ66" s="15">
        <f>IF($B66="","",IF(OR(ISERROR(MATCH($B66,Community_Master!$A$2:$A$100,0)),$A66="",AND($H66&lt;&gt;"",$I66&gt;$H66),AND($H66&lt;&gt;"",$J66&gt;$H66),$I66&lt;0,$J66&lt;0,$K66&lt;0,$P66&lt;0,$Q66&lt;0,$Y66&lt;0,$Z66&lt;0,$AA66&lt;0,$AB66&lt;0,$AC66&lt;0),"ERROR","OK"))</f>
        <v/>
      </c>
      <c r="AR66" s="15">
        <f>IF($B66="","",TRIM(IF(ISERROR(MATCH($B66,Community_Master!$A$2:$A$100,0)),"Invalid Community_ID; ","")&amp;IF($A66="","Missing Report_Month; ","")&amp;IF(AND($H66&lt;&gt;"",$I66&gt;$H66),"Occupied_Units greater than Total_Units; ","")&amp;IF(AND($H66&lt;&gt;"",$J66&gt;$H66),"Leased_Units greater than Total_Units; ","")&amp;IF($I66&lt;0,"Occupied_Units negative; ","")&amp;IF($J66&lt;0,"Leased_Units negative; ","")&amp;IF($P66&lt;0,"Avg_Market_Rent negative; ","")))</f>
        <v/>
      </c>
    </row>
    <row r="67" ht="15" customHeight="1">
      <c r="A67" s="5" t="n"/>
      <c r="B67" s="15" t="n"/>
      <c r="C67" s="15">
        <f>IFERROR(VLOOKUP($B67,Community_Master!$A$2:$K$100,2,FALSE),"")</f>
        <v/>
      </c>
      <c r="D67" s="15">
        <f>IFERROR(VLOOKUP($B67,Community_Master!$A$2:$K$100,4,FALSE),"")</f>
        <v/>
      </c>
      <c r="E67" s="15">
        <f>IFERROR(VLOOKUP($B67,Community_Master!$A$2:$K$100,5,FALSE),"")</f>
        <v/>
      </c>
      <c r="F67" s="15">
        <f>IFERROR(VLOOKUP($B67,Community_Master!$A$2:$K$100,6,FALSE),"")</f>
        <v/>
      </c>
      <c r="G67" s="15">
        <f>IFERROR(VLOOKUP($B67,Community_Master!$A$2:$K$100,8,FALSE),"")</f>
        <v/>
      </c>
      <c r="H67" s="15">
        <f>IFERROR(VLOOKUP($B67,Community_Master!$A$2:$K$100,7,FALSE),"")</f>
        <v/>
      </c>
      <c r="I67" s="15" t="n"/>
      <c r="J67" s="15" t="n"/>
      <c r="K67" s="15" t="n"/>
      <c r="L67" s="15">
        <f>IF($H67="","",MAX($H67-$I67,0))</f>
        <v/>
      </c>
      <c r="M67" s="6">
        <f>IF($H67="","",IFERROR($I67/$H67,""))</f>
        <v/>
      </c>
      <c r="N67" s="6">
        <f>IF($H67="","",IFERROR($J67/$H67,""))</f>
        <v/>
      </c>
      <c r="O67" s="6" t="n"/>
      <c r="P67" s="7" t="n"/>
      <c r="Q67" s="7" t="n"/>
      <c r="R67" s="7" t="n"/>
      <c r="S67" s="7" t="n"/>
      <c r="T67" s="7">
        <f>IF($H67="","",IFERROR($H67*$P67,""))</f>
        <v/>
      </c>
      <c r="U67" s="7" t="n"/>
      <c r="V67" s="7" t="n"/>
      <c r="W67" s="7" t="n"/>
      <c r="X67" s="7">
        <f>IF(OR($U67="",$W67=""),"",($U67+$V67)-$W67)</f>
        <v/>
      </c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9" t="n"/>
      <c r="AJ67" s="8" t="n"/>
      <c r="AK67" s="8" t="n"/>
      <c r="AL67" s="15" t="n"/>
      <c r="AM67" s="15" t="n"/>
      <c r="AN67" s="15" t="n"/>
      <c r="AO67" s="15" t="n"/>
      <c r="AP67" s="10" t="n"/>
      <c r="AQ67" s="15">
        <f>IF($B67="","",IF(OR(ISERROR(MATCH($B67,Community_Master!$A$2:$A$100,0)),$A67="",AND($H67&lt;&gt;"",$I67&gt;$H67),AND($H67&lt;&gt;"",$J67&gt;$H67),$I67&lt;0,$J67&lt;0,$K67&lt;0,$P67&lt;0,$Q67&lt;0,$Y67&lt;0,$Z67&lt;0,$AA67&lt;0,$AB67&lt;0,$AC67&lt;0),"ERROR","OK"))</f>
        <v/>
      </c>
      <c r="AR67" s="15">
        <f>IF($B67="","",TRIM(IF(ISERROR(MATCH($B67,Community_Master!$A$2:$A$100,0)),"Invalid Community_ID; ","")&amp;IF($A67="","Missing Report_Month; ","")&amp;IF(AND($H67&lt;&gt;"",$I67&gt;$H67),"Occupied_Units greater than Total_Units; ","")&amp;IF(AND($H67&lt;&gt;"",$J67&gt;$H67),"Leased_Units greater than Total_Units; ","")&amp;IF($I67&lt;0,"Occupied_Units negative; ","")&amp;IF($J67&lt;0,"Leased_Units negative; ","")&amp;IF($P67&lt;0,"Avg_Market_Rent negative; ","")))</f>
        <v/>
      </c>
    </row>
    <row r="68" ht="15" customHeight="1">
      <c r="A68" s="5" t="n"/>
      <c r="B68" s="15" t="n"/>
      <c r="C68" s="15">
        <f>IFERROR(VLOOKUP($B68,Community_Master!$A$2:$K$100,2,FALSE),"")</f>
        <v/>
      </c>
      <c r="D68" s="15">
        <f>IFERROR(VLOOKUP($B68,Community_Master!$A$2:$K$100,4,FALSE),"")</f>
        <v/>
      </c>
      <c r="E68" s="15">
        <f>IFERROR(VLOOKUP($B68,Community_Master!$A$2:$K$100,5,FALSE),"")</f>
        <v/>
      </c>
      <c r="F68" s="15">
        <f>IFERROR(VLOOKUP($B68,Community_Master!$A$2:$K$100,6,FALSE),"")</f>
        <v/>
      </c>
      <c r="G68" s="15">
        <f>IFERROR(VLOOKUP($B68,Community_Master!$A$2:$K$100,8,FALSE),"")</f>
        <v/>
      </c>
      <c r="H68" s="15">
        <f>IFERROR(VLOOKUP($B68,Community_Master!$A$2:$K$100,7,FALSE),"")</f>
        <v/>
      </c>
      <c r="I68" s="15" t="n"/>
      <c r="J68" s="15" t="n"/>
      <c r="K68" s="15" t="n"/>
      <c r="L68" s="15">
        <f>IF($H68="","",MAX($H68-$I68,0))</f>
        <v/>
      </c>
      <c r="M68" s="6">
        <f>IF($H68="","",IFERROR($I68/$H68,""))</f>
        <v/>
      </c>
      <c r="N68" s="6">
        <f>IF($H68="","",IFERROR($J68/$H68,""))</f>
        <v/>
      </c>
      <c r="O68" s="6" t="n"/>
      <c r="P68" s="7" t="n"/>
      <c r="Q68" s="7" t="n"/>
      <c r="R68" s="7" t="n"/>
      <c r="S68" s="7" t="n"/>
      <c r="T68" s="7">
        <f>IF($H68="","",IFERROR($H68*$P68,""))</f>
        <v/>
      </c>
      <c r="U68" s="7" t="n"/>
      <c r="V68" s="7" t="n"/>
      <c r="W68" s="7" t="n"/>
      <c r="X68" s="7">
        <f>IF(OR($U68="",$W68=""),"",($U68+$V68)-$W68)</f>
        <v/>
      </c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9" t="n"/>
      <c r="AJ68" s="8" t="n"/>
      <c r="AK68" s="8" t="n"/>
      <c r="AL68" s="15" t="n"/>
      <c r="AM68" s="15" t="n"/>
      <c r="AN68" s="15" t="n"/>
      <c r="AO68" s="15" t="n"/>
      <c r="AP68" s="10" t="n"/>
      <c r="AQ68" s="15">
        <f>IF($B68="","",IF(OR(ISERROR(MATCH($B68,Community_Master!$A$2:$A$100,0)),$A68="",AND($H68&lt;&gt;"",$I68&gt;$H68),AND($H68&lt;&gt;"",$J68&gt;$H68),$I68&lt;0,$J68&lt;0,$K68&lt;0,$P68&lt;0,$Q68&lt;0,$Y68&lt;0,$Z68&lt;0,$AA68&lt;0,$AB68&lt;0,$AC68&lt;0),"ERROR","OK"))</f>
        <v/>
      </c>
      <c r="AR68" s="15">
        <f>IF($B68="","",TRIM(IF(ISERROR(MATCH($B68,Community_Master!$A$2:$A$100,0)),"Invalid Community_ID; ","")&amp;IF($A68="","Missing Report_Month; ","")&amp;IF(AND($H68&lt;&gt;"",$I68&gt;$H68),"Occupied_Units greater than Total_Units; ","")&amp;IF(AND($H68&lt;&gt;"",$J68&gt;$H68),"Leased_Units greater than Total_Units; ","")&amp;IF($I68&lt;0,"Occupied_Units negative; ","")&amp;IF($J68&lt;0,"Leased_Units negative; ","")&amp;IF($P68&lt;0,"Avg_Market_Rent negative; ","")))</f>
        <v/>
      </c>
    </row>
    <row r="69" ht="15" customHeight="1">
      <c r="A69" s="5" t="n"/>
      <c r="B69" s="15" t="n"/>
      <c r="C69" s="15">
        <f>IFERROR(VLOOKUP($B69,Community_Master!$A$2:$K$100,2,FALSE),"")</f>
        <v/>
      </c>
      <c r="D69" s="15">
        <f>IFERROR(VLOOKUP($B69,Community_Master!$A$2:$K$100,4,FALSE),"")</f>
        <v/>
      </c>
      <c r="E69" s="15">
        <f>IFERROR(VLOOKUP($B69,Community_Master!$A$2:$K$100,5,FALSE),"")</f>
        <v/>
      </c>
      <c r="F69" s="15">
        <f>IFERROR(VLOOKUP($B69,Community_Master!$A$2:$K$100,6,FALSE),"")</f>
        <v/>
      </c>
      <c r="G69" s="15">
        <f>IFERROR(VLOOKUP($B69,Community_Master!$A$2:$K$100,8,FALSE),"")</f>
        <v/>
      </c>
      <c r="H69" s="15">
        <f>IFERROR(VLOOKUP($B69,Community_Master!$A$2:$K$100,7,FALSE),"")</f>
        <v/>
      </c>
      <c r="I69" s="15" t="n"/>
      <c r="J69" s="15" t="n"/>
      <c r="K69" s="15" t="n"/>
      <c r="L69" s="15">
        <f>IF($H69="","",MAX($H69-$I69,0))</f>
        <v/>
      </c>
      <c r="M69" s="6">
        <f>IF($H69="","",IFERROR($I69/$H69,""))</f>
        <v/>
      </c>
      <c r="N69" s="6">
        <f>IF($H69="","",IFERROR($J69/$H69,""))</f>
        <v/>
      </c>
      <c r="O69" s="6" t="n"/>
      <c r="P69" s="7" t="n"/>
      <c r="Q69" s="7" t="n"/>
      <c r="R69" s="7" t="n"/>
      <c r="S69" s="7" t="n"/>
      <c r="T69" s="7">
        <f>IF($H69="","",IFERROR($H69*$P69,""))</f>
        <v/>
      </c>
      <c r="U69" s="7" t="n"/>
      <c r="V69" s="7" t="n"/>
      <c r="W69" s="7" t="n"/>
      <c r="X69" s="7">
        <f>IF(OR($U69="",$W69=""),"",($U69+$V69)-$W69)</f>
        <v/>
      </c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9" t="n"/>
      <c r="AJ69" s="8" t="n"/>
      <c r="AK69" s="8" t="n"/>
      <c r="AL69" s="15" t="n"/>
      <c r="AM69" s="15" t="n"/>
      <c r="AN69" s="15" t="n"/>
      <c r="AO69" s="15" t="n"/>
      <c r="AP69" s="10" t="n"/>
      <c r="AQ69" s="15">
        <f>IF($B69="","",IF(OR(ISERROR(MATCH($B69,Community_Master!$A$2:$A$100,0)),$A69="",AND($H69&lt;&gt;"",$I69&gt;$H69),AND($H69&lt;&gt;"",$J69&gt;$H69),$I69&lt;0,$J69&lt;0,$K69&lt;0,$P69&lt;0,$Q69&lt;0,$Y69&lt;0,$Z69&lt;0,$AA69&lt;0,$AB69&lt;0,$AC69&lt;0),"ERROR","OK"))</f>
        <v/>
      </c>
      <c r="AR69" s="15">
        <f>IF($B69="","",TRIM(IF(ISERROR(MATCH($B69,Community_Master!$A$2:$A$100,0)),"Invalid Community_ID; ","")&amp;IF($A69="","Missing Report_Month; ","")&amp;IF(AND($H69&lt;&gt;"",$I69&gt;$H69),"Occupied_Units greater than Total_Units; ","")&amp;IF(AND($H69&lt;&gt;"",$J69&gt;$H69),"Leased_Units greater than Total_Units; ","")&amp;IF($I69&lt;0,"Occupied_Units negative; ","")&amp;IF($J69&lt;0,"Leased_Units negative; ","")&amp;IF($P69&lt;0,"Avg_Market_Rent negative; ","")))</f>
        <v/>
      </c>
    </row>
    <row r="70" ht="15" customHeight="1">
      <c r="A70" s="5" t="n"/>
      <c r="B70" s="15" t="n"/>
      <c r="C70" s="15">
        <f>IFERROR(VLOOKUP($B70,Community_Master!$A$2:$K$100,2,FALSE),"")</f>
        <v/>
      </c>
      <c r="D70" s="15">
        <f>IFERROR(VLOOKUP($B70,Community_Master!$A$2:$K$100,4,FALSE),"")</f>
        <v/>
      </c>
      <c r="E70" s="15">
        <f>IFERROR(VLOOKUP($B70,Community_Master!$A$2:$K$100,5,FALSE),"")</f>
        <v/>
      </c>
      <c r="F70" s="15">
        <f>IFERROR(VLOOKUP($B70,Community_Master!$A$2:$K$100,6,FALSE),"")</f>
        <v/>
      </c>
      <c r="G70" s="15">
        <f>IFERROR(VLOOKUP($B70,Community_Master!$A$2:$K$100,8,FALSE),"")</f>
        <v/>
      </c>
      <c r="H70" s="15">
        <f>IFERROR(VLOOKUP($B70,Community_Master!$A$2:$K$100,7,FALSE),"")</f>
        <v/>
      </c>
      <c r="I70" s="15" t="n"/>
      <c r="J70" s="15" t="n"/>
      <c r="K70" s="15" t="n"/>
      <c r="L70" s="15">
        <f>IF($H70="","",MAX($H70-$I70,0))</f>
        <v/>
      </c>
      <c r="M70" s="6">
        <f>IF($H70="","",IFERROR($I70/$H70,""))</f>
        <v/>
      </c>
      <c r="N70" s="6">
        <f>IF($H70="","",IFERROR($J70/$H70,""))</f>
        <v/>
      </c>
      <c r="O70" s="6" t="n"/>
      <c r="P70" s="7" t="n"/>
      <c r="Q70" s="7" t="n"/>
      <c r="R70" s="7" t="n"/>
      <c r="S70" s="7" t="n"/>
      <c r="T70" s="7">
        <f>IF($H70="","",IFERROR($H70*$P70,""))</f>
        <v/>
      </c>
      <c r="U70" s="7" t="n"/>
      <c r="V70" s="7" t="n"/>
      <c r="W70" s="7" t="n"/>
      <c r="X70" s="7">
        <f>IF(OR($U70="",$W70=""),"",($U70+$V70)-$W70)</f>
        <v/>
      </c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9" t="n"/>
      <c r="AJ70" s="8" t="n"/>
      <c r="AK70" s="8" t="n"/>
      <c r="AL70" s="15" t="n"/>
      <c r="AM70" s="15" t="n"/>
      <c r="AN70" s="15" t="n"/>
      <c r="AO70" s="15" t="n"/>
      <c r="AP70" s="10" t="n"/>
      <c r="AQ70" s="15">
        <f>IF($B70="","",IF(OR(ISERROR(MATCH($B70,Community_Master!$A$2:$A$100,0)),$A70="",AND($H70&lt;&gt;"",$I70&gt;$H70),AND($H70&lt;&gt;"",$J70&gt;$H70),$I70&lt;0,$J70&lt;0,$K70&lt;0,$P70&lt;0,$Q70&lt;0,$Y70&lt;0,$Z70&lt;0,$AA70&lt;0,$AB70&lt;0,$AC70&lt;0),"ERROR","OK"))</f>
        <v/>
      </c>
      <c r="AR70" s="15">
        <f>IF($B70="","",TRIM(IF(ISERROR(MATCH($B70,Community_Master!$A$2:$A$100,0)),"Invalid Community_ID; ","")&amp;IF($A70="","Missing Report_Month; ","")&amp;IF(AND($H70&lt;&gt;"",$I70&gt;$H70),"Occupied_Units greater than Total_Units; ","")&amp;IF(AND($H70&lt;&gt;"",$J70&gt;$H70),"Leased_Units greater than Total_Units; ","")&amp;IF($I70&lt;0,"Occupied_Units negative; ","")&amp;IF($J70&lt;0,"Leased_Units negative; ","")&amp;IF($P70&lt;0,"Avg_Market_Rent negative; ","")))</f>
        <v/>
      </c>
    </row>
    <row r="71" ht="15" customHeight="1">
      <c r="A71" s="5" t="n"/>
      <c r="B71" s="15" t="n"/>
      <c r="C71" s="15">
        <f>IFERROR(VLOOKUP($B71,Community_Master!$A$2:$K$100,2,FALSE),"")</f>
        <v/>
      </c>
      <c r="D71" s="15">
        <f>IFERROR(VLOOKUP($B71,Community_Master!$A$2:$K$100,4,FALSE),"")</f>
        <v/>
      </c>
      <c r="E71" s="15">
        <f>IFERROR(VLOOKUP($B71,Community_Master!$A$2:$K$100,5,FALSE),"")</f>
        <v/>
      </c>
      <c r="F71" s="15">
        <f>IFERROR(VLOOKUP($B71,Community_Master!$A$2:$K$100,6,FALSE),"")</f>
        <v/>
      </c>
      <c r="G71" s="15">
        <f>IFERROR(VLOOKUP($B71,Community_Master!$A$2:$K$100,8,FALSE),"")</f>
        <v/>
      </c>
      <c r="H71" s="15">
        <f>IFERROR(VLOOKUP($B71,Community_Master!$A$2:$K$100,7,FALSE),"")</f>
        <v/>
      </c>
      <c r="I71" s="15" t="n"/>
      <c r="J71" s="15" t="n"/>
      <c r="K71" s="15" t="n"/>
      <c r="L71" s="15">
        <f>IF($H71="","",MAX($H71-$I71,0))</f>
        <v/>
      </c>
      <c r="M71" s="6">
        <f>IF($H71="","",IFERROR($I71/$H71,""))</f>
        <v/>
      </c>
      <c r="N71" s="6">
        <f>IF($H71="","",IFERROR($J71/$H71,""))</f>
        <v/>
      </c>
      <c r="O71" s="6" t="n"/>
      <c r="P71" s="7" t="n"/>
      <c r="Q71" s="7" t="n"/>
      <c r="R71" s="7" t="n"/>
      <c r="S71" s="7" t="n"/>
      <c r="T71" s="7">
        <f>IF($H71="","",IFERROR($H71*$P71,""))</f>
        <v/>
      </c>
      <c r="U71" s="7" t="n"/>
      <c r="V71" s="7" t="n"/>
      <c r="W71" s="7" t="n"/>
      <c r="X71" s="7">
        <f>IF(OR($U71="",$W71=""),"",($U71+$V71)-$W71)</f>
        <v/>
      </c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9" t="n"/>
      <c r="AJ71" s="8" t="n"/>
      <c r="AK71" s="8" t="n"/>
      <c r="AL71" s="15" t="n"/>
      <c r="AM71" s="15" t="n"/>
      <c r="AN71" s="15" t="n"/>
      <c r="AO71" s="15" t="n"/>
      <c r="AP71" s="10" t="n"/>
      <c r="AQ71" s="15">
        <f>IF($B71="","",IF(OR(ISERROR(MATCH($B71,Community_Master!$A$2:$A$100,0)),$A71="",AND($H71&lt;&gt;"",$I71&gt;$H71),AND($H71&lt;&gt;"",$J71&gt;$H71),$I71&lt;0,$J71&lt;0,$K71&lt;0,$P71&lt;0,$Q71&lt;0,$Y71&lt;0,$Z71&lt;0,$AA71&lt;0,$AB71&lt;0,$AC71&lt;0),"ERROR","OK"))</f>
        <v/>
      </c>
      <c r="AR71" s="15">
        <f>IF($B71="","",TRIM(IF(ISERROR(MATCH($B71,Community_Master!$A$2:$A$100,0)),"Invalid Community_ID; ","")&amp;IF($A71="","Missing Report_Month; ","")&amp;IF(AND($H71&lt;&gt;"",$I71&gt;$H71),"Occupied_Units greater than Total_Units; ","")&amp;IF(AND($H71&lt;&gt;"",$J71&gt;$H71),"Leased_Units greater than Total_Units; ","")&amp;IF($I71&lt;0,"Occupied_Units negative; ","")&amp;IF($J71&lt;0,"Leased_Units negative; ","")&amp;IF($P71&lt;0,"Avg_Market_Rent negative; ","")))</f>
        <v/>
      </c>
    </row>
    <row r="72" ht="15" customHeight="1">
      <c r="A72" s="5" t="n"/>
      <c r="B72" s="15" t="n"/>
      <c r="C72" s="15">
        <f>IFERROR(VLOOKUP($B72,Community_Master!$A$2:$K$100,2,FALSE),"")</f>
        <v/>
      </c>
      <c r="D72" s="15">
        <f>IFERROR(VLOOKUP($B72,Community_Master!$A$2:$K$100,4,FALSE),"")</f>
        <v/>
      </c>
      <c r="E72" s="15">
        <f>IFERROR(VLOOKUP($B72,Community_Master!$A$2:$K$100,5,FALSE),"")</f>
        <v/>
      </c>
      <c r="F72" s="15">
        <f>IFERROR(VLOOKUP($B72,Community_Master!$A$2:$K$100,6,FALSE),"")</f>
        <v/>
      </c>
      <c r="G72" s="15">
        <f>IFERROR(VLOOKUP($B72,Community_Master!$A$2:$K$100,8,FALSE),"")</f>
        <v/>
      </c>
      <c r="H72" s="15">
        <f>IFERROR(VLOOKUP($B72,Community_Master!$A$2:$K$100,7,FALSE),"")</f>
        <v/>
      </c>
      <c r="I72" s="15" t="n"/>
      <c r="J72" s="15" t="n"/>
      <c r="K72" s="15" t="n"/>
      <c r="L72" s="15">
        <f>IF($H72="","",MAX($H72-$I72,0))</f>
        <v/>
      </c>
      <c r="M72" s="6">
        <f>IF($H72="","",IFERROR($I72/$H72,""))</f>
        <v/>
      </c>
      <c r="N72" s="6">
        <f>IF($H72="","",IFERROR($J72/$H72,""))</f>
        <v/>
      </c>
      <c r="O72" s="6" t="n"/>
      <c r="P72" s="7" t="n"/>
      <c r="Q72" s="7" t="n"/>
      <c r="R72" s="7" t="n"/>
      <c r="S72" s="7" t="n"/>
      <c r="T72" s="7">
        <f>IF($H72="","",IFERROR($H72*$P72,""))</f>
        <v/>
      </c>
      <c r="U72" s="7" t="n"/>
      <c r="V72" s="7" t="n"/>
      <c r="W72" s="7" t="n"/>
      <c r="X72" s="7">
        <f>IF(OR($U72="",$W72=""),"",($U72+$V72)-$W72)</f>
        <v/>
      </c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9" t="n"/>
      <c r="AJ72" s="8" t="n"/>
      <c r="AK72" s="8" t="n"/>
      <c r="AL72" s="15" t="n"/>
      <c r="AM72" s="15" t="n"/>
      <c r="AN72" s="15" t="n"/>
      <c r="AO72" s="15" t="n"/>
      <c r="AP72" s="10" t="n"/>
      <c r="AQ72" s="15">
        <f>IF($B72="","",IF(OR(ISERROR(MATCH($B72,Community_Master!$A$2:$A$100,0)),$A72="",AND($H72&lt;&gt;"",$I72&gt;$H72),AND($H72&lt;&gt;"",$J72&gt;$H72),$I72&lt;0,$J72&lt;0,$K72&lt;0,$P72&lt;0,$Q72&lt;0,$Y72&lt;0,$Z72&lt;0,$AA72&lt;0,$AB72&lt;0,$AC72&lt;0),"ERROR","OK"))</f>
        <v/>
      </c>
      <c r="AR72" s="15">
        <f>IF($B72="","",TRIM(IF(ISERROR(MATCH($B72,Community_Master!$A$2:$A$100,0)),"Invalid Community_ID; ","")&amp;IF($A72="","Missing Report_Month; ","")&amp;IF(AND($H72&lt;&gt;"",$I72&gt;$H72),"Occupied_Units greater than Total_Units; ","")&amp;IF(AND($H72&lt;&gt;"",$J72&gt;$H72),"Leased_Units greater than Total_Units; ","")&amp;IF($I72&lt;0,"Occupied_Units negative; ","")&amp;IF($J72&lt;0,"Leased_Units negative; ","")&amp;IF($P72&lt;0,"Avg_Market_Rent negative; ","")))</f>
        <v/>
      </c>
    </row>
    <row r="73" ht="15" customHeight="1">
      <c r="A73" s="5" t="n"/>
      <c r="B73" s="15" t="n"/>
      <c r="C73" s="15">
        <f>IFERROR(VLOOKUP($B73,Community_Master!$A$2:$K$100,2,FALSE),"")</f>
        <v/>
      </c>
      <c r="D73" s="15">
        <f>IFERROR(VLOOKUP($B73,Community_Master!$A$2:$K$100,4,FALSE),"")</f>
        <v/>
      </c>
      <c r="E73" s="15">
        <f>IFERROR(VLOOKUP($B73,Community_Master!$A$2:$K$100,5,FALSE),"")</f>
        <v/>
      </c>
      <c r="F73" s="15">
        <f>IFERROR(VLOOKUP($B73,Community_Master!$A$2:$K$100,6,FALSE),"")</f>
        <v/>
      </c>
      <c r="G73" s="15">
        <f>IFERROR(VLOOKUP($B73,Community_Master!$A$2:$K$100,8,FALSE),"")</f>
        <v/>
      </c>
      <c r="H73" s="15">
        <f>IFERROR(VLOOKUP($B73,Community_Master!$A$2:$K$100,7,FALSE),"")</f>
        <v/>
      </c>
      <c r="I73" s="15" t="n"/>
      <c r="J73" s="15" t="n"/>
      <c r="K73" s="15" t="n"/>
      <c r="L73" s="15">
        <f>IF($H73="","",MAX($H73-$I73,0))</f>
        <v/>
      </c>
      <c r="M73" s="6">
        <f>IF($H73="","",IFERROR($I73/$H73,""))</f>
        <v/>
      </c>
      <c r="N73" s="6">
        <f>IF($H73="","",IFERROR($J73/$H73,""))</f>
        <v/>
      </c>
      <c r="O73" s="6" t="n"/>
      <c r="P73" s="7" t="n"/>
      <c r="Q73" s="7" t="n"/>
      <c r="R73" s="7" t="n"/>
      <c r="S73" s="7" t="n"/>
      <c r="T73" s="7">
        <f>IF($H73="","",IFERROR($H73*$P73,""))</f>
        <v/>
      </c>
      <c r="U73" s="7" t="n"/>
      <c r="V73" s="7" t="n"/>
      <c r="W73" s="7" t="n"/>
      <c r="X73" s="7">
        <f>IF(OR($U73="",$W73=""),"",($U73+$V73)-$W73)</f>
        <v/>
      </c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9" t="n"/>
      <c r="AJ73" s="8" t="n"/>
      <c r="AK73" s="8" t="n"/>
      <c r="AL73" s="15" t="n"/>
      <c r="AM73" s="15" t="n"/>
      <c r="AN73" s="15" t="n"/>
      <c r="AO73" s="15" t="n"/>
      <c r="AP73" s="10" t="n"/>
      <c r="AQ73" s="15">
        <f>IF($B73="","",IF(OR(ISERROR(MATCH($B73,Community_Master!$A$2:$A$100,0)),$A73="",AND($H73&lt;&gt;"",$I73&gt;$H73),AND($H73&lt;&gt;"",$J73&gt;$H73),$I73&lt;0,$J73&lt;0,$K73&lt;0,$P73&lt;0,$Q73&lt;0,$Y73&lt;0,$Z73&lt;0,$AA73&lt;0,$AB73&lt;0,$AC73&lt;0),"ERROR","OK"))</f>
        <v/>
      </c>
      <c r="AR73" s="15">
        <f>IF($B73="","",TRIM(IF(ISERROR(MATCH($B73,Community_Master!$A$2:$A$100,0)),"Invalid Community_ID; ","")&amp;IF($A73="","Missing Report_Month; ","")&amp;IF(AND($H73&lt;&gt;"",$I73&gt;$H73),"Occupied_Units greater than Total_Units; ","")&amp;IF(AND($H73&lt;&gt;"",$J73&gt;$H73),"Leased_Units greater than Total_Units; ","")&amp;IF($I73&lt;0,"Occupied_Units negative; ","")&amp;IF($J73&lt;0,"Leased_Units negative; ","")&amp;IF($P73&lt;0,"Avg_Market_Rent negative; ","")))</f>
        <v/>
      </c>
    </row>
    <row r="74" ht="15" customHeight="1">
      <c r="A74" s="5" t="n"/>
      <c r="B74" s="15" t="n"/>
      <c r="C74" s="15">
        <f>IFERROR(VLOOKUP($B74,Community_Master!$A$2:$K$100,2,FALSE),"")</f>
        <v/>
      </c>
      <c r="D74" s="15">
        <f>IFERROR(VLOOKUP($B74,Community_Master!$A$2:$K$100,4,FALSE),"")</f>
        <v/>
      </c>
      <c r="E74" s="15">
        <f>IFERROR(VLOOKUP($B74,Community_Master!$A$2:$K$100,5,FALSE),"")</f>
        <v/>
      </c>
      <c r="F74" s="15">
        <f>IFERROR(VLOOKUP($B74,Community_Master!$A$2:$K$100,6,FALSE),"")</f>
        <v/>
      </c>
      <c r="G74" s="15">
        <f>IFERROR(VLOOKUP($B74,Community_Master!$A$2:$K$100,8,FALSE),"")</f>
        <v/>
      </c>
      <c r="H74" s="15">
        <f>IFERROR(VLOOKUP($B74,Community_Master!$A$2:$K$100,7,FALSE),"")</f>
        <v/>
      </c>
      <c r="I74" s="15" t="n"/>
      <c r="J74" s="15" t="n"/>
      <c r="K74" s="15" t="n"/>
      <c r="L74" s="15">
        <f>IF($H74="","",MAX($H74-$I74,0))</f>
        <v/>
      </c>
      <c r="M74" s="6">
        <f>IF($H74="","",IFERROR($I74/$H74,""))</f>
        <v/>
      </c>
      <c r="N74" s="6">
        <f>IF($H74="","",IFERROR($J74/$H74,""))</f>
        <v/>
      </c>
      <c r="O74" s="6" t="n"/>
      <c r="P74" s="7" t="n"/>
      <c r="Q74" s="7" t="n"/>
      <c r="R74" s="7" t="n"/>
      <c r="S74" s="7" t="n"/>
      <c r="T74" s="7">
        <f>IF($H74="","",IFERROR($H74*$P74,""))</f>
        <v/>
      </c>
      <c r="U74" s="7" t="n"/>
      <c r="V74" s="7" t="n"/>
      <c r="W74" s="7" t="n"/>
      <c r="X74" s="7">
        <f>IF(OR($U74="",$W74=""),"",($U74+$V74)-$W74)</f>
        <v/>
      </c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9" t="n"/>
      <c r="AJ74" s="8" t="n"/>
      <c r="AK74" s="8" t="n"/>
      <c r="AL74" s="15" t="n"/>
      <c r="AM74" s="15" t="n"/>
      <c r="AN74" s="15" t="n"/>
      <c r="AO74" s="15" t="n"/>
      <c r="AP74" s="10" t="n"/>
      <c r="AQ74" s="15">
        <f>IF($B74="","",IF(OR(ISERROR(MATCH($B74,Community_Master!$A$2:$A$100,0)),$A74="",AND($H74&lt;&gt;"",$I74&gt;$H74),AND($H74&lt;&gt;"",$J74&gt;$H74),$I74&lt;0,$J74&lt;0,$K74&lt;0,$P74&lt;0,$Q74&lt;0,$Y74&lt;0,$Z74&lt;0,$AA74&lt;0,$AB74&lt;0,$AC74&lt;0),"ERROR","OK"))</f>
        <v/>
      </c>
      <c r="AR74" s="15">
        <f>IF($B74="","",TRIM(IF(ISERROR(MATCH($B74,Community_Master!$A$2:$A$100,0)),"Invalid Community_ID; ","")&amp;IF($A74="","Missing Report_Month; ","")&amp;IF(AND($H74&lt;&gt;"",$I74&gt;$H74),"Occupied_Units greater than Total_Units; ","")&amp;IF(AND($H74&lt;&gt;"",$J74&gt;$H74),"Leased_Units greater than Total_Units; ","")&amp;IF($I74&lt;0,"Occupied_Units negative; ","")&amp;IF($J74&lt;0,"Leased_Units negative; ","")&amp;IF($P74&lt;0,"Avg_Market_Rent negative; ","")))</f>
        <v/>
      </c>
    </row>
    <row r="75" ht="15" customHeight="1">
      <c r="A75" s="5" t="n"/>
      <c r="B75" s="15" t="n"/>
      <c r="C75" s="15">
        <f>IFERROR(VLOOKUP($B75,Community_Master!$A$2:$K$100,2,FALSE),"")</f>
        <v/>
      </c>
      <c r="D75" s="15">
        <f>IFERROR(VLOOKUP($B75,Community_Master!$A$2:$K$100,4,FALSE),"")</f>
        <v/>
      </c>
      <c r="E75" s="15">
        <f>IFERROR(VLOOKUP($B75,Community_Master!$A$2:$K$100,5,FALSE),"")</f>
        <v/>
      </c>
      <c r="F75" s="15">
        <f>IFERROR(VLOOKUP($B75,Community_Master!$A$2:$K$100,6,FALSE),"")</f>
        <v/>
      </c>
      <c r="G75" s="15">
        <f>IFERROR(VLOOKUP($B75,Community_Master!$A$2:$K$100,8,FALSE),"")</f>
        <v/>
      </c>
      <c r="H75" s="15">
        <f>IFERROR(VLOOKUP($B75,Community_Master!$A$2:$K$100,7,FALSE),"")</f>
        <v/>
      </c>
      <c r="I75" s="15" t="n"/>
      <c r="J75" s="15" t="n"/>
      <c r="K75" s="15" t="n"/>
      <c r="L75" s="15">
        <f>IF($H75="","",MAX($H75-$I75,0))</f>
        <v/>
      </c>
      <c r="M75" s="6">
        <f>IF($H75="","",IFERROR($I75/$H75,""))</f>
        <v/>
      </c>
      <c r="N75" s="6">
        <f>IF($H75="","",IFERROR($J75/$H75,""))</f>
        <v/>
      </c>
      <c r="O75" s="6" t="n"/>
      <c r="P75" s="7" t="n"/>
      <c r="Q75" s="7" t="n"/>
      <c r="R75" s="7" t="n"/>
      <c r="S75" s="7" t="n"/>
      <c r="T75" s="7">
        <f>IF($H75="","",IFERROR($H75*$P75,""))</f>
        <v/>
      </c>
      <c r="U75" s="7" t="n"/>
      <c r="V75" s="7" t="n"/>
      <c r="W75" s="7" t="n"/>
      <c r="X75" s="7">
        <f>IF(OR($U75="",$W75=""),"",($U75+$V75)-$W75)</f>
        <v/>
      </c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9" t="n"/>
      <c r="AJ75" s="8" t="n"/>
      <c r="AK75" s="8" t="n"/>
      <c r="AL75" s="15" t="n"/>
      <c r="AM75" s="15" t="n"/>
      <c r="AN75" s="15" t="n"/>
      <c r="AO75" s="15" t="n"/>
      <c r="AP75" s="10" t="n"/>
      <c r="AQ75" s="15">
        <f>IF($B75="","",IF(OR(ISERROR(MATCH($B75,Community_Master!$A$2:$A$100,0)),$A75="",AND($H75&lt;&gt;"",$I75&gt;$H75),AND($H75&lt;&gt;"",$J75&gt;$H75),$I75&lt;0,$J75&lt;0,$K75&lt;0,$P75&lt;0,$Q75&lt;0,$Y75&lt;0,$Z75&lt;0,$AA75&lt;0,$AB75&lt;0,$AC75&lt;0),"ERROR","OK"))</f>
        <v/>
      </c>
      <c r="AR75" s="15">
        <f>IF($B75="","",TRIM(IF(ISERROR(MATCH($B75,Community_Master!$A$2:$A$100,0)),"Invalid Community_ID; ","")&amp;IF($A75="","Missing Report_Month; ","")&amp;IF(AND($H75&lt;&gt;"",$I75&gt;$H75),"Occupied_Units greater than Total_Units; ","")&amp;IF(AND($H75&lt;&gt;"",$J75&gt;$H75),"Leased_Units greater than Total_Units; ","")&amp;IF($I75&lt;0,"Occupied_Units negative; ","")&amp;IF($J75&lt;0,"Leased_Units negative; ","")&amp;IF($P75&lt;0,"Avg_Market_Rent negative; ","")))</f>
        <v/>
      </c>
    </row>
    <row r="76" ht="15" customHeight="1">
      <c r="A76" s="5" t="n"/>
      <c r="B76" s="15" t="n"/>
      <c r="C76" s="15">
        <f>IFERROR(VLOOKUP($B76,Community_Master!$A$2:$K$100,2,FALSE),"")</f>
        <v/>
      </c>
      <c r="D76" s="15">
        <f>IFERROR(VLOOKUP($B76,Community_Master!$A$2:$K$100,4,FALSE),"")</f>
        <v/>
      </c>
      <c r="E76" s="15">
        <f>IFERROR(VLOOKUP($B76,Community_Master!$A$2:$K$100,5,FALSE),"")</f>
        <v/>
      </c>
      <c r="F76" s="15">
        <f>IFERROR(VLOOKUP($B76,Community_Master!$A$2:$K$100,6,FALSE),"")</f>
        <v/>
      </c>
      <c r="G76" s="15">
        <f>IFERROR(VLOOKUP($B76,Community_Master!$A$2:$K$100,8,FALSE),"")</f>
        <v/>
      </c>
      <c r="H76" s="15">
        <f>IFERROR(VLOOKUP($B76,Community_Master!$A$2:$K$100,7,FALSE),"")</f>
        <v/>
      </c>
      <c r="I76" s="15" t="n"/>
      <c r="J76" s="15" t="n"/>
      <c r="K76" s="15" t="n"/>
      <c r="L76" s="15">
        <f>IF($H76="","",MAX($H76-$I76,0))</f>
        <v/>
      </c>
      <c r="M76" s="6">
        <f>IF($H76="","",IFERROR($I76/$H76,""))</f>
        <v/>
      </c>
      <c r="N76" s="6">
        <f>IF($H76="","",IFERROR($J76/$H76,""))</f>
        <v/>
      </c>
      <c r="O76" s="6" t="n"/>
      <c r="P76" s="7" t="n"/>
      <c r="Q76" s="7" t="n"/>
      <c r="R76" s="7" t="n"/>
      <c r="S76" s="7" t="n"/>
      <c r="T76" s="7">
        <f>IF($H76="","",IFERROR($H76*$P76,""))</f>
        <v/>
      </c>
      <c r="U76" s="7" t="n"/>
      <c r="V76" s="7" t="n"/>
      <c r="W76" s="7" t="n"/>
      <c r="X76" s="7">
        <f>IF(OR($U76="",$W76=""),"",($U76+$V76)-$W76)</f>
        <v/>
      </c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9" t="n"/>
      <c r="AJ76" s="8" t="n"/>
      <c r="AK76" s="8" t="n"/>
      <c r="AL76" s="15" t="n"/>
      <c r="AM76" s="15" t="n"/>
      <c r="AN76" s="15" t="n"/>
      <c r="AO76" s="15" t="n"/>
      <c r="AP76" s="10" t="n"/>
      <c r="AQ76" s="15">
        <f>IF($B76="","",IF(OR(ISERROR(MATCH($B76,Community_Master!$A$2:$A$100,0)),$A76="",AND($H76&lt;&gt;"",$I76&gt;$H76),AND($H76&lt;&gt;"",$J76&gt;$H76),$I76&lt;0,$J76&lt;0,$K76&lt;0,$P76&lt;0,$Q76&lt;0,$Y76&lt;0,$Z76&lt;0,$AA76&lt;0,$AB76&lt;0,$AC76&lt;0),"ERROR","OK"))</f>
        <v/>
      </c>
      <c r="AR76" s="15">
        <f>IF($B76="","",TRIM(IF(ISERROR(MATCH($B76,Community_Master!$A$2:$A$100,0)),"Invalid Community_ID; ","")&amp;IF($A76="","Missing Report_Month; ","")&amp;IF(AND($H76&lt;&gt;"",$I76&gt;$H76),"Occupied_Units greater than Total_Units; ","")&amp;IF(AND($H76&lt;&gt;"",$J76&gt;$H76),"Leased_Units greater than Total_Units; ","")&amp;IF($I76&lt;0,"Occupied_Units negative; ","")&amp;IF($J76&lt;0,"Leased_Units negative; ","")&amp;IF($P76&lt;0,"Avg_Market_Rent negative; ","")))</f>
        <v/>
      </c>
    </row>
    <row r="77" ht="15" customHeight="1">
      <c r="A77" s="5" t="n"/>
      <c r="B77" s="15" t="n"/>
      <c r="C77" s="15">
        <f>IFERROR(VLOOKUP($B77,Community_Master!$A$2:$K$100,2,FALSE),"")</f>
        <v/>
      </c>
      <c r="D77" s="15">
        <f>IFERROR(VLOOKUP($B77,Community_Master!$A$2:$K$100,4,FALSE),"")</f>
        <v/>
      </c>
      <c r="E77" s="15">
        <f>IFERROR(VLOOKUP($B77,Community_Master!$A$2:$K$100,5,FALSE),"")</f>
        <v/>
      </c>
      <c r="F77" s="15">
        <f>IFERROR(VLOOKUP($B77,Community_Master!$A$2:$K$100,6,FALSE),"")</f>
        <v/>
      </c>
      <c r="G77" s="15">
        <f>IFERROR(VLOOKUP($B77,Community_Master!$A$2:$K$100,8,FALSE),"")</f>
        <v/>
      </c>
      <c r="H77" s="15">
        <f>IFERROR(VLOOKUP($B77,Community_Master!$A$2:$K$100,7,FALSE),"")</f>
        <v/>
      </c>
      <c r="I77" s="15" t="n"/>
      <c r="J77" s="15" t="n"/>
      <c r="K77" s="15" t="n"/>
      <c r="L77" s="15">
        <f>IF($H77="","",MAX($H77-$I77,0))</f>
        <v/>
      </c>
      <c r="M77" s="6">
        <f>IF($H77="","",IFERROR($I77/$H77,""))</f>
        <v/>
      </c>
      <c r="N77" s="6">
        <f>IF($H77="","",IFERROR($J77/$H77,""))</f>
        <v/>
      </c>
      <c r="O77" s="6" t="n"/>
      <c r="P77" s="7" t="n"/>
      <c r="Q77" s="7" t="n"/>
      <c r="R77" s="7" t="n"/>
      <c r="S77" s="7" t="n"/>
      <c r="T77" s="7">
        <f>IF($H77="","",IFERROR($H77*$P77,""))</f>
        <v/>
      </c>
      <c r="U77" s="7" t="n"/>
      <c r="V77" s="7" t="n"/>
      <c r="W77" s="7" t="n"/>
      <c r="X77" s="7">
        <f>IF(OR($U77="",$W77=""),"",($U77+$V77)-$W77)</f>
        <v/>
      </c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9" t="n"/>
      <c r="AJ77" s="8" t="n"/>
      <c r="AK77" s="8" t="n"/>
      <c r="AL77" s="15" t="n"/>
      <c r="AM77" s="15" t="n"/>
      <c r="AN77" s="15" t="n"/>
      <c r="AO77" s="15" t="n"/>
      <c r="AP77" s="10" t="n"/>
      <c r="AQ77" s="15">
        <f>IF($B77="","",IF(OR(ISERROR(MATCH($B77,Community_Master!$A$2:$A$100,0)),$A77="",AND($H77&lt;&gt;"",$I77&gt;$H77),AND($H77&lt;&gt;"",$J77&gt;$H77),$I77&lt;0,$J77&lt;0,$K77&lt;0,$P77&lt;0,$Q77&lt;0,$Y77&lt;0,$Z77&lt;0,$AA77&lt;0,$AB77&lt;0,$AC77&lt;0),"ERROR","OK"))</f>
        <v/>
      </c>
      <c r="AR77" s="15">
        <f>IF($B77="","",TRIM(IF(ISERROR(MATCH($B77,Community_Master!$A$2:$A$100,0)),"Invalid Community_ID; ","")&amp;IF($A77="","Missing Report_Month; ","")&amp;IF(AND($H77&lt;&gt;"",$I77&gt;$H77),"Occupied_Units greater than Total_Units; ","")&amp;IF(AND($H77&lt;&gt;"",$J77&gt;$H77),"Leased_Units greater than Total_Units; ","")&amp;IF($I77&lt;0,"Occupied_Units negative; ","")&amp;IF($J77&lt;0,"Leased_Units negative; ","")&amp;IF($P77&lt;0,"Avg_Market_Rent negative; ","")))</f>
        <v/>
      </c>
    </row>
    <row r="78" ht="15" customHeight="1">
      <c r="A78" s="5" t="n"/>
      <c r="B78" s="15" t="n"/>
      <c r="C78" s="15">
        <f>IFERROR(VLOOKUP($B78,Community_Master!$A$2:$K$100,2,FALSE),"")</f>
        <v/>
      </c>
      <c r="D78" s="15">
        <f>IFERROR(VLOOKUP($B78,Community_Master!$A$2:$K$100,4,FALSE),"")</f>
        <v/>
      </c>
      <c r="E78" s="15">
        <f>IFERROR(VLOOKUP($B78,Community_Master!$A$2:$K$100,5,FALSE),"")</f>
        <v/>
      </c>
      <c r="F78" s="15">
        <f>IFERROR(VLOOKUP($B78,Community_Master!$A$2:$K$100,6,FALSE),"")</f>
        <v/>
      </c>
      <c r="G78" s="15">
        <f>IFERROR(VLOOKUP($B78,Community_Master!$A$2:$K$100,8,FALSE),"")</f>
        <v/>
      </c>
      <c r="H78" s="15">
        <f>IFERROR(VLOOKUP($B78,Community_Master!$A$2:$K$100,7,FALSE),"")</f>
        <v/>
      </c>
      <c r="I78" s="15" t="n"/>
      <c r="J78" s="15" t="n"/>
      <c r="K78" s="15" t="n"/>
      <c r="L78" s="15">
        <f>IF($H78="","",MAX($H78-$I78,0))</f>
        <v/>
      </c>
      <c r="M78" s="6">
        <f>IF($H78="","",IFERROR($I78/$H78,""))</f>
        <v/>
      </c>
      <c r="N78" s="6">
        <f>IF($H78="","",IFERROR($J78/$H78,""))</f>
        <v/>
      </c>
      <c r="O78" s="6" t="n"/>
      <c r="P78" s="7" t="n"/>
      <c r="Q78" s="7" t="n"/>
      <c r="R78" s="7" t="n"/>
      <c r="S78" s="7" t="n"/>
      <c r="T78" s="7">
        <f>IF($H78="","",IFERROR($H78*$P78,""))</f>
        <v/>
      </c>
      <c r="U78" s="7" t="n"/>
      <c r="V78" s="7" t="n"/>
      <c r="W78" s="7" t="n"/>
      <c r="X78" s="7">
        <f>IF(OR($U78="",$W78=""),"",($U78+$V78)-$W78)</f>
        <v/>
      </c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9" t="n"/>
      <c r="AJ78" s="8" t="n"/>
      <c r="AK78" s="8" t="n"/>
      <c r="AL78" s="15" t="n"/>
      <c r="AM78" s="15" t="n"/>
      <c r="AN78" s="15" t="n"/>
      <c r="AO78" s="15" t="n"/>
      <c r="AP78" s="10" t="n"/>
      <c r="AQ78" s="15">
        <f>IF($B78="","",IF(OR(ISERROR(MATCH($B78,Community_Master!$A$2:$A$100,0)),$A78="",AND($H78&lt;&gt;"",$I78&gt;$H78),AND($H78&lt;&gt;"",$J78&gt;$H78),$I78&lt;0,$J78&lt;0,$K78&lt;0,$P78&lt;0,$Q78&lt;0,$Y78&lt;0,$Z78&lt;0,$AA78&lt;0,$AB78&lt;0,$AC78&lt;0),"ERROR","OK"))</f>
        <v/>
      </c>
      <c r="AR78" s="15">
        <f>IF($B78="","",TRIM(IF(ISERROR(MATCH($B78,Community_Master!$A$2:$A$100,0)),"Invalid Community_ID; ","")&amp;IF($A78="","Missing Report_Month; ","")&amp;IF(AND($H78&lt;&gt;"",$I78&gt;$H78),"Occupied_Units greater than Total_Units; ","")&amp;IF(AND($H78&lt;&gt;"",$J78&gt;$H78),"Leased_Units greater than Total_Units; ","")&amp;IF($I78&lt;0,"Occupied_Units negative; ","")&amp;IF($J78&lt;0,"Leased_Units negative; ","")&amp;IF($P78&lt;0,"Avg_Market_Rent negative; ","")))</f>
        <v/>
      </c>
    </row>
    <row r="79" ht="15" customHeight="1">
      <c r="A79" s="5" t="n"/>
      <c r="B79" s="15" t="n"/>
      <c r="C79" s="15">
        <f>IFERROR(VLOOKUP($B79,Community_Master!$A$2:$K$100,2,FALSE),"")</f>
        <v/>
      </c>
      <c r="D79" s="15">
        <f>IFERROR(VLOOKUP($B79,Community_Master!$A$2:$K$100,4,FALSE),"")</f>
        <v/>
      </c>
      <c r="E79" s="15">
        <f>IFERROR(VLOOKUP($B79,Community_Master!$A$2:$K$100,5,FALSE),"")</f>
        <v/>
      </c>
      <c r="F79" s="15">
        <f>IFERROR(VLOOKUP($B79,Community_Master!$A$2:$K$100,6,FALSE),"")</f>
        <v/>
      </c>
      <c r="G79" s="15">
        <f>IFERROR(VLOOKUP($B79,Community_Master!$A$2:$K$100,8,FALSE),"")</f>
        <v/>
      </c>
      <c r="H79" s="15">
        <f>IFERROR(VLOOKUP($B79,Community_Master!$A$2:$K$100,7,FALSE),"")</f>
        <v/>
      </c>
      <c r="I79" s="15" t="n"/>
      <c r="J79" s="15" t="n"/>
      <c r="K79" s="15" t="n"/>
      <c r="L79" s="15">
        <f>IF($H79="","",MAX($H79-$I79,0))</f>
        <v/>
      </c>
      <c r="M79" s="6">
        <f>IF($H79="","",IFERROR($I79/$H79,""))</f>
        <v/>
      </c>
      <c r="N79" s="6">
        <f>IF($H79="","",IFERROR($J79/$H79,""))</f>
        <v/>
      </c>
      <c r="O79" s="6" t="n"/>
      <c r="P79" s="7" t="n"/>
      <c r="Q79" s="7" t="n"/>
      <c r="R79" s="7" t="n"/>
      <c r="S79" s="7" t="n"/>
      <c r="T79" s="7">
        <f>IF($H79="","",IFERROR($H79*$P79,""))</f>
        <v/>
      </c>
      <c r="U79" s="7" t="n"/>
      <c r="V79" s="7" t="n"/>
      <c r="W79" s="7" t="n"/>
      <c r="X79" s="7">
        <f>IF(OR($U79="",$W79=""),"",($U79+$V79)-$W79)</f>
        <v/>
      </c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9" t="n"/>
      <c r="AJ79" s="8" t="n"/>
      <c r="AK79" s="8" t="n"/>
      <c r="AL79" s="15" t="n"/>
      <c r="AM79" s="15" t="n"/>
      <c r="AN79" s="15" t="n"/>
      <c r="AO79" s="15" t="n"/>
      <c r="AP79" s="10" t="n"/>
      <c r="AQ79" s="15">
        <f>IF($B79="","",IF(OR(ISERROR(MATCH($B79,Community_Master!$A$2:$A$100,0)),$A79="",AND($H79&lt;&gt;"",$I79&gt;$H79),AND($H79&lt;&gt;"",$J79&gt;$H79),$I79&lt;0,$J79&lt;0,$K79&lt;0,$P79&lt;0,$Q79&lt;0,$Y79&lt;0,$Z79&lt;0,$AA79&lt;0,$AB79&lt;0,$AC79&lt;0),"ERROR","OK"))</f>
        <v/>
      </c>
      <c r="AR79" s="15">
        <f>IF($B79="","",TRIM(IF(ISERROR(MATCH($B79,Community_Master!$A$2:$A$100,0)),"Invalid Community_ID; ","")&amp;IF($A79="","Missing Report_Month; ","")&amp;IF(AND($H79&lt;&gt;"",$I79&gt;$H79),"Occupied_Units greater than Total_Units; ","")&amp;IF(AND($H79&lt;&gt;"",$J79&gt;$H79),"Leased_Units greater than Total_Units; ","")&amp;IF($I79&lt;0,"Occupied_Units negative; ","")&amp;IF($J79&lt;0,"Leased_Units negative; ","")&amp;IF($P79&lt;0,"Avg_Market_Rent negative; ","")))</f>
        <v/>
      </c>
    </row>
    <row r="80" ht="15" customHeight="1">
      <c r="A80" s="5" t="n"/>
      <c r="B80" s="15" t="n"/>
      <c r="C80" s="15">
        <f>IFERROR(VLOOKUP($B80,Community_Master!$A$2:$K$100,2,FALSE),"")</f>
        <v/>
      </c>
      <c r="D80" s="15">
        <f>IFERROR(VLOOKUP($B80,Community_Master!$A$2:$K$100,4,FALSE),"")</f>
        <v/>
      </c>
      <c r="E80" s="15">
        <f>IFERROR(VLOOKUP($B80,Community_Master!$A$2:$K$100,5,FALSE),"")</f>
        <v/>
      </c>
      <c r="F80" s="15">
        <f>IFERROR(VLOOKUP($B80,Community_Master!$A$2:$K$100,6,FALSE),"")</f>
        <v/>
      </c>
      <c r="G80" s="15">
        <f>IFERROR(VLOOKUP($B80,Community_Master!$A$2:$K$100,8,FALSE),"")</f>
        <v/>
      </c>
      <c r="H80" s="15">
        <f>IFERROR(VLOOKUP($B80,Community_Master!$A$2:$K$100,7,FALSE),"")</f>
        <v/>
      </c>
      <c r="I80" s="15" t="n"/>
      <c r="J80" s="15" t="n"/>
      <c r="K80" s="15" t="n"/>
      <c r="L80" s="15">
        <f>IF($H80="","",MAX($H80-$I80,0))</f>
        <v/>
      </c>
      <c r="M80" s="6">
        <f>IF($H80="","",IFERROR($I80/$H80,""))</f>
        <v/>
      </c>
      <c r="N80" s="6">
        <f>IF($H80="","",IFERROR($J80/$H80,""))</f>
        <v/>
      </c>
      <c r="O80" s="6" t="n"/>
      <c r="P80" s="7" t="n"/>
      <c r="Q80" s="7" t="n"/>
      <c r="R80" s="7" t="n"/>
      <c r="S80" s="7" t="n"/>
      <c r="T80" s="7">
        <f>IF($H80="","",IFERROR($H80*$P80,""))</f>
        <v/>
      </c>
      <c r="U80" s="7" t="n"/>
      <c r="V80" s="7" t="n"/>
      <c r="W80" s="7" t="n"/>
      <c r="X80" s="7">
        <f>IF(OR($U80="",$W80=""),"",($U80+$V80)-$W80)</f>
        <v/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9" t="n"/>
      <c r="AJ80" s="8" t="n"/>
      <c r="AK80" s="8" t="n"/>
      <c r="AL80" s="15" t="n"/>
      <c r="AM80" s="15" t="n"/>
      <c r="AN80" s="15" t="n"/>
      <c r="AO80" s="15" t="n"/>
      <c r="AP80" s="10" t="n"/>
      <c r="AQ80" s="15">
        <f>IF($B80="","",IF(OR(ISERROR(MATCH($B80,Community_Master!$A$2:$A$100,0)),$A80="",AND($H80&lt;&gt;"",$I80&gt;$H80),AND($H80&lt;&gt;"",$J80&gt;$H80),$I80&lt;0,$J80&lt;0,$K80&lt;0,$P80&lt;0,$Q80&lt;0,$Y80&lt;0,$Z80&lt;0,$AA80&lt;0,$AB80&lt;0,$AC80&lt;0),"ERROR","OK"))</f>
        <v/>
      </c>
      <c r="AR80" s="15">
        <f>IF($B80="","",TRIM(IF(ISERROR(MATCH($B80,Community_Master!$A$2:$A$100,0)),"Invalid Community_ID; ","")&amp;IF($A80="","Missing Report_Month; ","")&amp;IF(AND($H80&lt;&gt;"",$I80&gt;$H80),"Occupied_Units greater than Total_Units; ","")&amp;IF(AND($H80&lt;&gt;"",$J80&gt;$H80),"Leased_Units greater than Total_Units; ","")&amp;IF($I80&lt;0,"Occupied_Units negative; ","")&amp;IF($J80&lt;0,"Leased_Units negative; ","")&amp;IF($P80&lt;0,"Avg_Market_Rent negative; ","")))</f>
        <v/>
      </c>
    </row>
    <row r="81" ht="15" customHeight="1">
      <c r="A81" s="5" t="n"/>
      <c r="B81" s="15" t="n"/>
      <c r="C81" s="15">
        <f>IFERROR(VLOOKUP($B81,Community_Master!$A$2:$K$100,2,FALSE),"")</f>
        <v/>
      </c>
      <c r="D81" s="15">
        <f>IFERROR(VLOOKUP($B81,Community_Master!$A$2:$K$100,4,FALSE),"")</f>
        <v/>
      </c>
      <c r="E81" s="15">
        <f>IFERROR(VLOOKUP($B81,Community_Master!$A$2:$K$100,5,FALSE),"")</f>
        <v/>
      </c>
      <c r="F81" s="15">
        <f>IFERROR(VLOOKUP($B81,Community_Master!$A$2:$K$100,6,FALSE),"")</f>
        <v/>
      </c>
      <c r="G81" s="15">
        <f>IFERROR(VLOOKUP($B81,Community_Master!$A$2:$K$100,8,FALSE),"")</f>
        <v/>
      </c>
      <c r="H81" s="15">
        <f>IFERROR(VLOOKUP($B81,Community_Master!$A$2:$K$100,7,FALSE),"")</f>
        <v/>
      </c>
      <c r="I81" s="15" t="n"/>
      <c r="J81" s="15" t="n"/>
      <c r="K81" s="15" t="n"/>
      <c r="L81" s="15">
        <f>IF($H81="","",MAX($H81-$I81,0))</f>
        <v/>
      </c>
      <c r="M81" s="6">
        <f>IF($H81="","",IFERROR($I81/$H81,""))</f>
        <v/>
      </c>
      <c r="N81" s="6">
        <f>IF($H81="","",IFERROR($J81/$H81,""))</f>
        <v/>
      </c>
      <c r="O81" s="6" t="n"/>
      <c r="P81" s="7" t="n"/>
      <c r="Q81" s="7" t="n"/>
      <c r="R81" s="7" t="n"/>
      <c r="S81" s="7" t="n"/>
      <c r="T81" s="7">
        <f>IF($H81="","",IFERROR($H81*$P81,""))</f>
        <v/>
      </c>
      <c r="U81" s="7" t="n"/>
      <c r="V81" s="7" t="n"/>
      <c r="W81" s="7" t="n"/>
      <c r="X81" s="7">
        <f>IF(OR($U81="",$W81=""),"",($U81+$V81)-$W81)</f>
        <v/>
      </c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9" t="n"/>
      <c r="AJ81" s="8" t="n"/>
      <c r="AK81" s="8" t="n"/>
      <c r="AL81" s="15" t="n"/>
      <c r="AM81" s="15" t="n"/>
      <c r="AN81" s="15" t="n"/>
      <c r="AO81" s="15" t="n"/>
      <c r="AP81" s="10" t="n"/>
      <c r="AQ81" s="15">
        <f>IF($B81="","",IF(OR(ISERROR(MATCH($B81,Community_Master!$A$2:$A$100,0)),$A81="",AND($H81&lt;&gt;"",$I81&gt;$H81),AND($H81&lt;&gt;"",$J81&gt;$H81),$I81&lt;0,$J81&lt;0,$K81&lt;0,$P81&lt;0,$Q81&lt;0,$Y81&lt;0,$Z81&lt;0,$AA81&lt;0,$AB81&lt;0,$AC81&lt;0),"ERROR","OK"))</f>
        <v/>
      </c>
      <c r="AR81" s="15">
        <f>IF($B81="","",TRIM(IF(ISERROR(MATCH($B81,Community_Master!$A$2:$A$100,0)),"Invalid Community_ID; ","")&amp;IF($A81="","Missing Report_Month; ","")&amp;IF(AND($H81&lt;&gt;"",$I81&gt;$H81),"Occupied_Units greater than Total_Units; ","")&amp;IF(AND($H81&lt;&gt;"",$J81&gt;$H81),"Leased_Units greater than Total_Units; ","")&amp;IF($I81&lt;0,"Occupied_Units negative; ","")&amp;IF($J81&lt;0,"Leased_Units negative; ","")&amp;IF($P81&lt;0,"Avg_Market_Rent negative; ","")))</f>
        <v/>
      </c>
    </row>
    <row r="82" ht="15" customHeight="1">
      <c r="A82" s="5" t="n"/>
      <c r="B82" s="15" t="n"/>
      <c r="C82" s="15">
        <f>IFERROR(VLOOKUP($B82,Community_Master!$A$2:$K$100,2,FALSE),"")</f>
        <v/>
      </c>
      <c r="D82" s="15">
        <f>IFERROR(VLOOKUP($B82,Community_Master!$A$2:$K$100,4,FALSE),"")</f>
        <v/>
      </c>
      <c r="E82" s="15">
        <f>IFERROR(VLOOKUP($B82,Community_Master!$A$2:$K$100,5,FALSE),"")</f>
        <v/>
      </c>
      <c r="F82" s="15">
        <f>IFERROR(VLOOKUP($B82,Community_Master!$A$2:$K$100,6,FALSE),"")</f>
        <v/>
      </c>
      <c r="G82" s="15">
        <f>IFERROR(VLOOKUP($B82,Community_Master!$A$2:$K$100,8,FALSE),"")</f>
        <v/>
      </c>
      <c r="H82" s="15">
        <f>IFERROR(VLOOKUP($B82,Community_Master!$A$2:$K$100,7,FALSE),"")</f>
        <v/>
      </c>
      <c r="I82" s="15" t="n"/>
      <c r="J82" s="15" t="n"/>
      <c r="K82" s="15" t="n"/>
      <c r="L82" s="15">
        <f>IF($H82="","",MAX($H82-$I82,0))</f>
        <v/>
      </c>
      <c r="M82" s="6">
        <f>IF($H82="","",IFERROR($I82/$H82,""))</f>
        <v/>
      </c>
      <c r="N82" s="6">
        <f>IF($H82="","",IFERROR($J82/$H82,""))</f>
        <v/>
      </c>
      <c r="O82" s="6" t="n"/>
      <c r="P82" s="7" t="n"/>
      <c r="Q82" s="7" t="n"/>
      <c r="R82" s="7" t="n"/>
      <c r="S82" s="7" t="n"/>
      <c r="T82" s="7">
        <f>IF($H82="","",IFERROR($H82*$P82,""))</f>
        <v/>
      </c>
      <c r="U82" s="7" t="n"/>
      <c r="V82" s="7" t="n"/>
      <c r="W82" s="7" t="n"/>
      <c r="X82" s="7">
        <f>IF(OR($U82="",$W82=""),"",($U82+$V82)-$W82)</f>
        <v/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9" t="n"/>
      <c r="AJ82" s="8" t="n"/>
      <c r="AK82" s="8" t="n"/>
      <c r="AL82" s="15" t="n"/>
      <c r="AM82" s="15" t="n"/>
      <c r="AN82" s="15" t="n"/>
      <c r="AO82" s="15" t="n"/>
      <c r="AP82" s="10" t="n"/>
      <c r="AQ82" s="15">
        <f>IF($B82="","",IF(OR(ISERROR(MATCH($B82,Community_Master!$A$2:$A$100,0)),$A82="",AND($H82&lt;&gt;"",$I82&gt;$H82),AND($H82&lt;&gt;"",$J82&gt;$H82),$I82&lt;0,$J82&lt;0,$K82&lt;0,$P82&lt;0,$Q82&lt;0,$Y82&lt;0,$Z82&lt;0,$AA82&lt;0,$AB82&lt;0,$AC82&lt;0),"ERROR","OK"))</f>
        <v/>
      </c>
      <c r="AR82" s="15">
        <f>IF($B82="","",TRIM(IF(ISERROR(MATCH($B82,Community_Master!$A$2:$A$100,0)),"Invalid Community_ID; ","")&amp;IF($A82="","Missing Report_Month; ","")&amp;IF(AND($H82&lt;&gt;"",$I82&gt;$H82),"Occupied_Units greater than Total_Units; ","")&amp;IF(AND($H82&lt;&gt;"",$J82&gt;$H82),"Leased_Units greater than Total_Units; ","")&amp;IF($I82&lt;0,"Occupied_Units negative; ","")&amp;IF($J82&lt;0,"Leased_Units negative; ","")&amp;IF($P82&lt;0,"Avg_Market_Rent negative; ","")))</f>
        <v/>
      </c>
    </row>
    <row r="83" ht="15" customHeight="1">
      <c r="A83" s="5" t="n"/>
      <c r="B83" s="15" t="n"/>
      <c r="C83" s="15">
        <f>IFERROR(VLOOKUP($B83,Community_Master!$A$2:$K$100,2,FALSE),"")</f>
        <v/>
      </c>
      <c r="D83" s="15">
        <f>IFERROR(VLOOKUP($B83,Community_Master!$A$2:$K$100,4,FALSE),"")</f>
        <v/>
      </c>
      <c r="E83" s="15">
        <f>IFERROR(VLOOKUP($B83,Community_Master!$A$2:$K$100,5,FALSE),"")</f>
        <v/>
      </c>
      <c r="F83" s="15">
        <f>IFERROR(VLOOKUP($B83,Community_Master!$A$2:$K$100,6,FALSE),"")</f>
        <v/>
      </c>
      <c r="G83" s="15">
        <f>IFERROR(VLOOKUP($B83,Community_Master!$A$2:$K$100,8,FALSE),"")</f>
        <v/>
      </c>
      <c r="H83" s="15">
        <f>IFERROR(VLOOKUP($B83,Community_Master!$A$2:$K$100,7,FALSE),"")</f>
        <v/>
      </c>
      <c r="I83" s="15" t="n"/>
      <c r="J83" s="15" t="n"/>
      <c r="K83" s="15" t="n"/>
      <c r="L83" s="15">
        <f>IF($H83="","",MAX($H83-$I83,0))</f>
        <v/>
      </c>
      <c r="M83" s="6">
        <f>IF($H83="","",IFERROR($I83/$H83,""))</f>
        <v/>
      </c>
      <c r="N83" s="6">
        <f>IF($H83="","",IFERROR($J83/$H83,""))</f>
        <v/>
      </c>
      <c r="O83" s="6" t="n"/>
      <c r="P83" s="7" t="n"/>
      <c r="Q83" s="7" t="n"/>
      <c r="R83" s="7" t="n"/>
      <c r="S83" s="7" t="n"/>
      <c r="T83" s="7">
        <f>IF($H83="","",IFERROR($H83*$P83,""))</f>
        <v/>
      </c>
      <c r="U83" s="7" t="n"/>
      <c r="V83" s="7" t="n"/>
      <c r="W83" s="7" t="n"/>
      <c r="X83" s="7">
        <f>IF(OR($U83="",$W83=""),"",($U83+$V83)-$W83)</f>
        <v/>
      </c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9" t="n"/>
      <c r="AJ83" s="8" t="n"/>
      <c r="AK83" s="8" t="n"/>
      <c r="AL83" s="15" t="n"/>
      <c r="AM83" s="15" t="n"/>
      <c r="AN83" s="15" t="n"/>
      <c r="AO83" s="15" t="n"/>
      <c r="AP83" s="10" t="n"/>
      <c r="AQ83" s="15">
        <f>IF($B83="","",IF(OR(ISERROR(MATCH($B83,Community_Master!$A$2:$A$100,0)),$A83="",AND($H83&lt;&gt;"",$I83&gt;$H83),AND($H83&lt;&gt;"",$J83&gt;$H83),$I83&lt;0,$J83&lt;0,$K83&lt;0,$P83&lt;0,$Q83&lt;0,$Y83&lt;0,$Z83&lt;0,$AA83&lt;0,$AB83&lt;0,$AC83&lt;0),"ERROR","OK"))</f>
        <v/>
      </c>
      <c r="AR83" s="15">
        <f>IF($B83="","",TRIM(IF(ISERROR(MATCH($B83,Community_Master!$A$2:$A$100,0)),"Invalid Community_ID; ","")&amp;IF($A83="","Missing Report_Month; ","")&amp;IF(AND($H83&lt;&gt;"",$I83&gt;$H83),"Occupied_Units greater than Total_Units; ","")&amp;IF(AND($H83&lt;&gt;"",$J83&gt;$H83),"Leased_Units greater than Total_Units; ","")&amp;IF($I83&lt;0,"Occupied_Units negative; ","")&amp;IF($J83&lt;0,"Leased_Units negative; ","")&amp;IF($P83&lt;0,"Avg_Market_Rent negative; ","")))</f>
        <v/>
      </c>
    </row>
    <row r="84" ht="15" customHeight="1">
      <c r="A84" s="5" t="n"/>
      <c r="B84" s="15" t="n"/>
      <c r="C84" s="15">
        <f>IFERROR(VLOOKUP($B84,Community_Master!$A$2:$K$100,2,FALSE),"")</f>
        <v/>
      </c>
      <c r="D84" s="15">
        <f>IFERROR(VLOOKUP($B84,Community_Master!$A$2:$K$100,4,FALSE),"")</f>
        <v/>
      </c>
      <c r="E84" s="15">
        <f>IFERROR(VLOOKUP($B84,Community_Master!$A$2:$K$100,5,FALSE),"")</f>
        <v/>
      </c>
      <c r="F84" s="15">
        <f>IFERROR(VLOOKUP($B84,Community_Master!$A$2:$K$100,6,FALSE),"")</f>
        <v/>
      </c>
      <c r="G84" s="15">
        <f>IFERROR(VLOOKUP($B84,Community_Master!$A$2:$K$100,8,FALSE),"")</f>
        <v/>
      </c>
      <c r="H84" s="15">
        <f>IFERROR(VLOOKUP($B84,Community_Master!$A$2:$K$100,7,FALSE),"")</f>
        <v/>
      </c>
      <c r="I84" s="15" t="n"/>
      <c r="J84" s="15" t="n"/>
      <c r="K84" s="15" t="n"/>
      <c r="L84" s="15">
        <f>IF($H84="","",MAX($H84-$I84,0))</f>
        <v/>
      </c>
      <c r="M84" s="6">
        <f>IF($H84="","",IFERROR($I84/$H84,""))</f>
        <v/>
      </c>
      <c r="N84" s="6">
        <f>IF($H84="","",IFERROR($J84/$H84,""))</f>
        <v/>
      </c>
      <c r="O84" s="6" t="n"/>
      <c r="P84" s="7" t="n"/>
      <c r="Q84" s="7" t="n"/>
      <c r="R84" s="7" t="n"/>
      <c r="S84" s="7" t="n"/>
      <c r="T84" s="7">
        <f>IF($H84="","",IFERROR($H84*$P84,""))</f>
        <v/>
      </c>
      <c r="U84" s="7" t="n"/>
      <c r="V84" s="7" t="n"/>
      <c r="W84" s="7" t="n"/>
      <c r="X84" s="7">
        <f>IF(OR($U84="",$W84=""),"",($U84+$V84)-$W84)</f>
        <v/>
      </c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9" t="n"/>
      <c r="AJ84" s="8" t="n"/>
      <c r="AK84" s="8" t="n"/>
      <c r="AL84" s="15" t="n"/>
      <c r="AM84" s="15" t="n"/>
      <c r="AN84" s="15" t="n"/>
      <c r="AO84" s="15" t="n"/>
      <c r="AP84" s="10" t="n"/>
      <c r="AQ84" s="15">
        <f>IF($B84="","",IF(OR(ISERROR(MATCH($B84,Community_Master!$A$2:$A$100,0)),$A84="",AND($H84&lt;&gt;"",$I84&gt;$H84),AND($H84&lt;&gt;"",$J84&gt;$H84),$I84&lt;0,$J84&lt;0,$K84&lt;0,$P84&lt;0,$Q84&lt;0,$Y84&lt;0,$Z84&lt;0,$AA84&lt;0,$AB84&lt;0,$AC84&lt;0),"ERROR","OK"))</f>
        <v/>
      </c>
      <c r="AR84" s="15">
        <f>IF($B84="","",TRIM(IF(ISERROR(MATCH($B84,Community_Master!$A$2:$A$100,0)),"Invalid Community_ID; ","")&amp;IF($A84="","Missing Report_Month; ","")&amp;IF(AND($H84&lt;&gt;"",$I84&gt;$H84),"Occupied_Units greater than Total_Units; ","")&amp;IF(AND($H84&lt;&gt;"",$J84&gt;$H84),"Leased_Units greater than Total_Units; ","")&amp;IF($I84&lt;0,"Occupied_Units negative; ","")&amp;IF($J84&lt;0,"Leased_Units negative; ","")&amp;IF($P84&lt;0,"Avg_Market_Rent negative; ","")))</f>
        <v/>
      </c>
    </row>
    <row r="85" ht="15" customHeight="1">
      <c r="A85" s="5" t="n"/>
      <c r="B85" s="15" t="n"/>
      <c r="C85" s="15">
        <f>IFERROR(VLOOKUP($B85,Community_Master!$A$2:$K$100,2,FALSE),"")</f>
        <v/>
      </c>
      <c r="D85" s="15">
        <f>IFERROR(VLOOKUP($B85,Community_Master!$A$2:$K$100,4,FALSE),"")</f>
        <v/>
      </c>
      <c r="E85" s="15">
        <f>IFERROR(VLOOKUP($B85,Community_Master!$A$2:$K$100,5,FALSE),"")</f>
        <v/>
      </c>
      <c r="F85" s="15">
        <f>IFERROR(VLOOKUP($B85,Community_Master!$A$2:$K$100,6,FALSE),"")</f>
        <v/>
      </c>
      <c r="G85" s="15">
        <f>IFERROR(VLOOKUP($B85,Community_Master!$A$2:$K$100,8,FALSE),"")</f>
        <v/>
      </c>
      <c r="H85" s="15">
        <f>IFERROR(VLOOKUP($B85,Community_Master!$A$2:$K$100,7,FALSE),"")</f>
        <v/>
      </c>
      <c r="I85" s="15" t="n"/>
      <c r="J85" s="15" t="n"/>
      <c r="K85" s="15" t="n"/>
      <c r="L85" s="15">
        <f>IF($H85="","",MAX($H85-$I85,0))</f>
        <v/>
      </c>
      <c r="M85" s="6">
        <f>IF($H85="","",IFERROR($I85/$H85,""))</f>
        <v/>
      </c>
      <c r="N85" s="6">
        <f>IF($H85="","",IFERROR($J85/$H85,""))</f>
        <v/>
      </c>
      <c r="O85" s="6" t="n"/>
      <c r="P85" s="7" t="n"/>
      <c r="Q85" s="7" t="n"/>
      <c r="R85" s="7" t="n"/>
      <c r="S85" s="7" t="n"/>
      <c r="T85" s="7">
        <f>IF($H85="","",IFERROR($H85*$P85,""))</f>
        <v/>
      </c>
      <c r="U85" s="7" t="n"/>
      <c r="V85" s="7" t="n"/>
      <c r="W85" s="7" t="n"/>
      <c r="X85" s="7">
        <f>IF(OR($U85="",$W85=""),"",($U85+$V85)-$W85)</f>
        <v/>
      </c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9" t="n"/>
      <c r="AJ85" s="8" t="n"/>
      <c r="AK85" s="8" t="n"/>
      <c r="AL85" s="15" t="n"/>
      <c r="AM85" s="15" t="n"/>
      <c r="AN85" s="15" t="n"/>
      <c r="AO85" s="15" t="n"/>
      <c r="AP85" s="10" t="n"/>
      <c r="AQ85" s="15">
        <f>IF($B85="","",IF(OR(ISERROR(MATCH($B85,Community_Master!$A$2:$A$100,0)),$A85="",AND($H85&lt;&gt;"",$I85&gt;$H85),AND($H85&lt;&gt;"",$J85&gt;$H85),$I85&lt;0,$J85&lt;0,$K85&lt;0,$P85&lt;0,$Q85&lt;0,$Y85&lt;0,$Z85&lt;0,$AA85&lt;0,$AB85&lt;0,$AC85&lt;0),"ERROR","OK"))</f>
        <v/>
      </c>
      <c r="AR85" s="15">
        <f>IF($B85="","",TRIM(IF(ISERROR(MATCH($B85,Community_Master!$A$2:$A$100,0)),"Invalid Community_ID; ","")&amp;IF($A85="","Missing Report_Month; ","")&amp;IF(AND($H85&lt;&gt;"",$I85&gt;$H85),"Occupied_Units greater than Total_Units; ","")&amp;IF(AND($H85&lt;&gt;"",$J85&gt;$H85),"Leased_Units greater than Total_Units; ","")&amp;IF($I85&lt;0,"Occupied_Units negative; ","")&amp;IF($J85&lt;0,"Leased_Units negative; ","")&amp;IF($P85&lt;0,"Avg_Market_Rent negative; ","")))</f>
        <v/>
      </c>
    </row>
    <row r="86" ht="15" customHeight="1">
      <c r="A86" s="5" t="n"/>
      <c r="B86" s="15" t="n"/>
      <c r="C86" s="15">
        <f>IFERROR(VLOOKUP($B86,Community_Master!$A$2:$K$100,2,FALSE),"")</f>
        <v/>
      </c>
      <c r="D86" s="15">
        <f>IFERROR(VLOOKUP($B86,Community_Master!$A$2:$K$100,4,FALSE),"")</f>
        <v/>
      </c>
      <c r="E86" s="15">
        <f>IFERROR(VLOOKUP($B86,Community_Master!$A$2:$K$100,5,FALSE),"")</f>
        <v/>
      </c>
      <c r="F86" s="15">
        <f>IFERROR(VLOOKUP($B86,Community_Master!$A$2:$K$100,6,FALSE),"")</f>
        <v/>
      </c>
      <c r="G86" s="15">
        <f>IFERROR(VLOOKUP($B86,Community_Master!$A$2:$K$100,8,FALSE),"")</f>
        <v/>
      </c>
      <c r="H86" s="15">
        <f>IFERROR(VLOOKUP($B86,Community_Master!$A$2:$K$100,7,FALSE),"")</f>
        <v/>
      </c>
      <c r="I86" s="15" t="n"/>
      <c r="J86" s="15" t="n"/>
      <c r="K86" s="15" t="n"/>
      <c r="L86" s="15">
        <f>IF($H86="","",MAX($H86-$I86,0))</f>
        <v/>
      </c>
      <c r="M86" s="6">
        <f>IF($H86="","",IFERROR($I86/$H86,""))</f>
        <v/>
      </c>
      <c r="N86" s="6">
        <f>IF($H86="","",IFERROR($J86/$H86,""))</f>
        <v/>
      </c>
      <c r="O86" s="6" t="n"/>
      <c r="P86" s="7" t="n"/>
      <c r="Q86" s="7" t="n"/>
      <c r="R86" s="7" t="n"/>
      <c r="S86" s="7" t="n"/>
      <c r="T86" s="7">
        <f>IF($H86="","",IFERROR($H86*$P86,""))</f>
        <v/>
      </c>
      <c r="U86" s="7" t="n"/>
      <c r="V86" s="7" t="n"/>
      <c r="W86" s="7" t="n"/>
      <c r="X86" s="7">
        <f>IF(OR($U86="",$W86=""),"",($U86+$V86)-$W86)</f>
        <v/>
      </c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9" t="n"/>
      <c r="AJ86" s="8" t="n"/>
      <c r="AK86" s="8" t="n"/>
      <c r="AL86" s="15" t="n"/>
      <c r="AM86" s="15" t="n"/>
      <c r="AN86" s="15" t="n"/>
      <c r="AO86" s="15" t="n"/>
      <c r="AP86" s="10" t="n"/>
      <c r="AQ86" s="15">
        <f>IF($B86="","",IF(OR(ISERROR(MATCH($B86,Community_Master!$A$2:$A$100,0)),$A86="",AND($H86&lt;&gt;"",$I86&gt;$H86),AND($H86&lt;&gt;"",$J86&gt;$H86),$I86&lt;0,$J86&lt;0,$K86&lt;0,$P86&lt;0,$Q86&lt;0,$Y86&lt;0,$Z86&lt;0,$AA86&lt;0,$AB86&lt;0,$AC86&lt;0),"ERROR","OK"))</f>
        <v/>
      </c>
      <c r="AR86" s="15">
        <f>IF($B86="","",TRIM(IF(ISERROR(MATCH($B86,Community_Master!$A$2:$A$100,0)),"Invalid Community_ID; ","")&amp;IF($A86="","Missing Report_Month; ","")&amp;IF(AND($H86&lt;&gt;"",$I86&gt;$H86),"Occupied_Units greater than Total_Units; ","")&amp;IF(AND($H86&lt;&gt;"",$J86&gt;$H86),"Leased_Units greater than Total_Units; ","")&amp;IF($I86&lt;0,"Occupied_Units negative; ","")&amp;IF($J86&lt;0,"Leased_Units negative; ","")&amp;IF($P86&lt;0,"Avg_Market_Rent negative; ","")))</f>
        <v/>
      </c>
    </row>
    <row r="87" ht="15" customHeight="1">
      <c r="A87" s="5" t="n"/>
      <c r="B87" s="15" t="n"/>
      <c r="C87" s="15">
        <f>IFERROR(VLOOKUP($B87,Community_Master!$A$2:$K$100,2,FALSE),"")</f>
        <v/>
      </c>
      <c r="D87" s="15">
        <f>IFERROR(VLOOKUP($B87,Community_Master!$A$2:$K$100,4,FALSE),"")</f>
        <v/>
      </c>
      <c r="E87" s="15">
        <f>IFERROR(VLOOKUP($B87,Community_Master!$A$2:$K$100,5,FALSE),"")</f>
        <v/>
      </c>
      <c r="F87" s="15">
        <f>IFERROR(VLOOKUP($B87,Community_Master!$A$2:$K$100,6,FALSE),"")</f>
        <v/>
      </c>
      <c r="G87" s="15">
        <f>IFERROR(VLOOKUP($B87,Community_Master!$A$2:$K$100,8,FALSE),"")</f>
        <v/>
      </c>
      <c r="H87" s="15">
        <f>IFERROR(VLOOKUP($B87,Community_Master!$A$2:$K$100,7,FALSE),"")</f>
        <v/>
      </c>
      <c r="I87" s="15" t="n"/>
      <c r="J87" s="15" t="n"/>
      <c r="K87" s="15" t="n"/>
      <c r="L87" s="15">
        <f>IF($H87="","",MAX($H87-$I87,0))</f>
        <v/>
      </c>
      <c r="M87" s="6">
        <f>IF($H87="","",IFERROR($I87/$H87,""))</f>
        <v/>
      </c>
      <c r="N87" s="6">
        <f>IF($H87="","",IFERROR($J87/$H87,""))</f>
        <v/>
      </c>
      <c r="O87" s="6" t="n"/>
      <c r="P87" s="7" t="n"/>
      <c r="Q87" s="7" t="n"/>
      <c r="R87" s="7" t="n"/>
      <c r="S87" s="7" t="n"/>
      <c r="T87" s="7">
        <f>IF($H87="","",IFERROR($H87*$P87,""))</f>
        <v/>
      </c>
      <c r="U87" s="7" t="n"/>
      <c r="V87" s="7" t="n"/>
      <c r="W87" s="7" t="n"/>
      <c r="X87" s="7">
        <f>IF(OR($U87="",$W87=""),"",($U87+$V87)-$W87)</f>
        <v/>
      </c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9" t="n"/>
      <c r="AJ87" s="8" t="n"/>
      <c r="AK87" s="8" t="n"/>
      <c r="AL87" s="15" t="n"/>
      <c r="AM87" s="15" t="n"/>
      <c r="AN87" s="15" t="n"/>
      <c r="AO87" s="15" t="n"/>
      <c r="AP87" s="10" t="n"/>
      <c r="AQ87" s="15">
        <f>IF($B87="","",IF(OR(ISERROR(MATCH($B87,Community_Master!$A$2:$A$100,0)),$A87="",AND($H87&lt;&gt;"",$I87&gt;$H87),AND($H87&lt;&gt;"",$J87&gt;$H87),$I87&lt;0,$J87&lt;0,$K87&lt;0,$P87&lt;0,$Q87&lt;0,$Y87&lt;0,$Z87&lt;0,$AA87&lt;0,$AB87&lt;0,$AC87&lt;0),"ERROR","OK"))</f>
        <v/>
      </c>
      <c r="AR87" s="15">
        <f>IF($B87="","",TRIM(IF(ISERROR(MATCH($B87,Community_Master!$A$2:$A$100,0)),"Invalid Community_ID; ","")&amp;IF($A87="","Missing Report_Month; ","")&amp;IF(AND($H87&lt;&gt;"",$I87&gt;$H87),"Occupied_Units greater than Total_Units; ","")&amp;IF(AND($H87&lt;&gt;"",$J87&gt;$H87),"Leased_Units greater than Total_Units; ","")&amp;IF($I87&lt;0,"Occupied_Units negative; ","")&amp;IF($J87&lt;0,"Leased_Units negative; ","")&amp;IF($P87&lt;0,"Avg_Market_Rent negative; ","")))</f>
        <v/>
      </c>
    </row>
    <row r="88" ht="15" customHeight="1">
      <c r="A88" s="5" t="n"/>
      <c r="B88" s="15" t="n"/>
      <c r="C88" s="15">
        <f>IFERROR(VLOOKUP($B88,Community_Master!$A$2:$K$100,2,FALSE),"")</f>
        <v/>
      </c>
      <c r="D88" s="15">
        <f>IFERROR(VLOOKUP($B88,Community_Master!$A$2:$K$100,4,FALSE),"")</f>
        <v/>
      </c>
      <c r="E88" s="15">
        <f>IFERROR(VLOOKUP($B88,Community_Master!$A$2:$K$100,5,FALSE),"")</f>
        <v/>
      </c>
      <c r="F88" s="15">
        <f>IFERROR(VLOOKUP($B88,Community_Master!$A$2:$K$100,6,FALSE),"")</f>
        <v/>
      </c>
      <c r="G88" s="15">
        <f>IFERROR(VLOOKUP($B88,Community_Master!$A$2:$K$100,8,FALSE),"")</f>
        <v/>
      </c>
      <c r="H88" s="15">
        <f>IFERROR(VLOOKUP($B88,Community_Master!$A$2:$K$100,7,FALSE),"")</f>
        <v/>
      </c>
      <c r="I88" s="15" t="n"/>
      <c r="J88" s="15" t="n"/>
      <c r="K88" s="15" t="n"/>
      <c r="L88" s="15">
        <f>IF($H88="","",MAX($H88-$I88,0))</f>
        <v/>
      </c>
      <c r="M88" s="6">
        <f>IF($H88="","",IFERROR($I88/$H88,""))</f>
        <v/>
      </c>
      <c r="N88" s="6">
        <f>IF($H88="","",IFERROR($J88/$H88,""))</f>
        <v/>
      </c>
      <c r="O88" s="6" t="n"/>
      <c r="P88" s="7" t="n"/>
      <c r="Q88" s="7" t="n"/>
      <c r="R88" s="7" t="n"/>
      <c r="S88" s="7" t="n"/>
      <c r="T88" s="7">
        <f>IF($H88="","",IFERROR($H88*$P88,""))</f>
        <v/>
      </c>
      <c r="U88" s="7" t="n"/>
      <c r="V88" s="7" t="n"/>
      <c r="W88" s="7" t="n"/>
      <c r="X88" s="7">
        <f>IF(OR($U88="",$W88=""),"",($U88+$V88)-$W88)</f>
        <v/>
      </c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9" t="n"/>
      <c r="AJ88" s="8" t="n"/>
      <c r="AK88" s="8" t="n"/>
      <c r="AL88" s="15" t="n"/>
      <c r="AM88" s="15" t="n"/>
      <c r="AN88" s="15" t="n"/>
      <c r="AO88" s="15" t="n"/>
      <c r="AP88" s="10" t="n"/>
      <c r="AQ88" s="15">
        <f>IF($B88="","",IF(OR(ISERROR(MATCH($B88,Community_Master!$A$2:$A$100,0)),$A88="",AND($H88&lt;&gt;"",$I88&gt;$H88),AND($H88&lt;&gt;"",$J88&gt;$H88),$I88&lt;0,$J88&lt;0,$K88&lt;0,$P88&lt;0,$Q88&lt;0,$Y88&lt;0,$Z88&lt;0,$AA88&lt;0,$AB88&lt;0,$AC88&lt;0),"ERROR","OK"))</f>
        <v/>
      </c>
      <c r="AR88" s="15">
        <f>IF($B88="","",TRIM(IF(ISERROR(MATCH($B88,Community_Master!$A$2:$A$100,0)),"Invalid Community_ID; ","")&amp;IF($A88="","Missing Report_Month; ","")&amp;IF(AND($H88&lt;&gt;"",$I88&gt;$H88),"Occupied_Units greater than Total_Units; ","")&amp;IF(AND($H88&lt;&gt;"",$J88&gt;$H88),"Leased_Units greater than Total_Units; ","")&amp;IF($I88&lt;0,"Occupied_Units negative; ","")&amp;IF($J88&lt;0,"Leased_Units negative; ","")&amp;IF($P88&lt;0,"Avg_Market_Rent negative; ","")))</f>
        <v/>
      </c>
    </row>
    <row r="89" ht="15" customHeight="1">
      <c r="A89" s="5" t="n"/>
      <c r="B89" s="15" t="n"/>
      <c r="C89" s="15">
        <f>IFERROR(VLOOKUP($B89,Community_Master!$A$2:$K$100,2,FALSE),"")</f>
        <v/>
      </c>
      <c r="D89" s="15">
        <f>IFERROR(VLOOKUP($B89,Community_Master!$A$2:$K$100,4,FALSE),"")</f>
        <v/>
      </c>
      <c r="E89" s="15">
        <f>IFERROR(VLOOKUP($B89,Community_Master!$A$2:$K$100,5,FALSE),"")</f>
        <v/>
      </c>
      <c r="F89" s="15">
        <f>IFERROR(VLOOKUP($B89,Community_Master!$A$2:$K$100,6,FALSE),"")</f>
        <v/>
      </c>
      <c r="G89" s="15">
        <f>IFERROR(VLOOKUP($B89,Community_Master!$A$2:$K$100,8,FALSE),"")</f>
        <v/>
      </c>
      <c r="H89" s="15">
        <f>IFERROR(VLOOKUP($B89,Community_Master!$A$2:$K$100,7,FALSE),"")</f>
        <v/>
      </c>
      <c r="I89" s="15" t="n"/>
      <c r="J89" s="15" t="n"/>
      <c r="K89" s="15" t="n"/>
      <c r="L89" s="15">
        <f>IF($H89="","",MAX($H89-$I89,0))</f>
        <v/>
      </c>
      <c r="M89" s="6">
        <f>IF($H89="","",IFERROR($I89/$H89,""))</f>
        <v/>
      </c>
      <c r="N89" s="6">
        <f>IF($H89="","",IFERROR($J89/$H89,""))</f>
        <v/>
      </c>
      <c r="O89" s="6" t="n"/>
      <c r="P89" s="7" t="n"/>
      <c r="Q89" s="7" t="n"/>
      <c r="R89" s="7" t="n"/>
      <c r="S89" s="7" t="n"/>
      <c r="T89" s="7">
        <f>IF($H89="","",IFERROR($H89*$P89,""))</f>
        <v/>
      </c>
      <c r="U89" s="7" t="n"/>
      <c r="V89" s="7" t="n"/>
      <c r="W89" s="7" t="n"/>
      <c r="X89" s="7">
        <f>IF(OR($U89="",$W89=""),"",($U89+$V89)-$W89)</f>
        <v/>
      </c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9" t="n"/>
      <c r="AJ89" s="8" t="n"/>
      <c r="AK89" s="8" t="n"/>
      <c r="AL89" s="15" t="n"/>
      <c r="AM89" s="15" t="n"/>
      <c r="AN89" s="15" t="n"/>
      <c r="AO89" s="15" t="n"/>
      <c r="AP89" s="10" t="n"/>
      <c r="AQ89" s="15">
        <f>IF($B89="","",IF(OR(ISERROR(MATCH($B89,Community_Master!$A$2:$A$100,0)),$A89="",AND($H89&lt;&gt;"",$I89&gt;$H89),AND($H89&lt;&gt;"",$J89&gt;$H89),$I89&lt;0,$J89&lt;0,$K89&lt;0,$P89&lt;0,$Q89&lt;0,$Y89&lt;0,$Z89&lt;0,$AA89&lt;0,$AB89&lt;0,$AC89&lt;0),"ERROR","OK"))</f>
        <v/>
      </c>
      <c r="AR89" s="15">
        <f>IF($B89="","",TRIM(IF(ISERROR(MATCH($B89,Community_Master!$A$2:$A$100,0)),"Invalid Community_ID; ","")&amp;IF($A89="","Missing Report_Month; ","")&amp;IF(AND($H89&lt;&gt;"",$I89&gt;$H89),"Occupied_Units greater than Total_Units; ","")&amp;IF(AND($H89&lt;&gt;"",$J89&gt;$H89),"Leased_Units greater than Total_Units; ","")&amp;IF($I89&lt;0,"Occupied_Units negative; ","")&amp;IF($J89&lt;0,"Leased_Units negative; ","")&amp;IF($P89&lt;0,"Avg_Market_Rent negative; ","")))</f>
        <v/>
      </c>
    </row>
    <row r="90" ht="15" customHeight="1">
      <c r="A90" s="5" t="n"/>
      <c r="B90" s="15" t="n"/>
      <c r="C90" s="15">
        <f>IFERROR(VLOOKUP($B90,Community_Master!$A$2:$K$100,2,FALSE),"")</f>
        <v/>
      </c>
      <c r="D90" s="15">
        <f>IFERROR(VLOOKUP($B90,Community_Master!$A$2:$K$100,4,FALSE),"")</f>
        <v/>
      </c>
      <c r="E90" s="15">
        <f>IFERROR(VLOOKUP($B90,Community_Master!$A$2:$K$100,5,FALSE),"")</f>
        <v/>
      </c>
      <c r="F90" s="15">
        <f>IFERROR(VLOOKUP($B90,Community_Master!$A$2:$K$100,6,FALSE),"")</f>
        <v/>
      </c>
      <c r="G90" s="15">
        <f>IFERROR(VLOOKUP($B90,Community_Master!$A$2:$K$100,8,FALSE),"")</f>
        <v/>
      </c>
      <c r="H90" s="15">
        <f>IFERROR(VLOOKUP($B90,Community_Master!$A$2:$K$100,7,FALSE),"")</f>
        <v/>
      </c>
      <c r="I90" s="15" t="n"/>
      <c r="J90" s="15" t="n"/>
      <c r="K90" s="15" t="n"/>
      <c r="L90" s="15">
        <f>IF($H90="","",MAX($H90-$I90,0))</f>
        <v/>
      </c>
      <c r="M90" s="6">
        <f>IF($H90="","",IFERROR($I90/$H90,""))</f>
        <v/>
      </c>
      <c r="N90" s="6">
        <f>IF($H90="","",IFERROR($J90/$H90,""))</f>
        <v/>
      </c>
      <c r="O90" s="6" t="n"/>
      <c r="P90" s="7" t="n"/>
      <c r="Q90" s="7" t="n"/>
      <c r="R90" s="7" t="n"/>
      <c r="S90" s="7" t="n"/>
      <c r="T90" s="7">
        <f>IF($H90="","",IFERROR($H90*$P90,""))</f>
        <v/>
      </c>
      <c r="U90" s="7" t="n"/>
      <c r="V90" s="7" t="n"/>
      <c r="W90" s="7" t="n"/>
      <c r="X90" s="7">
        <f>IF(OR($U90="",$W90=""),"",($U90+$V90)-$W90)</f>
        <v/>
      </c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9" t="n"/>
      <c r="AJ90" s="8" t="n"/>
      <c r="AK90" s="8" t="n"/>
      <c r="AL90" s="15" t="n"/>
      <c r="AM90" s="15" t="n"/>
      <c r="AN90" s="15" t="n"/>
      <c r="AO90" s="15" t="n"/>
      <c r="AP90" s="10" t="n"/>
      <c r="AQ90" s="15">
        <f>IF($B90="","",IF(OR(ISERROR(MATCH($B90,Community_Master!$A$2:$A$100,0)),$A90="",AND($H90&lt;&gt;"",$I90&gt;$H90),AND($H90&lt;&gt;"",$J90&gt;$H90),$I90&lt;0,$J90&lt;0,$K90&lt;0,$P90&lt;0,$Q90&lt;0,$Y90&lt;0,$Z90&lt;0,$AA90&lt;0,$AB90&lt;0,$AC90&lt;0),"ERROR","OK"))</f>
        <v/>
      </c>
      <c r="AR90" s="15">
        <f>IF($B90="","",TRIM(IF(ISERROR(MATCH($B90,Community_Master!$A$2:$A$100,0)),"Invalid Community_ID; ","")&amp;IF($A90="","Missing Report_Month; ","")&amp;IF(AND($H90&lt;&gt;"",$I90&gt;$H90),"Occupied_Units greater than Total_Units; ","")&amp;IF(AND($H90&lt;&gt;"",$J90&gt;$H90),"Leased_Units greater than Total_Units; ","")&amp;IF($I90&lt;0,"Occupied_Units negative; ","")&amp;IF($J90&lt;0,"Leased_Units negative; ","")&amp;IF($P90&lt;0,"Avg_Market_Rent negative; ","")))</f>
        <v/>
      </c>
    </row>
    <row r="91" ht="15" customHeight="1">
      <c r="A91" s="5" t="n"/>
      <c r="B91" s="15" t="n"/>
      <c r="C91" s="15">
        <f>IFERROR(VLOOKUP($B91,Community_Master!$A$2:$K$100,2,FALSE),"")</f>
        <v/>
      </c>
      <c r="D91" s="15">
        <f>IFERROR(VLOOKUP($B91,Community_Master!$A$2:$K$100,4,FALSE),"")</f>
        <v/>
      </c>
      <c r="E91" s="15">
        <f>IFERROR(VLOOKUP($B91,Community_Master!$A$2:$K$100,5,FALSE),"")</f>
        <v/>
      </c>
      <c r="F91" s="15">
        <f>IFERROR(VLOOKUP($B91,Community_Master!$A$2:$K$100,6,FALSE),"")</f>
        <v/>
      </c>
      <c r="G91" s="15">
        <f>IFERROR(VLOOKUP($B91,Community_Master!$A$2:$K$100,8,FALSE),"")</f>
        <v/>
      </c>
      <c r="H91" s="15">
        <f>IFERROR(VLOOKUP($B91,Community_Master!$A$2:$K$100,7,FALSE),"")</f>
        <v/>
      </c>
      <c r="I91" s="15" t="n"/>
      <c r="J91" s="15" t="n"/>
      <c r="K91" s="15" t="n"/>
      <c r="L91" s="15">
        <f>IF($H91="","",MAX($H91-$I91,0))</f>
        <v/>
      </c>
      <c r="M91" s="6">
        <f>IF($H91="","",IFERROR($I91/$H91,""))</f>
        <v/>
      </c>
      <c r="N91" s="6">
        <f>IF($H91="","",IFERROR($J91/$H91,""))</f>
        <v/>
      </c>
      <c r="O91" s="6" t="n"/>
      <c r="P91" s="7" t="n"/>
      <c r="Q91" s="7" t="n"/>
      <c r="R91" s="7" t="n"/>
      <c r="S91" s="7" t="n"/>
      <c r="T91" s="7">
        <f>IF($H91="","",IFERROR($H91*$P91,""))</f>
        <v/>
      </c>
      <c r="U91" s="7" t="n"/>
      <c r="V91" s="7" t="n"/>
      <c r="W91" s="7" t="n"/>
      <c r="X91" s="7">
        <f>IF(OR($U91="",$W91=""),"",($U91+$V91)-$W91)</f>
        <v/>
      </c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9" t="n"/>
      <c r="AJ91" s="8" t="n"/>
      <c r="AK91" s="8" t="n"/>
      <c r="AL91" s="15" t="n"/>
      <c r="AM91" s="15" t="n"/>
      <c r="AN91" s="15" t="n"/>
      <c r="AO91" s="15" t="n"/>
      <c r="AP91" s="10" t="n"/>
      <c r="AQ91" s="15">
        <f>IF($B91="","",IF(OR(ISERROR(MATCH($B91,Community_Master!$A$2:$A$100,0)),$A91="",AND($H91&lt;&gt;"",$I91&gt;$H91),AND($H91&lt;&gt;"",$J91&gt;$H91),$I91&lt;0,$J91&lt;0,$K91&lt;0,$P91&lt;0,$Q91&lt;0,$Y91&lt;0,$Z91&lt;0,$AA91&lt;0,$AB91&lt;0,$AC91&lt;0),"ERROR","OK"))</f>
        <v/>
      </c>
      <c r="AR91" s="15">
        <f>IF($B91="","",TRIM(IF(ISERROR(MATCH($B91,Community_Master!$A$2:$A$100,0)),"Invalid Community_ID; ","")&amp;IF($A91="","Missing Report_Month; ","")&amp;IF(AND($H91&lt;&gt;"",$I91&gt;$H91),"Occupied_Units greater than Total_Units; ","")&amp;IF(AND($H91&lt;&gt;"",$J91&gt;$H91),"Leased_Units greater than Total_Units; ","")&amp;IF($I91&lt;0,"Occupied_Units negative; ","")&amp;IF($J91&lt;0,"Leased_Units negative; ","")&amp;IF($P91&lt;0,"Avg_Market_Rent negative; ","")))</f>
        <v/>
      </c>
    </row>
    <row r="92" ht="15" customHeight="1">
      <c r="A92" s="5" t="n"/>
      <c r="B92" s="15" t="n"/>
      <c r="C92" s="15">
        <f>IFERROR(VLOOKUP($B92,Community_Master!$A$2:$K$100,2,FALSE),"")</f>
        <v/>
      </c>
      <c r="D92" s="15">
        <f>IFERROR(VLOOKUP($B92,Community_Master!$A$2:$K$100,4,FALSE),"")</f>
        <v/>
      </c>
      <c r="E92" s="15">
        <f>IFERROR(VLOOKUP($B92,Community_Master!$A$2:$K$100,5,FALSE),"")</f>
        <v/>
      </c>
      <c r="F92" s="15">
        <f>IFERROR(VLOOKUP($B92,Community_Master!$A$2:$K$100,6,FALSE),"")</f>
        <v/>
      </c>
      <c r="G92" s="15">
        <f>IFERROR(VLOOKUP($B92,Community_Master!$A$2:$K$100,8,FALSE),"")</f>
        <v/>
      </c>
      <c r="H92" s="15">
        <f>IFERROR(VLOOKUP($B92,Community_Master!$A$2:$K$100,7,FALSE),"")</f>
        <v/>
      </c>
      <c r="I92" s="15" t="n"/>
      <c r="J92" s="15" t="n"/>
      <c r="K92" s="15" t="n"/>
      <c r="L92" s="15">
        <f>IF($H92="","",MAX($H92-$I92,0))</f>
        <v/>
      </c>
      <c r="M92" s="6">
        <f>IF($H92="","",IFERROR($I92/$H92,""))</f>
        <v/>
      </c>
      <c r="N92" s="6">
        <f>IF($H92="","",IFERROR($J92/$H92,""))</f>
        <v/>
      </c>
      <c r="O92" s="6" t="n"/>
      <c r="P92" s="7" t="n"/>
      <c r="Q92" s="7" t="n"/>
      <c r="R92" s="7" t="n"/>
      <c r="S92" s="7" t="n"/>
      <c r="T92" s="7">
        <f>IF($H92="","",IFERROR($H92*$P92,""))</f>
        <v/>
      </c>
      <c r="U92" s="7" t="n"/>
      <c r="V92" s="7" t="n"/>
      <c r="W92" s="7" t="n"/>
      <c r="X92" s="7">
        <f>IF(OR($U92="",$W92=""),"",($U92+$V92)-$W92)</f>
        <v/>
      </c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9" t="n"/>
      <c r="AJ92" s="8" t="n"/>
      <c r="AK92" s="8" t="n"/>
      <c r="AL92" s="15" t="n"/>
      <c r="AM92" s="15" t="n"/>
      <c r="AN92" s="15" t="n"/>
      <c r="AO92" s="15" t="n"/>
      <c r="AP92" s="10" t="n"/>
      <c r="AQ92" s="15">
        <f>IF($B92="","",IF(OR(ISERROR(MATCH($B92,Community_Master!$A$2:$A$100,0)),$A92="",AND($H92&lt;&gt;"",$I92&gt;$H92),AND($H92&lt;&gt;"",$J92&gt;$H92),$I92&lt;0,$J92&lt;0,$K92&lt;0,$P92&lt;0,$Q92&lt;0,$Y92&lt;0,$Z92&lt;0,$AA92&lt;0,$AB92&lt;0,$AC92&lt;0),"ERROR","OK"))</f>
        <v/>
      </c>
      <c r="AR92" s="15">
        <f>IF($B92="","",TRIM(IF(ISERROR(MATCH($B92,Community_Master!$A$2:$A$100,0)),"Invalid Community_ID; ","")&amp;IF($A92="","Missing Report_Month; ","")&amp;IF(AND($H92&lt;&gt;"",$I92&gt;$H92),"Occupied_Units greater than Total_Units; ","")&amp;IF(AND($H92&lt;&gt;"",$J92&gt;$H92),"Leased_Units greater than Total_Units; ","")&amp;IF($I92&lt;0,"Occupied_Units negative; ","")&amp;IF($J92&lt;0,"Leased_Units negative; ","")&amp;IF($P92&lt;0,"Avg_Market_Rent negative; ","")))</f>
        <v/>
      </c>
    </row>
    <row r="93" ht="15" customHeight="1">
      <c r="A93" s="5" t="n"/>
      <c r="B93" s="15" t="n"/>
      <c r="C93" s="15">
        <f>IFERROR(VLOOKUP($B93,Community_Master!$A$2:$K$100,2,FALSE),"")</f>
        <v/>
      </c>
      <c r="D93" s="15">
        <f>IFERROR(VLOOKUP($B93,Community_Master!$A$2:$K$100,4,FALSE),"")</f>
        <v/>
      </c>
      <c r="E93" s="15">
        <f>IFERROR(VLOOKUP($B93,Community_Master!$A$2:$K$100,5,FALSE),"")</f>
        <v/>
      </c>
      <c r="F93" s="15">
        <f>IFERROR(VLOOKUP($B93,Community_Master!$A$2:$K$100,6,FALSE),"")</f>
        <v/>
      </c>
      <c r="G93" s="15">
        <f>IFERROR(VLOOKUP($B93,Community_Master!$A$2:$K$100,8,FALSE),"")</f>
        <v/>
      </c>
      <c r="H93" s="15">
        <f>IFERROR(VLOOKUP($B93,Community_Master!$A$2:$K$100,7,FALSE),"")</f>
        <v/>
      </c>
      <c r="I93" s="15" t="n"/>
      <c r="J93" s="15" t="n"/>
      <c r="K93" s="15" t="n"/>
      <c r="L93" s="15">
        <f>IF($H93="","",MAX($H93-$I93,0))</f>
        <v/>
      </c>
      <c r="M93" s="6">
        <f>IF($H93="","",IFERROR($I93/$H93,""))</f>
        <v/>
      </c>
      <c r="N93" s="6">
        <f>IF($H93="","",IFERROR($J93/$H93,""))</f>
        <v/>
      </c>
      <c r="O93" s="6" t="n"/>
      <c r="P93" s="7" t="n"/>
      <c r="Q93" s="7" t="n"/>
      <c r="R93" s="7" t="n"/>
      <c r="S93" s="7" t="n"/>
      <c r="T93" s="7">
        <f>IF($H93="","",IFERROR($H93*$P93,""))</f>
        <v/>
      </c>
      <c r="U93" s="7" t="n"/>
      <c r="V93" s="7" t="n"/>
      <c r="W93" s="7" t="n"/>
      <c r="X93" s="7">
        <f>IF(OR($U93="",$W93=""),"",($U93+$V93)-$W93)</f>
        <v/>
      </c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9" t="n"/>
      <c r="AJ93" s="8" t="n"/>
      <c r="AK93" s="8" t="n"/>
      <c r="AL93" s="15" t="n"/>
      <c r="AM93" s="15" t="n"/>
      <c r="AN93" s="15" t="n"/>
      <c r="AO93" s="15" t="n"/>
      <c r="AP93" s="10" t="n"/>
      <c r="AQ93" s="15">
        <f>IF($B93="","",IF(OR(ISERROR(MATCH($B93,Community_Master!$A$2:$A$100,0)),$A93="",AND($H93&lt;&gt;"",$I93&gt;$H93),AND($H93&lt;&gt;"",$J93&gt;$H93),$I93&lt;0,$J93&lt;0,$K93&lt;0,$P93&lt;0,$Q93&lt;0,$Y93&lt;0,$Z93&lt;0,$AA93&lt;0,$AB93&lt;0,$AC93&lt;0),"ERROR","OK"))</f>
        <v/>
      </c>
      <c r="AR93" s="15">
        <f>IF($B93="","",TRIM(IF(ISERROR(MATCH($B93,Community_Master!$A$2:$A$100,0)),"Invalid Community_ID; ","")&amp;IF($A93="","Missing Report_Month; ","")&amp;IF(AND($H93&lt;&gt;"",$I93&gt;$H93),"Occupied_Units greater than Total_Units; ","")&amp;IF(AND($H93&lt;&gt;"",$J93&gt;$H93),"Leased_Units greater than Total_Units; ","")&amp;IF($I93&lt;0,"Occupied_Units negative; ","")&amp;IF($J93&lt;0,"Leased_Units negative; ","")&amp;IF($P93&lt;0,"Avg_Market_Rent negative; ","")))</f>
        <v/>
      </c>
    </row>
    <row r="94" ht="15" customHeight="1">
      <c r="A94" s="5" t="n"/>
      <c r="B94" s="15" t="n"/>
      <c r="C94" s="15">
        <f>IFERROR(VLOOKUP($B94,Community_Master!$A$2:$K$100,2,FALSE),"")</f>
        <v/>
      </c>
      <c r="D94" s="15">
        <f>IFERROR(VLOOKUP($B94,Community_Master!$A$2:$K$100,4,FALSE),"")</f>
        <v/>
      </c>
      <c r="E94" s="15">
        <f>IFERROR(VLOOKUP($B94,Community_Master!$A$2:$K$100,5,FALSE),"")</f>
        <v/>
      </c>
      <c r="F94" s="15">
        <f>IFERROR(VLOOKUP($B94,Community_Master!$A$2:$K$100,6,FALSE),"")</f>
        <v/>
      </c>
      <c r="G94" s="15">
        <f>IFERROR(VLOOKUP($B94,Community_Master!$A$2:$K$100,8,FALSE),"")</f>
        <v/>
      </c>
      <c r="H94" s="15">
        <f>IFERROR(VLOOKUP($B94,Community_Master!$A$2:$K$100,7,FALSE),"")</f>
        <v/>
      </c>
      <c r="I94" s="15" t="n"/>
      <c r="J94" s="15" t="n"/>
      <c r="K94" s="15" t="n"/>
      <c r="L94" s="15">
        <f>IF($H94="","",MAX($H94-$I94,0))</f>
        <v/>
      </c>
      <c r="M94" s="6">
        <f>IF($H94="","",IFERROR($I94/$H94,""))</f>
        <v/>
      </c>
      <c r="N94" s="6">
        <f>IF($H94="","",IFERROR($J94/$H94,""))</f>
        <v/>
      </c>
      <c r="O94" s="6" t="n"/>
      <c r="P94" s="7" t="n"/>
      <c r="Q94" s="7" t="n"/>
      <c r="R94" s="7" t="n"/>
      <c r="S94" s="7" t="n"/>
      <c r="T94" s="7">
        <f>IF($H94="","",IFERROR($H94*$P94,""))</f>
        <v/>
      </c>
      <c r="U94" s="7" t="n"/>
      <c r="V94" s="7" t="n"/>
      <c r="W94" s="7" t="n"/>
      <c r="X94" s="7">
        <f>IF(OR($U94="",$W94=""),"",($U94+$V94)-$W94)</f>
        <v/>
      </c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9" t="n"/>
      <c r="AJ94" s="8" t="n"/>
      <c r="AK94" s="8" t="n"/>
      <c r="AL94" s="15" t="n"/>
      <c r="AM94" s="15" t="n"/>
      <c r="AN94" s="15" t="n"/>
      <c r="AO94" s="15" t="n"/>
      <c r="AP94" s="10" t="n"/>
      <c r="AQ94" s="15">
        <f>IF($B94="","",IF(OR(ISERROR(MATCH($B94,Community_Master!$A$2:$A$100,0)),$A94="",AND($H94&lt;&gt;"",$I94&gt;$H94),AND($H94&lt;&gt;"",$J94&gt;$H94),$I94&lt;0,$J94&lt;0,$K94&lt;0,$P94&lt;0,$Q94&lt;0,$Y94&lt;0,$Z94&lt;0,$AA94&lt;0,$AB94&lt;0,$AC94&lt;0),"ERROR","OK"))</f>
        <v/>
      </c>
      <c r="AR94" s="15">
        <f>IF($B94="","",TRIM(IF(ISERROR(MATCH($B94,Community_Master!$A$2:$A$100,0)),"Invalid Community_ID; ","")&amp;IF($A94="","Missing Report_Month; ","")&amp;IF(AND($H94&lt;&gt;"",$I94&gt;$H94),"Occupied_Units greater than Total_Units; ","")&amp;IF(AND($H94&lt;&gt;"",$J94&gt;$H94),"Leased_Units greater than Total_Units; ","")&amp;IF($I94&lt;0,"Occupied_Units negative; ","")&amp;IF($J94&lt;0,"Leased_Units negative; ","")&amp;IF($P94&lt;0,"Avg_Market_Rent negative; ","")))</f>
        <v/>
      </c>
    </row>
    <row r="95" ht="15" customHeight="1">
      <c r="A95" s="5" t="n"/>
      <c r="B95" s="15" t="n"/>
      <c r="C95" s="15">
        <f>IFERROR(VLOOKUP($B95,Community_Master!$A$2:$K$100,2,FALSE),"")</f>
        <v/>
      </c>
      <c r="D95" s="15">
        <f>IFERROR(VLOOKUP($B95,Community_Master!$A$2:$K$100,4,FALSE),"")</f>
        <v/>
      </c>
      <c r="E95" s="15">
        <f>IFERROR(VLOOKUP($B95,Community_Master!$A$2:$K$100,5,FALSE),"")</f>
        <v/>
      </c>
      <c r="F95" s="15">
        <f>IFERROR(VLOOKUP($B95,Community_Master!$A$2:$K$100,6,FALSE),"")</f>
        <v/>
      </c>
      <c r="G95" s="15">
        <f>IFERROR(VLOOKUP($B95,Community_Master!$A$2:$K$100,8,FALSE),"")</f>
        <v/>
      </c>
      <c r="H95" s="15">
        <f>IFERROR(VLOOKUP($B95,Community_Master!$A$2:$K$100,7,FALSE),"")</f>
        <v/>
      </c>
      <c r="I95" s="15" t="n"/>
      <c r="J95" s="15" t="n"/>
      <c r="K95" s="15" t="n"/>
      <c r="L95" s="15">
        <f>IF($H95="","",MAX($H95-$I95,0))</f>
        <v/>
      </c>
      <c r="M95" s="6">
        <f>IF($H95="","",IFERROR($I95/$H95,""))</f>
        <v/>
      </c>
      <c r="N95" s="6">
        <f>IF($H95="","",IFERROR($J95/$H95,""))</f>
        <v/>
      </c>
      <c r="O95" s="6" t="n"/>
      <c r="P95" s="7" t="n"/>
      <c r="Q95" s="7" t="n"/>
      <c r="R95" s="7" t="n"/>
      <c r="S95" s="7" t="n"/>
      <c r="T95" s="7">
        <f>IF($H95="","",IFERROR($H95*$P95,""))</f>
        <v/>
      </c>
      <c r="U95" s="7" t="n"/>
      <c r="V95" s="7" t="n"/>
      <c r="W95" s="7" t="n"/>
      <c r="X95" s="7">
        <f>IF(OR($U95="",$W95=""),"",($U95+$V95)-$W95)</f>
        <v/>
      </c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9" t="n"/>
      <c r="AJ95" s="8" t="n"/>
      <c r="AK95" s="8" t="n"/>
      <c r="AL95" s="15" t="n"/>
      <c r="AM95" s="15" t="n"/>
      <c r="AN95" s="15" t="n"/>
      <c r="AO95" s="15" t="n"/>
      <c r="AP95" s="10" t="n"/>
      <c r="AQ95" s="15">
        <f>IF($B95="","",IF(OR(ISERROR(MATCH($B95,Community_Master!$A$2:$A$100,0)),$A95="",AND($H95&lt;&gt;"",$I95&gt;$H95),AND($H95&lt;&gt;"",$J95&gt;$H95),$I95&lt;0,$J95&lt;0,$K95&lt;0,$P95&lt;0,$Q95&lt;0,$Y95&lt;0,$Z95&lt;0,$AA95&lt;0,$AB95&lt;0,$AC95&lt;0),"ERROR","OK"))</f>
        <v/>
      </c>
      <c r="AR95" s="15">
        <f>IF($B95="","",TRIM(IF(ISERROR(MATCH($B95,Community_Master!$A$2:$A$100,0)),"Invalid Community_ID; ","")&amp;IF($A95="","Missing Report_Month; ","")&amp;IF(AND($H95&lt;&gt;"",$I95&gt;$H95),"Occupied_Units greater than Total_Units; ","")&amp;IF(AND($H95&lt;&gt;"",$J95&gt;$H95),"Leased_Units greater than Total_Units; ","")&amp;IF($I95&lt;0,"Occupied_Units negative; ","")&amp;IF($J95&lt;0,"Leased_Units negative; ","")&amp;IF($P95&lt;0,"Avg_Market_Rent negative; ","")))</f>
        <v/>
      </c>
    </row>
    <row r="96" ht="15" customHeight="1">
      <c r="A96" s="5" t="n"/>
      <c r="B96" s="15" t="n"/>
      <c r="C96" s="15">
        <f>IFERROR(VLOOKUP($B96,Community_Master!$A$2:$K$100,2,FALSE),"")</f>
        <v/>
      </c>
      <c r="D96" s="15">
        <f>IFERROR(VLOOKUP($B96,Community_Master!$A$2:$K$100,4,FALSE),"")</f>
        <v/>
      </c>
      <c r="E96" s="15">
        <f>IFERROR(VLOOKUP($B96,Community_Master!$A$2:$K$100,5,FALSE),"")</f>
        <v/>
      </c>
      <c r="F96" s="15">
        <f>IFERROR(VLOOKUP($B96,Community_Master!$A$2:$K$100,6,FALSE),"")</f>
        <v/>
      </c>
      <c r="G96" s="15">
        <f>IFERROR(VLOOKUP($B96,Community_Master!$A$2:$K$100,8,FALSE),"")</f>
        <v/>
      </c>
      <c r="H96" s="15">
        <f>IFERROR(VLOOKUP($B96,Community_Master!$A$2:$K$100,7,FALSE),"")</f>
        <v/>
      </c>
      <c r="I96" s="15" t="n"/>
      <c r="J96" s="15" t="n"/>
      <c r="K96" s="15" t="n"/>
      <c r="L96" s="15">
        <f>IF($H96="","",MAX($H96-$I96,0))</f>
        <v/>
      </c>
      <c r="M96" s="6">
        <f>IF($H96="","",IFERROR($I96/$H96,""))</f>
        <v/>
      </c>
      <c r="N96" s="6">
        <f>IF($H96="","",IFERROR($J96/$H96,""))</f>
        <v/>
      </c>
      <c r="O96" s="6" t="n"/>
      <c r="P96" s="7" t="n"/>
      <c r="Q96" s="7" t="n"/>
      <c r="R96" s="7" t="n"/>
      <c r="S96" s="7" t="n"/>
      <c r="T96" s="7">
        <f>IF($H96="","",IFERROR($H96*$P96,""))</f>
        <v/>
      </c>
      <c r="U96" s="7" t="n"/>
      <c r="V96" s="7" t="n"/>
      <c r="W96" s="7" t="n"/>
      <c r="X96" s="7">
        <f>IF(OR($U96="",$W96=""),"",($U96+$V96)-$W96)</f>
        <v/>
      </c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9" t="n"/>
      <c r="AJ96" s="8" t="n"/>
      <c r="AK96" s="8" t="n"/>
      <c r="AL96" s="15" t="n"/>
      <c r="AM96" s="15" t="n"/>
      <c r="AN96" s="15" t="n"/>
      <c r="AO96" s="15" t="n"/>
      <c r="AP96" s="10" t="n"/>
      <c r="AQ96" s="15">
        <f>IF($B96="","",IF(OR(ISERROR(MATCH($B96,Community_Master!$A$2:$A$100,0)),$A96="",AND($H96&lt;&gt;"",$I96&gt;$H96),AND($H96&lt;&gt;"",$J96&gt;$H96),$I96&lt;0,$J96&lt;0,$K96&lt;0,$P96&lt;0,$Q96&lt;0,$Y96&lt;0,$Z96&lt;0,$AA96&lt;0,$AB96&lt;0,$AC96&lt;0),"ERROR","OK"))</f>
        <v/>
      </c>
      <c r="AR96" s="15">
        <f>IF($B96="","",TRIM(IF(ISERROR(MATCH($B96,Community_Master!$A$2:$A$100,0)),"Invalid Community_ID; ","")&amp;IF($A96="","Missing Report_Month; ","")&amp;IF(AND($H96&lt;&gt;"",$I96&gt;$H96),"Occupied_Units greater than Total_Units; ","")&amp;IF(AND($H96&lt;&gt;"",$J96&gt;$H96),"Leased_Units greater than Total_Units; ","")&amp;IF($I96&lt;0,"Occupied_Units negative; ","")&amp;IF($J96&lt;0,"Leased_Units negative; ","")&amp;IF($P96&lt;0,"Avg_Market_Rent negative; ","")))</f>
        <v/>
      </c>
    </row>
    <row r="97" ht="15" customHeight="1">
      <c r="A97" s="5" t="n"/>
      <c r="B97" s="15" t="n"/>
      <c r="C97" s="15">
        <f>IFERROR(VLOOKUP($B97,Community_Master!$A$2:$K$100,2,FALSE),"")</f>
        <v/>
      </c>
      <c r="D97" s="15">
        <f>IFERROR(VLOOKUP($B97,Community_Master!$A$2:$K$100,4,FALSE),"")</f>
        <v/>
      </c>
      <c r="E97" s="15">
        <f>IFERROR(VLOOKUP($B97,Community_Master!$A$2:$K$100,5,FALSE),"")</f>
        <v/>
      </c>
      <c r="F97" s="15">
        <f>IFERROR(VLOOKUP($B97,Community_Master!$A$2:$K$100,6,FALSE),"")</f>
        <v/>
      </c>
      <c r="G97" s="15">
        <f>IFERROR(VLOOKUP($B97,Community_Master!$A$2:$K$100,8,FALSE),"")</f>
        <v/>
      </c>
      <c r="H97" s="15">
        <f>IFERROR(VLOOKUP($B97,Community_Master!$A$2:$K$100,7,FALSE),"")</f>
        <v/>
      </c>
      <c r="I97" s="15" t="n"/>
      <c r="J97" s="15" t="n"/>
      <c r="K97" s="15" t="n"/>
      <c r="L97" s="15">
        <f>IF($H97="","",MAX($H97-$I97,0))</f>
        <v/>
      </c>
      <c r="M97" s="6">
        <f>IF($H97="","",IFERROR($I97/$H97,""))</f>
        <v/>
      </c>
      <c r="N97" s="6">
        <f>IF($H97="","",IFERROR($J97/$H97,""))</f>
        <v/>
      </c>
      <c r="O97" s="6" t="n"/>
      <c r="P97" s="7" t="n"/>
      <c r="Q97" s="7" t="n"/>
      <c r="R97" s="7" t="n"/>
      <c r="S97" s="7" t="n"/>
      <c r="T97" s="7">
        <f>IF($H97="","",IFERROR($H97*$P97,""))</f>
        <v/>
      </c>
      <c r="U97" s="7" t="n"/>
      <c r="V97" s="7" t="n"/>
      <c r="W97" s="7" t="n"/>
      <c r="X97" s="7">
        <f>IF(OR($U97="",$W97=""),"",($U97+$V97)-$W97)</f>
        <v/>
      </c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9" t="n"/>
      <c r="AJ97" s="8" t="n"/>
      <c r="AK97" s="8" t="n"/>
      <c r="AL97" s="15" t="n"/>
      <c r="AM97" s="15" t="n"/>
      <c r="AN97" s="15" t="n"/>
      <c r="AO97" s="15" t="n"/>
      <c r="AP97" s="10" t="n"/>
      <c r="AQ97" s="15">
        <f>IF($B97="","",IF(OR(ISERROR(MATCH($B97,Community_Master!$A$2:$A$100,0)),$A97="",AND($H97&lt;&gt;"",$I97&gt;$H97),AND($H97&lt;&gt;"",$J97&gt;$H97),$I97&lt;0,$J97&lt;0,$K97&lt;0,$P97&lt;0,$Q97&lt;0,$Y97&lt;0,$Z97&lt;0,$AA97&lt;0,$AB97&lt;0,$AC97&lt;0),"ERROR","OK"))</f>
        <v/>
      </c>
      <c r="AR97" s="15">
        <f>IF($B97="","",TRIM(IF(ISERROR(MATCH($B97,Community_Master!$A$2:$A$100,0)),"Invalid Community_ID; ","")&amp;IF($A97="","Missing Report_Month; ","")&amp;IF(AND($H97&lt;&gt;"",$I97&gt;$H97),"Occupied_Units greater than Total_Units; ","")&amp;IF(AND($H97&lt;&gt;"",$J97&gt;$H97),"Leased_Units greater than Total_Units; ","")&amp;IF($I97&lt;0,"Occupied_Units negative; ","")&amp;IF($J97&lt;0,"Leased_Units negative; ","")&amp;IF($P97&lt;0,"Avg_Market_Rent negative; ","")))</f>
        <v/>
      </c>
    </row>
    <row r="98" ht="15" customHeight="1">
      <c r="A98" s="5" t="n"/>
      <c r="B98" s="15" t="n"/>
      <c r="C98" s="15">
        <f>IFERROR(VLOOKUP($B98,Community_Master!$A$2:$K$100,2,FALSE),"")</f>
        <v/>
      </c>
      <c r="D98" s="15">
        <f>IFERROR(VLOOKUP($B98,Community_Master!$A$2:$K$100,4,FALSE),"")</f>
        <v/>
      </c>
      <c r="E98" s="15">
        <f>IFERROR(VLOOKUP($B98,Community_Master!$A$2:$K$100,5,FALSE),"")</f>
        <v/>
      </c>
      <c r="F98" s="15">
        <f>IFERROR(VLOOKUP($B98,Community_Master!$A$2:$K$100,6,FALSE),"")</f>
        <v/>
      </c>
      <c r="G98" s="15">
        <f>IFERROR(VLOOKUP($B98,Community_Master!$A$2:$K$100,8,FALSE),"")</f>
        <v/>
      </c>
      <c r="H98" s="15">
        <f>IFERROR(VLOOKUP($B98,Community_Master!$A$2:$K$100,7,FALSE),"")</f>
        <v/>
      </c>
      <c r="I98" s="15" t="n"/>
      <c r="J98" s="15" t="n"/>
      <c r="K98" s="15" t="n"/>
      <c r="L98" s="15">
        <f>IF($H98="","",MAX($H98-$I98,0))</f>
        <v/>
      </c>
      <c r="M98" s="6">
        <f>IF($H98="","",IFERROR($I98/$H98,""))</f>
        <v/>
      </c>
      <c r="N98" s="6">
        <f>IF($H98="","",IFERROR($J98/$H98,""))</f>
        <v/>
      </c>
      <c r="O98" s="6" t="n"/>
      <c r="P98" s="7" t="n"/>
      <c r="Q98" s="7" t="n"/>
      <c r="R98" s="7" t="n"/>
      <c r="S98" s="7" t="n"/>
      <c r="T98" s="7">
        <f>IF($H98="","",IFERROR($H98*$P98,""))</f>
        <v/>
      </c>
      <c r="U98" s="7" t="n"/>
      <c r="V98" s="7" t="n"/>
      <c r="W98" s="7" t="n"/>
      <c r="X98" s="7">
        <f>IF(OR($U98="",$W98=""),"",($U98+$V98)-$W98)</f>
        <v/>
      </c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9" t="n"/>
      <c r="AJ98" s="8" t="n"/>
      <c r="AK98" s="8" t="n"/>
      <c r="AL98" s="15" t="n"/>
      <c r="AM98" s="15" t="n"/>
      <c r="AN98" s="15" t="n"/>
      <c r="AO98" s="15" t="n"/>
      <c r="AP98" s="10" t="n"/>
      <c r="AQ98" s="15">
        <f>IF($B98="","",IF(OR(ISERROR(MATCH($B98,Community_Master!$A$2:$A$100,0)),$A98="",AND($H98&lt;&gt;"",$I98&gt;$H98),AND($H98&lt;&gt;"",$J98&gt;$H98),$I98&lt;0,$J98&lt;0,$K98&lt;0,$P98&lt;0,$Q98&lt;0,$Y98&lt;0,$Z98&lt;0,$AA98&lt;0,$AB98&lt;0,$AC98&lt;0),"ERROR","OK"))</f>
        <v/>
      </c>
      <c r="AR98" s="15">
        <f>IF($B98="","",TRIM(IF(ISERROR(MATCH($B98,Community_Master!$A$2:$A$100,0)),"Invalid Community_ID; ","")&amp;IF($A98="","Missing Report_Month; ","")&amp;IF(AND($H98&lt;&gt;"",$I98&gt;$H98),"Occupied_Units greater than Total_Units; ","")&amp;IF(AND($H98&lt;&gt;"",$J98&gt;$H98),"Leased_Units greater than Total_Units; ","")&amp;IF($I98&lt;0,"Occupied_Units negative; ","")&amp;IF($J98&lt;0,"Leased_Units negative; ","")&amp;IF($P98&lt;0,"Avg_Market_Rent negative; ","")))</f>
        <v/>
      </c>
    </row>
    <row r="99" ht="15" customHeight="1">
      <c r="A99" s="5" t="n"/>
      <c r="B99" s="15" t="n"/>
      <c r="C99" s="15">
        <f>IFERROR(VLOOKUP($B99,Community_Master!$A$2:$K$100,2,FALSE),"")</f>
        <v/>
      </c>
      <c r="D99" s="15">
        <f>IFERROR(VLOOKUP($B99,Community_Master!$A$2:$K$100,4,FALSE),"")</f>
        <v/>
      </c>
      <c r="E99" s="15">
        <f>IFERROR(VLOOKUP($B99,Community_Master!$A$2:$K$100,5,FALSE),"")</f>
        <v/>
      </c>
      <c r="F99" s="15">
        <f>IFERROR(VLOOKUP($B99,Community_Master!$A$2:$K$100,6,FALSE),"")</f>
        <v/>
      </c>
      <c r="G99" s="15">
        <f>IFERROR(VLOOKUP($B99,Community_Master!$A$2:$K$100,8,FALSE),"")</f>
        <v/>
      </c>
      <c r="H99" s="15">
        <f>IFERROR(VLOOKUP($B99,Community_Master!$A$2:$K$100,7,FALSE),"")</f>
        <v/>
      </c>
      <c r="I99" s="15" t="n"/>
      <c r="J99" s="15" t="n"/>
      <c r="K99" s="15" t="n"/>
      <c r="L99" s="15">
        <f>IF($H99="","",MAX($H99-$I99,0))</f>
        <v/>
      </c>
      <c r="M99" s="6">
        <f>IF($H99="","",IFERROR($I99/$H99,""))</f>
        <v/>
      </c>
      <c r="N99" s="6">
        <f>IF($H99="","",IFERROR($J99/$H99,""))</f>
        <v/>
      </c>
      <c r="O99" s="6" t="n"/>
      <c r="P99" s="7" t="n"/>
      <c r="Q99" s="7" t="n"/>
      <c r="R99" s="7" t="n"/>
      <c r="S99" s="7" t="n"/>
      <c r="T99" s="7">
        <f>IF($H99="","",IFERROR($H99*$P99,""))</f>
        <v/>
      </c>
      <c r="U99" s="7" t="n"/>
      <c r="V99" s="7" t="n"/>
      <c r="W99" s="7" t="n"/>
      <c r="X99" s="7">
        <f>IF(OR($U99="",$W99=""),"",($U99+$V99)-$W99)</f>
        <v/>
      </c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9" t="n"/>
      <c r="AJ99" s="8" t="n"/>
      <c r="AK99" s="8" t="n"/>
      <c r="AL99" s="15" t="n"/>
      <c r="AM99" s="15" t="n"/>
      <c r="AN99" s="15" t="n"/>
      <c r="AO99" s="15" t="n"/>
      <c r="AP99" s="10" t="n"/>
      <c r="AQ99" s="15">
        <f>IF($B99="","",IF(OR(ISERROR(MATCH($B99,Community_Master!$A$2:$A$100,0)),$A99="",AND($H99&lt;&gt;"",$I99&gt;$H99),AND($H99&lt;&gt;"",$J99&gt;$H99),$I99&lt;0,$J99&lt;0,$K99&lt;0,$P99&lt;0,$Q99&lt;0,$Y99&lt;0,$Z99&lt;0,$AA99&lt;0,$AB99&lt;0,$AC99&lt;0),"ERROR","OK"))</f>
        <v/>
      </c>
      <c r="AR99" s="15">
        <f>IF($B99="","",TRIM(IF(ISERROR(MATCH($B99,Community_Master!$A$2:$A$100,0)),"Invalid Community_ID; ","")&amp;IF($A99="","Missing Report_Month; ","")&amp;IF(AND($H99&lt;&gt;"",$I99&gt;$H99),"Occupied_Units greater than Total_Units; ","")&amp;IF(AND($H99&lt;&gt;"",$J99&gt;$H99),"Leased_Units greater than Total_Units; ","")&amp;IF($I99&lt;0,"Occupied_Units negative; ","")&amp;IF($J99&lt;0,"Leased_Units negative; ","")&amp;IF($P99&lt;0,"Avg_Market_Rent negative; ","")))</f>
        <v/>
      </c>
    </row>
    <row r="100" ht="15" customHeight="1">
      <c r="A100" s="5" t="n"/>
      <c r="B100" s="15" t="n"/>
      <c r="C100" s="15">
        <f>IFERROR(VLOOKUP($B100,Community_Master!$A$2:$K$100,2,FALSE),"")</f>
        <v/>
      </c>
      <c r="D100" s="15">
        <f>IFERROR(VLOOKUP($B100,Community_Master!$A$2:$K$100,4,FALSE),"")</f>
        <v/>
      </c>
      <c r="E100" s="15">
        <f>IFERROR(VLOOKUP($B100,Community_Master!$A$2:$K$100,5,FALSE),"")</f>
        <v/>
      </c>
      <c r="F100" s="15">
        <f>IFERROR(VLOOKUP($B100,Community_Master!$A$2:$K$100,6,FALSE),"")</f>
        <v/>
      </c>
      <c r="G100" s="15">
        <f>IFERROR(VLOOKUP($B100,Community_Master!$A$2:$K$100,8,FALSE),"")</f>
        <v/>
      </c>
      <c r="H100" s="15">
        <f>IFERROR(VLOOKUP($B100,Community_Master!$A$2:$K$100,7,FALSE),"")</f>
        <v/>
      </c>
      <c r="I100" s="15" t="n"/>
      <c r="J100" s="15" t="n"/>
      <c r="K100" s="15" t="n"/>
      <c r="L100" s="15">
        <f>IF($H100="","",MAX($H100-$I100,0))</f>
        <v/>
      </c>
      <c r="M100" s="6">
        <f>IF($H100="","",IFERROR($I100/$H100,""))</f>
        <v/>
      </c>
      <c r="N100" s="6">
        <f>IF($H100="","",IFERROR($J100/$H100,""))</f>
        <v/>
      </c>
      <c r="O100" s="6" t="n"/>
      <c r="P100" s="7" t="n"/>
      <c r="Q100" s="7" t="n"/>
      <c r="R100" s="7" t="n"/>
      <c r="S100" s="7" t="n"/>
      <c r="T100" s="7">
        <f>IF($H100="","",IFERROR($H100*$P100,""))</f>
        <v/>
      </c>
      <c r="U100" s="7" t="n"/>
      <c r="V100" s="7" t="n"/>
      <c r="W100" s="7" t="n"/>
      <c r="X100" s="7">
        <f>IF(OR($U100="",$W100=""),"",($U100+$V100)-$W100)</f>
        <v/>
      </c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9" t="n"/>
      <c r="AJ100" s="8" t="n"/>
      <c r="AK100" s="8" t="n"/>
      <c r="AL100" s="15" t="n"/>
      <c r="AM100" s="15" t="n"/>
      <c r="AN100" s="15" t="n"/>
      <c r="AO100" s="15" t="n"/>
      <c r="AP100" s="10" t="n"/>
      <c r="AQ100" s="15">
        <f>IF($B100="","",IF(OR(ISERROR(MATCH($B100,Community_Master!$A$2:$A$100,0)),$A100="",AND($H100&lt;&gt;"",$I100&gt;$H100),AND($H100&lt;&gt;"",$J100&gt;$H100),$I100&lt;0,$J100&lt;0,$K100&lt;0,$P100&lt;0,$Q100&lt;0,$Y100&lt;0,$Z100&lt;0,$AA100&lt;0,$AB100&lt;0,$AC100&lt;0),"ERROR","OK"))</f>
        <v/>
      </c>
      <c r="AR100" s="15">
        <f>IF($B100="","",TRIM(IF(ISERROR(MATCH($B100,Community_Master!$A$2:$A$100,0)),"Invalid Community_ID; ","")&amp;IF($A100="","Missing Report_Month; ","")&amp;IF(AND($H100&lt;&gt;"",$I100&gt;$H100),"Occupied_Units greater than Total_Units; ","")&amp;IF(AND($H100&lt;&gt;"",$J100&gt;$H100),"Leased_Units greater than Total_Units; ","")&amp;IF($I100&lt;0,"Occupied_Units negative; ","")&amp;IF($J100&lt;0,"Leased_Units negative; ","")&amp;IF($P100&lt;0,"Avg_Market_Rent negative; ","")))</f>
        <v/>
      </c>
    </row>
    <row r="101" ht="15" customHeight="1">
      <c r="A101" s="5" t="n"/>
      <c r="B101" s="15" t="n"/>
      <c r="C101" s="15">
        <f>IFERROR(VLOOKUP($B101,Community_Master!$A$2:$K$100,2,FALSE),"")</f>
        <v/>
      </c>
      <c r="D101" s="15">
        <f>IFERROR(VLOOKUP($B101,Community_Master!$A$2:$K$100,4,FALSE),"")</f>
        <v/>
      </c>
      <c r="E101" s="15">
        <f>IFERROR(VLOOKUP($B101,Community_Master!$A$2:$K$100,5,FALSE),"")</f>
        <v/>
      </c>
      <c r="F101" s="15">
        <f>IFERROR(VLOOKUP($B101,Community_Master!$A$2:$K$100,6,FALSE),"")</f>
        <v/>
      </c>
      <c r="G101" s="15">
        <f>IFERROR(VLOOKUP($B101,Community_Master!$A$2:$K$100,8,FALSE),"")</f>
        <v/>
      </c>
      <c r="H101" s="15">
        <f>IFERROR(VLOOKUP($B101,Community_Master!$A$2:$K$100,7,FALSE),"")</f>
        <v/>
      </c>
      <c r="I101" s="15" t="n"/>
      <c r="J101" s="15" t="n"/>
      <c r="K101" s="15" t="n"/>
      <c r="L101" s="15">
        <f>IF($H101="","",MAX($H101-$I101,0))</f>
        <v/>
      </c>
      <c r="M101" s="6">
        <f>IF($H101="","",IFERROR($I101/$H101,""))</f>
        <v/>
      </c>
      <c r="N101" s="6">
        <f>IF($H101="","",IFERROR($J101/$H101,""))</f>
        <v/>
      </c>
      <c r="O101" s="6" t="n"/>
      <c r="P101" s="7" t="n"/>
      <c r="Q101" s="7" t="n"/>
      <c r="R101" s="7" t="n"/>
      <c r="S101" s="7" t="n"/>
      <c r="T101" s="7">
        <f>IF($H101="","",IFERROR($H101*$P101,""))</f>
        <v/>
      </c>
      <c r="U101" s="7" t="n"/>
      <c r="V101" s="7" t="n"/>
      <c r="W101" s="7" t="n"/>
      <c r="X101" s="7">
        <f>IF(OR($U101="",$W101=""),"",($U101+$V101)-$W101)</f>
        <v/>
      </c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9" t="n"/>
      <c r="AJ101" s="8" t="n"/>
      <c r="AK101" s="8" t="n"/>
      <c r="AL101" s="15" t="n"/>
      <c r="AM101" s="15" t="n"/>
      <c r="AN101" s="15" t="n"/>
      <c r="AO101" s="15" t="n"/>
      <c r="AP101" s="10" t="n"/>
      <c r="AQ101" s="15">
        <f>IF($B101="","",IF(OR(ISERROR(MATCH($B101,Community_Master!$A$2:$A$100,0)),$A101="",AND($H101&lt;&gt;"",$I101&gt;$H101),AND($H101&lt;&gt;"",$J101&gt;$H101),$I101&lt;0,$J101&lt;0,$K101&lt;0,$P101&lt;0,$Q101&lt;0,$Y101&lt;0,$Z101&lt;0,$AA101&lt;0,$AB101&lt;0,$AC101&lt;0),"ERROR","OK"))</f>
        <v/>
      </c>
      <c r="AR101" s="15">
        <f>IF($B101="","",TRIM(IF(ISERROR(MATCH($B101,Community_Master!$A$2:$A$100,0)),"Invalid Community_ID; ","")&amp;IF($A101="","Missing Report_Month; ","")&amp;IF(AND($H101&lt;&gt;"",$I101&gt;$H101),"Occupied_Units greater than Total_Units; ","")&amp;IF(AND($H101&lt;&gt;"",$J101&gt;$H101),"Leased_Units greater than Total_Units; ","")&amp;IF($I101&lt;0,"Occupied_Units negative; ","")&amp;IF($J101&lt;0,"Leased_Units negative; ","")&amp;IF($P101&lt;0,"Avg_Market_Rent negative; ","")))</f>
        <v/>
      </c>
    </row>
    <row r="102" ht="15" customHeight="1">
      <c r="A102" s="5" t="n"/>
      <c r="B102" s="15" t="n"/>
      <c r="C102" s="15">
        <f>IFERROR(VLOOKUP($B102,Community_Master!$A$2:$K$100,2,FALSE),"")</f>
        <v/>
      </c>
      <c r="D102" s="15">
        <f>IFERROR(VLOOKUP($B102,Community_Master!$A$2:$K$100,4,FALSE),"")</f>
        <v/>
      </c>
      <c r="E102" s="15">
        <f>IFERROR(VLOOKUP($B102,Community_Master!$A$2:$K$100,5,FALSE),"")</f>
        <v/>
      </c>
      <c r="F102" s="15">
        <f>IFERROR(VLOOKUP($B102,Community_Master!$A$2:$K$100,6,FALSE),"")</f>
        <v/>
      </c>
      <c r="G102" s="15">
        <f>IFERROR(VLOOKUP($B102,Community_Master!$A$2:$K$100,8,FALSE),"")</f>
        <v/>
      </c>
      <c r="H102" s="15">
        <f>IFERROR(VLOOKUP($B102,Community_Master!$A$2:$K$100,7,FALSE),"")</f>
        <v/>
      </c>
      <c r="I102" s="15" t="n"/>
      <c r="J102" s="15" t="n"/>
      <c r="K102" s="15" t="n"/>
      <c r="L102" s="15">
        <f>IF($H102="","",MAX($H102-$I102,0))</f>
        <v/>
      </c>
      <c r="M102" s="6">
        <f>IF($H102="","",IFERROR($I102/$H102,""))</f>
        <v/>
      </c>
      <c r="N102" s="6">
        <f>IF($H102="","",IFERROR($J102/$H102,""))</f>
        <v/>
      </c>
      <c r="O102" s="6" t="n"/>
      <c r="P102" s="7" t="n"/>
      <c r="Q102" s="7" t="n"/>
      <c r="R102" s="7" t="n"/>
      <c r="S102" s="7" t="n"/>
      <c r="T102" s="7">
        <f>IF($H102="","",IFERROR($H102*$P102,""))</f>
        <v/>
      </c>
      <c r="U102" s="7" t="n"/>
      <c r="V102" s="7" t="n"/>
      <c r="W102" s="7" t="n"/>
      <c r="X102" s="7">
        <f>IF(OR($U102="",$W102=""),"",($U102+$V102)-$W102)</f>
        <v/>
      </c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9" t="n"/>
      <c r="AJ102" s="8" t="n"/>
      <c r="AK102" s="8" t="n"/>
      <c r="AL102" s="15" t="n"/>
      <c r="AM102" s="15" t="n"/>
      <c r="AN102" s="15" t="n"/>
      <c r="AO102" s="15" t="n"/>
      <c r="AP102" s="10" t="n"/>
      <c r="AQ102" s="15">
        <f>IF($B102="","",IF(OR(ISERROR(MATCH($B102,Community_Master!$A$2:$A$100,0)),$A102="",AND($H102&lt;&gt;"",$I102&gt;$H102),AND($H102&lt;&gt;"",$J102&gt;$H102),$I102&lt;0,$J102&lt;0,$K102&lt;0,$P102&lt;0,$Q102&lt;0,$Y102&lt;0,$Z102&lt;0,$AA102&lt;0,$AB102&lt;0,$AC102&lt;0),"ERROR","OK"))</f>
        <v/>
      </c>
      <c r="AR102" s="15">
        <f>IF($B102="","",TRIM(IF(ISERROR(MATCH($B102,Community_Master!$A$2:$A$100,0)),"Invalid Community_ID; ","")&amp;IF($A102="","Missing Report_Month; ","")&amp;IF(AND($H102&lt;&gt;"",$I102&gt;$H102),"Occupied_Units greater than Total_Units; ","")&amp;IF(AND($H102&lt;&gt;"",$J102&gt;$H102),"Leased_Units greater than Total_Units; ","")&amp;IF($I102&lt;0,"Occupied_Units negative; ","")&amp;IF($J102&lt;0,"Leased_Units negative; ","")&amp;IF($P102&lt;0,"Avg_Market_Rent negative; ","")))</f>
        <v/>
      </c>
    </row>
    <row r="103" ht="15" customHeight="1">
      <c r="A103" s="5" t="n"/>
      <c r="B103" s="15" t="n"/>
      <c r="C103" s="15">
        <f>IFERROR(VLOOKUP($B103,Community_Master!$A$2:$K$100,2,FALSE),"")</f>
        <v/>
      </c>
      <c r="D103" s="15">
        <f>IFERROR(VLOOKUP($B103,Community_Master!$A$2:$K$100,4,FALSE),"")</f>
        <v/>
      </c>
      <c r="E103" s="15">
        <f>IFERROR(VLOOKUP($B103,Community_Master!$A$2:$K$100,5,FALSE),"")</f>
        <v/>
      </c>
      <c r="F103" s="15">
        <f>IFERROR(VLOOKUP($B103,Community_Master!$A$2:$K$100,6,FALSE),"")</f>
        <v/>
      </c>
      <c r="G103" s="15">
        <f>IFERROR(VLOOKUP($B103,Community_Master!$A$2:$K$100,8,FALSE),"")</f>
        <v/>
      </c>
      <c r="H103" s="15">
        <f>IFERROR(VLOOKUP($B103,Community_Master!$A$2:$K$100,7,FALSE),"")</f>
        <v/>
      </c>
      <c r="I103" s="15" t="n"/>
      <c r="J103" s="15" t="n"/>
      <c r="K103" s="15" t="n"/>
      <c r="L103" s="15">
        <f>IF($H103="","",MAX($H103-$I103,0))</f>
        <v/>
      </c>
      <c r="M103" s="6">
        <f>IF($H103="","",IFERROR($I103/$H103,""))</f>
        <v/>
      </c>
      <c r="N103" s="6">
        <f>IF($H103="","",IFERROR($J103/$H103,""))</f>
        <v/>
      </c>
      <c r="O103" s="6" t="n"/>
      <c r="P103" s="7" t="n"/>
      <c r="Q103" s="7" t="n"/>
      <c r="R103" s="7" t="n"/>
      <c r="S103" s="7" t="n"/>
      <c r="T103" s="7">
        <f>IF($H103="","",IFERROR($H103*$P103,""))</f>
        <v/>
      </c>
      <c r="U103" s="7" t="n"/>
      <c r="V103" s="7" t="n"/>
      <c r="W103" s="7" t="n"/>
      <c r="X103" s="7">
        <f>IF(OR($U103="",$W103=""),"",($U103+$V103)-$W103)</f>
        <v/>
      </c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9" t="n"/>
      <c r="AJ103" s="8" t="n"/>
      <c r="AK103" s="8" t="n"/>
      <c r="AL103" s="15" t="n"/>
      <c r="AM103" s="15" t="n"/>
      <c r="AN103" s="15" t="n"/>
      <c r="AO103" s="15" t="n"/>
      <c r="AP103" s="10" t="n"/>
      <c r="AQ103" s="15">
        <f>IF($B103="","",IF(OR(ISERROR(MATCH($B103,Community_Master!$A$2:$A$100,0)),$A103="",AND($H103&lt;&gt;"",$I103&gt;$H103),AND($H103&lt;&gt;"",$J103&gt;$H103),$I103&lt;0,$J103&lt;0,$K103&lt;0,$P103&lt;0,$Q103&lt;0,$Y103&lt;0,$Z103&lt;0,$AA103&lt;0,$AB103&lt;0,$AC103&lt;0),"ERROR","OK"))</f>
        <v/>
      </c>
      <c r="AR103" s="15">
        <f>IF($B103="","",TRIM(IF(ISERROR(MATCH($B103,Community_Master!$A$2:$A$100,0)),"Invalid Community_ID; ","")&amp;IF($A103="","Missing Report_Month; ","")&amp;IF(AND($H103&lt;&gt;"",$I103&gt;$H103),"Occupied_Units greater than Total_Units; ","")&amp;IF(AND($H103&lt;&gt;"",$J103&gt;$H103),"Leased_Units greater than Total_Units; ","")&amp;IF($I103&lt;0,"Occupied_Units negative; ","")&amp;IF($J103&lt;0,"Leased_Units negative; ","")&amp;IF($P103&lt;0,"Avg_Market_Rent negative; ","")))</f>
        <v/>
      </c>
    </row>
    <row r="104" ht="15" customHeight="1">
      <c r="A104" s="5" t="n"/>
      <c r="B104" s="15" t="n"/>
      <c r="C104" s="15">
        <f>IFERROR(VLOOKUP($B104,Community_Master!$A$2:$K$100,2,FALSE),"")</f>
        <v/>
      </c>
      <c r="D104" s="15">
        <f>IFERROR(VLOOKUP($B104,Community_Master!$A$2:$K$100,4,FALSE),"")</f>
        <v/>
      </c>
      <c r="E104" s="15">
        <f>IFERROR(VLOOKUP($B104,Community_Master!$A$2:$K$100,5,FALSE),"")</f>
        <v/>
      </c>
      <c r="F104" s="15">
        <f>IFERROR(VLOOKUP($B104,Community_Master!$A$2:$K$100,6,FALSE),"")</f>
        <v/>
      </c>
      <c r="G104" s="15">
        <f>IFERROR(VLOOKUP($B104,Community_Master!$A$2:$K$100,8,FALSE),"")</f>
        <v/>
      </c>
      <c r="H104" s="15">
        <f>IFERROR(VLOOKUP($B104,Community_Master!$A$2:$K$100,7,FALSE),"")</f>
        <v/>
      </c>
      <c r="I104" s="15" t="n"/>
      <c r="J104" s="15" t="n"/>
      <c r="K104" s="15" t="n"/>
      <c r="L104" s="15">
        <f>IF($H104="","",MAX($H104-$I104,0))</f>
        <v/>
      </c>
      <c r="M104" s="6">
        <f>IF($H104="","",IFERROR($I104/$H104,""))</f>
        <v/>
      </c>
      <c r="N104" s="6">
        <f>IF($H104="","",IFERROR($J104/$H104,""))</f>
        <v/>
      </c>
      <c r="O104" s="6" t="n"/>
      <c r="P104" s="7" t="n"/>
      <c r="Q104" s="7" t="n"/>
      <c r="R104" s="7" t="n"/>
      <c r="S104" s="7" t="n"/>
      <c r="T104" s="7">
        <f>IF($H104="","",IFERROR($H104*$P104,""))</f>
        <v/>
      </c>
      <c r="U104" s="7" t="n"/>
      <c r="V104" s="7" t="n"/>
      <c r="W104" s="7" t="n"/>
      <c r="X104" s="7">
        <f>IF(OR($U104="",$W104=""),"",($U104+$V104)-$W104)</f>
        <v/>
      </c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9" t="n"/>
      <c r="AJ104" s="8" t="n"/>
      <c r="AK104" s="8" t="n"/>
      <c r="AL104" s="15" t="n"/>
      <c r="AM104" s="15" t="n"/>
      <c r="AN104" s="15" t="n"/>
      <c r="AO104" s="15" t="n"/>
      <c r="AP104" s="10" t="n"/>
      <c r="AQ104" s="15">
        <f>IF($B104="","",IF(OR(ISERROR(MATCH($B104,Community_Master!$A$2:$A$100,0)),$A104="",AND($H104&lt;&gt;"",$I104&gt;$H104),AND($H104&lt;&gt;"",$J104&gt;$H104),$I104&lt;0,$J104&lt;0,$K104&lt;0,$P104&lt;0,$Q104&lt;0,$Y104&lt;0,$Z104&lt;0,$AA104&lt;0,$AB104&lt;0,$AC104&lt;0),"ERROR","OK"))</f>
        <v/>
      </c>
      <c r="AR104" s="15">
        <f>IF($B104="","",TRIM(IF(ISERROR(MATCH($B104,Community_Master!$A$2:$A$100,0)),"Invalid Community_ID; ","")&amp;IF($A104="","Missing Report_Month; ","")&amp;IF(AND($H104&lt;&gt;"",$I104&gt;$H104),"Occupied_Units greater than Total_Units; ","")&amp;IF(AND($H104&lt;&gt;"",$J104&gt;$H104),"Leased_Units greater than Total_Units; ","")&amp;IF($I104&lt;0,"Occupied_Units negative; ","")&amp;IF($J104&lt;0,"Leased_Units negative; ","")&amp;IF($P104&lt;0,"Avg_Market_Rent negative; ","")))</f>
        <v/>
      </c>
    </row>
    <row r="105" ht="15" customHeight="1">
      <c r="A105" s="5" t="n"/>
      <c r="B105" s="15" t="n"/>
      <c r="C105" s="15">
        <f>IFERROR(VLOOKUP($B105,Community_Master!$A$2:$K$100,2,FALSE),"")</f>
        <v/>
      </c>
      <c r="D105" s="15">
        <f>IFERROR(VLOOKUP($B105,Community_Master!$A$2:$K$100,4,FALSE),"")</f>
        <v/>
      </c>
      <c r="E105" s="15">
        <f>IFERROR(VLOOKUP($B105,Community_Master!$A$2:$K$100,5,FALSE),"")</f>
        <v/>
      </c>
      <c r="F105" s="15">
        <f>IFERROR(VLOOKUP($B105,Community_Master!$A$2:$K$100,6,FALSE),"")</f>
        <v/>
      </c>
      <c r="G105" s="15">
        <f>IFERROR(VLOOKUP($B105,Community_Master!$A$2:$K$100,8,FALSE),"")</f>
        <v/>
      </c>
      <c r="H105" s="15">
        <f>IFERROR(VLOOKUP($B105,Community_Master!$A$2:$K$100,7,FALSE),"")</f>
        <v/>
      </c>
      <c r="I105" s="15" t="n"/>
      <c r="J105" s="15" t="n"/>
      <c r="K105" s="15" t="n"/>
      <c r="L105" s="15">
        <f>IF($H105="","",MAX($H105-$I105,0))</f>
        <v/>
      </c>
      <c r="M105" s="6">
        <f>IF($H105="","",IFERROR($I105/$H105,""))</f>
        <v/>
      </c>
      <c r="N105" s="6">
        <f>IF($H105="","",IFERROR($J105/$H105,""))</f>
        <v/>
      </c>
      <c r="O105" s="6" t="n"/>
      <c r="P105" s="7" t="n"/>
      <c r="Q105" s="7" t="n"/>
      <c r="R105" s="7" t="n"/>
      <c r="S105" s="7" t="n"/>
      <c r="T105" s="7">
        <f>IF($H105="","",IFERROR($H105*$P105,""))</f>
        <v/>
      </c>
      <c r="U105" s="7" t="n"/>
      <c r="V105" s="7" t="n"/>
      <c r="W105" s="7" t="n"/>
      <c r="X105" s="7">
        <f>IF(OR($U105="",$W105=""),"",($U105+$V105)-$W105)</f>
        <v/>
      </c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9" t="n"/>
      <c r="AJ105" s="8" t="n"/>
      <c r="AK105" s="8" t="n"/>
      <c r="AL105" s="15" t="n"/>
      <c r="AM105" s="15" t="n"/>
      <c r="AN105" s="15" t="n"/>
      <c r="AO105" s="15" t="n"/>
      <c r="AP105" s="10" t="n"/>
      <c r="AQ105" s="15">
        <f>IF($B105="","",IF(OR(ISERROR(MATCH($B105,Community_Master!$A$2:$A$100,0)),$A105="",AND($H105&lt;&gt;"",$I105&gt;$H105),AND($H105&lt;&gt;"",$J105&gt;$H105),$I105&lt;0,$J105&lt;0,$K105&lt;0,$P105&lt;0,$Q105&lt;0,$Y105&lt;0,$Z105&lt;0,$AA105&lt;0,$AB105&lt;0,$AC105&lt;0),"ERROR","OK"))</f>
        <v/>
      </c>
      <c r="AR105" s="15">
        <f>IF($B105="","",TRIM(IF(ISERROR(MATCH($B105,Community_Master!$A$2:$A$100,0)),"Invalid Community_ID; ","")&amp;IF($A105="","Missing Report_Month; ","")&amp;IF(AND($H105&lt;&gt;"",$I105&gt;$H105),"Occupied_Units greater than Total_Units; ","")&amp;IF(AND($H105&lt;&gt;"",$J105&gt;$H105),"Leased_Units greater than Total_Units; ","")&amp;IF($I105&lt;0,"Occupied_Units negative; ","")&amp;IF($J105&lt;0,"Leased_Units negative; ","")&amp;IF($P105&lt;0,"Avg_Market_Rent negative; ","")))</f>
        <v/>
      </c>
    </row>
    <row r="106" ht="15" customHeight="1">
      <c r="A106" s="5" t="n"/>
      <c r="B106" s="15" t="n"/>
      <c r="C106" s="15">
        <f>IFERROR(VLOOKUP($B106,Community_Master!$A$2:$K$100,2,FALSE),"")</f>
        <v/>
      </c>
      <c r="D106" s="15">
        <f>IFERROR(VLOOKUP($B106,Community_Master!$A$2:$K$100,4,FALSE),"")</f>
        <v/>
      </c>
      <c r="E106" s="15">
        <f>IFERROR(VLOOKUP($B106,Community_Master!$A$2:$K$100,5,FALSE),"")</f>
        <v/>
      </c>
      <c r="F106" s="15">
        <f>IFERROR(VLOOKUP($B106,Community_Master!$A$2:$K$100,6,FALSE),"")</f>
        <v/>
      </c>
      <c r="G106" s="15">
        <f>IFERROR(VLOOKUP($B106,Community_Master!$A$2:$K$100,8,FALSE),"")</f>
        <v/>
      </c>
      <c r="H106" s="15">
        <f>IFERROR(VLOOKUP($B106,Community_Master!$A$2:$K$100,7,FALSE),"")</f>
        <v/>
      </c>
      <c r="I106" s="15" t="n"/>
      <c r="J106" s="15" t="n"/>
      <c r="K106" s="15" t="n"/>
      <c r="L106" s="15">
        <f>IF($H106="","",MAX($H106-$I106,0))</f>
        <v/>
      </c>
      <c r="M106" s="6">
        <f>IF($H106="","",IFERROR($I106/$H106,""))</f>
        <v/>
      </c>
      <c r="N106" s="6">
        <f>IF($H106="","",IFERROR($J106/$H106,""))</f>
        <v/>
      </c>
      <c r="O106" s="6" t="n"/>
      <c r="P106" s="7" t="n"/>
      <c r="Q106" s="7" t="n"/>
      <c r="R106" s="7" t="n"/>
      <c r="S106" s="7" t="n"/>
      <c r="T106" s="7">
        <f>IF($H106="","",IFERROR($H106*$P106,""))</f>
        <v/>
      </c>
      <c r="U106" s="7" t="n"/>
      <c r="V106" s="7" t="n"/>
      <c r="W106" s="7" t="n"/>
      <c r="X106" s="7">
        <f>IF(OR($U106="",$W106=""),"",($U106+$V106)-$W106)</f>
        <v/>
      </c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9" t="n"/>
      <c r="AJ106" s="8" t="n"/>
      <c r="AK106" s="8" t="n"/>
      <c r="AL106" s="15" t="n"/>
      <c r="AM106" s="15" t="n"/>
      <c r="AN106" s="15" t="n"/>
      <c r="AO106" s="15" t="n"/>
      <c r="AP106" s="10" t="n"/>
      <c r="AQ106" s="15">
        <f>IF($B106="","",IF(OR(ISERROR(MATCH($B106,Community_Master!$A$2:$A$100,0)),$A106="",AND($H106&lt;&gt;"",$I106&gt;$H106),AND($H106&lt;&gt;"",$J106&gt;$H106),$I106&lt;0,$J106&lt;0,$K106&lt;0,$P106&lt;0,$Q106&lt;0,$Y106&lt;0,$Z106&lt;0,$AA106&lt;0,$AB106&lt;0,$AC106&lt;0),"ERROR","OK"))</f>
        <v/>
      </c>
      <c r="AR106" s="15">
        <f>IF($B106="","",TRIM(IF(ISERROR(MATCH($B106,Community_Master!$A$2:$A$100,0)),"Invalid Community_ID; ","")&amp;IF($A106="","Missing Report_Month; ","")&amp;IF(AND($H106&lt;&gt;"",$I106&gt;$H106),"Occupied_Units greater than Total_Units; ","")&amp;IF(AND($H106&lt;&gt;"",$J106&gt;$H106),"Leased_Units greater than Total_Units; ","")&amp;IF($I106&lt;0,"Occupied_Units negative; ","")&amp;IF($J106&lt;0,"Leased_Units negative; ","")&amp;IF($P106&lt;0,"Avg_Market_Rent negative; ","")))</f>
        <v/>
      </c>
    </row>
    <row r="107" ht="15" customHeight="1">
      <c r="A107" s="5" t="n"/>
      <c r="B107" s="15" t="n"/>
      <c r="C107" s="15">
        <f>IFERROR(VLOOKUP($B107,Community_Master!$A$2:$K$100,2,FALSE),"")</f>
        <v/>
      </c>
      <c r="D107" s="15">
        <f>IFERROR(VLOOKUP($B107,Community_Master!$A$2:$K$100,4,FALSE),"")</f>
        <v/>
      </c>
      <c r="E107" s="15">
        <f>IFERROR(VLOOKUP($B107,Community_Master!$A$2:$K$100,5,FALSE),"")</f>
        <v/>
      </c>
      <c r="F107" s="15">
        <f>IFERROR(VLOOKUP($B107,Community_Master!$A$2:$K$100,6,FALSE),"")</f>
        <v/>
      </c>
      <c r="G107" s="15">
        <f>IFERROR(VLOOKUP($B107,Community_Master!$A$2:$K$100,8,FALSE),"")</f>
        <v/>
      </c>
      <c r="H107" s="15">
        <f>IFERROR(VLOOKUP($B107,Community_Master!$A$2:$K$100,7,FALSE),"")</f>
        <v/>
      </c>
      <c r="I107" s="15" t="n"/>
      <c r="J107" s="15" t="n"/>
      <c r="K107" s="15" t="n"/>
      <c r="L107" s="15">
        <f>IF($H107="","",MAX($H107-$I107,0))</f>
        <v/>
      </c>
      <c r="M107" s="6">
        <f>IF($H107="","",IFERROR($I107/$H107,""))</f>
        <v/>
      </c>
      <c r="N107" s="6">
        <f>IF($H107="","",IFERROR($J107/$H107,""))</f>
        <v/>
      </c>
      <c r="O107" s="6" t="n"/>
      <c r="P107" s="7" t="n"/>
      <c r="Q107" s="7" t="n"/>
      <c r="R107" s="7" t="n"/>
      <c r="S107" s="7" t="n"/>
      <c r="T107" s="7">
        <f>IF($H107="","",IFERROR($H107*$P107,""))</f>
        <v/>
      </c>
      <c r="U107" s="7" t="n"/>
      <c r="V107" s="7" t="n"/>
      <c r="W107" s="7" t="n"/>
      <c r="X107" s="7">
        <f>IF(OR($U107="",$W107=""),"",($U107+$V107)-$W107)</f>
        <v/>
      </c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9" t="n"/>
      <c r="AJ107" s="8" t="n"/>
      <c r="AK107" s="8" t="n"/>
      <c r="AL107" s="15" t="n"/>
      <c r="AM107" s="15" t="n"/>
      <c r="AN107" s="15" t="n"/>
      <c r="AO107" s="15" t="n"/>
      <c r="AP107" s="10" t="n"/>
      <c r="AQ107" s="15">
        <f>IF($B107="","",IF(OR(ISERROR(MATCH($B107,Community_Master!$A$2:$A$100,0)),$A107="",AND($H107&lt;&gt;"",$I107&gt;$H107),AND($H107&lt;&gt;"",$J107&gt;$H107),$I107&lt;0,$J107&lt;0,$K107&lt;0,$P107&lt;0,$Q107&lt;0,$Y107&lt;0,$Z107&lt;0,$AA107&lt;0,$AB107&lt;0,$AC107&lt;0),"ERROR","OK"))</f>
        <v/>
      </c>
      <c r="AR107" s="15">
        <f>IF($B107="","",TRIM(IF(ISERROR(MATCH($B107,Community_Master!$A$2:$A$100,0)),"Invalid Community_ID; ","")&amp;IF($A107="","Missing Report_Month; ","")&amp;IF(AND($H107&lt;&gt;"",$I107&gt;$H107),"Occupied_Units greater than Total_Units; ","")&amp;IF(AND($H107&lt;&gt;"",$J107&gt;$H107),"Leased_Units greater than Total_Units; ","")&amp;IF($I107&lt;0,"Occupied_Units negative; ","")&amp;IF($J107&lt;0,"Leased_Units negative; ","")&amp;IF($P107&lt;0,"Avg_Market_Rent negative; ","")))</f>
        <v/>
      </c>
    </row>
    <row r="108" ht="15" customHeight="1">
      <c r="A108" s="5" t="n"/>
      <c r="B108" s="15" t="n"/>
      <c r="C108" s="15">
        <f>IFERROR(VLOOKUP($B108,Community_Master!$A$2:$K$100,2,FALSE),"")</f>
        <v/>
      </c>
      <c r="D108" s="15">
        <f>IFERROR(VLOOKUP($B108,Community_Master!$A$2:$K$100,4,FALSE),"")</f>
        <v/>
      </c>
      <c r="E108" s="15">
        <f>IFERROR(VLOOKUP($B108,Community_Master!$A$2:$K$100,5,FALSE),"")</f>
        <v/>
      </c>
      <c r="F108" s="15">
        <f>IFERROR(VLOOKUP($B108,Community_Master!$A$2:$K$100,6,FALSE),"")</f>
        <v/>
      </c>
      <c r="G108" s="15">
        <f>IFERROR(VLOOKUP($B108,Community_Master!$A$2:$K$100,8,FALSE),"")</f>
        <v/>
      </c>
      <c r="H108" s="15">
        <f>IFERROR(VLOOKUP($B108,Community_Master!$A$2:$K$100,7,FALSE),"")</f>
        <v/>
      </c>
      <c r="I108" s="15" t="n"/>
      <c r="J108" s="15" t="n"/>
      <c r="K108" s="15" t="n"/>
      <c r="L108" s="15">
        <f>IF($H108="","",MAX($H108-$I108,0))</f>
        <v/>
      </c>
      <c r="M108" s="6">
        <f>IF($H108="","",IFERROR($I108/$H108,""))</f>
        <v/>
      </c>
      <c r="N108" s="6">
        <f>IF($H108="","",IFERROR($J108/$H108,""))</f>
        <v/>
      </c>
      <c r="O108" s="6" t="n"/>
      <c r="P108" s="7" t="n"/>
      <c r="Q108" s="7" t="n"/>
      <c r="R108" s="7" t="n"/>
      <c r="S108" s="7" t="n"/>
      <c r="T108" s="7">
        <f>IF($H108="","",IFERROR($H108*$P108,""))</f>
        <v/>
      </c>
      <c r="U108" s="7" t="n"/>
      <c r="V108" s="7" t="n"/>
      <c r="W108" s="7" t="n"/>
      <c r="X108" s="7">
        <f>IF(OR($U108="",$W108=""),"",($U108+$V108)-$W108)</f>
        <v/>
      </c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9" t="n"/>
      <c r="AJ108" s="8" t="n"/>
      <c r="AK108" s="8" t="n"/>
      <c r="AL108" s="15" t="n"/>
      <c r="AM108" s="15" t="n"/>
      <c r="AN108" s="15" t="n"/>
      <c r="AO108" s="15" t="n"/>
      <c r="AP108" s="10" t="n"/>
      <c r="AQ108" s="15">
        <f>IF($B108="","",IF(OR(ISERROR(MATCH($B108,Community_Master!$A$2:$A$100,0)),$A108="",AND($H108&lt;&gt;"",$I108&gt;$H108),AND($H108&lt;&gt;"",$J108&gt;$H108),$I108&lt;0,$J108&lt;0,$K108&lt;0,$P108&lt;0,$Q108&lt;0,$Y108&lt;0,$Z108&lt;0,$AA108&lt;0,$AB108&lt;0,$AC108&lt;0),"ERROR","OK"))</f>
        <v/>
      </c>
      <c r="AR108" s="15">
        <f>IF($B108="","",TRIM(IF(ISERROR(MATCH($B108,Community_Master!$A$2:$A$100,0)),"Invalid Community_ID; ","")&amp;IF($A108="","Missing Report_Month; ","")&amp;IF(AND($H108&lt;&gt;"",$I108&gt;$H108),"Occupied_Units greater than Total_Units; ","")&amp;IF(AND($H108&lt;&gt;"",$J108&gt;$H108),"Leased_Units greater than Total_Units; ","")&amp;IF($I108&lt;0,"Occupied_Units negative; ","")&amp;IF($J108&lt;0,"Leased_Units negative; ","")&amp;IF($P108&lt;0,"Avg_Market_Rent negative; ","")))</f>
        <v/>
      </c>
    </row>
    <row r="109" ht="15" customHeight="1">
      <c r="A109" s="5" t="n"/>
      <c r="B109" s="15" t="n"/>
      <c r="C109" s="15">
        <f>IFERROR(VLOOKUP($B109,Community_Master!$A$2:$K$100,2,FALSE),"")</f>
        <v/>
      </c>
      <c r="D109" s="15">
        <f>IFERROR(VLOOKUP($B109,Community_Master!$A$2:$K$100,4,FALSE),"")</f>
        <v/>
      </c>
      <c r="E109" s="15">
        <f>IFERROR(VLOOKUP($B109,Community_Master!$A$2:$K$100,5,FALSE),"")</f>
        <v/>
      </c>
      <c r="F109" s="15">
        <f>IFERROR(VLOOKUP($B109,Community_Master!$A$2:$K$100,6,FALSE),"")</f>
        <v/>
      </c>
      <c r="G109" s="15">
        <f>IFERROR(VLOOKUP($B109,Community_Master!$A$2:$K$100,8,FALSE),"")</f>
        <v/>
      </c>
      <c r="H109" s="15">
        <f>IFERROR(VLOOKUP($B109,Community_Master!$A$2:$K$100,7,FALSE),"")</f>
        <v/>
      </c>
      <c r="I109" s="15" t="n"/>
      <c r="J109" s="15" t="n"/>
      <c r="K109" s="15" t="n"/>
      <c r="L109" s="15">
        <f>IF($H109="","",MAX($H109-$I109,0))</f>
        <v/>
      </c>
      <c r="M109" s="6">
        <f>IF($H109="","",IFERROR($I109/$H109,""))</f>
        <v/>
      </c>
      <c r="N109" s="6">
        <f>IF($H109="","",IFERROR($J109/$H109,""))</f>
        <v/>
      </c>
      <c r="O109" s="6" t="n"/>
      <c r="P109" s="7" t="n"/>
      <c r="Q109" s="7" t="n"/>
      <c r="R109" s="7" t="n"/>
      <c r="S109" s="7" t="n"/>
      <c r="T109" s="7">
        <f>IF($H109="","",IFERROR($H109*$P109,""))</f>
        <v/>
      </c>
      <c r="U109" s="7" t="n"/>
      <c r="V109" s="7" t="n"/>
      <c r="W109" s="7" t="n"/>
      <c r="X109" s="7">
        <f>IF(OR($U109="",$W109=""),"",($U109+$V109)-$W109)</f>
        <v/>
      </c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9" t="n"/>
      <c r="AJ109" s="8" t="n"/>
      <c r="AK109" s="8" t="n"/>
      <c r="AL109" s="15" t="n"/>
      <c r="AM109" s="15" t="n"/>
      <c r="AN109" s="15" t="n"/>
      <c r="AO109" s="15" t="n"/>
      <c r="AP109" s="10" t="n"/>
      <c r="AQ109" s="15">
        <f>IF($B109="","",IF(OR(ISERROR(MATCH($B109,Community_Master!$A$2:$A$100,0)),$A109="",AND($H109&lt;&gt;"",$I109&gt;$H109),AND($H109&lt;&gt;"",$J109&gt;$H109),$I109&lt;0,$J109&lt;0,$K109&lt;0,$P109&lt;0,$Q109&lt;0,$Y109&lt;0,$Z109&lt;0,$AA109&lt;0,$AB109&lt;0,$AC109&lt;0),"ERROR","OK"))</f>
        <v/>
      </c>
      <c r="AR109" s="15">
        <f>IF($B109="","",TRIM(IF(ISERROR(MATCH($B109,Community_Master!$A$2:$A$100,0)),"Invalid Community_ID; ","")&amp;IF($A109="","Missing Report_Month; ","")&amp;IF(AND($H109&lt;&gt;"",$I109&gt;$H109),"Occupied_Units greater than Total_Units; ","")&amp;IF(AND($H109&lt;&gt;"",$J109&gt;$H109),"Leased_Units greater than Total_Units; ","")&amp;IF($I109&lt;0,"Occupied_Units negative; ","")&amp;IF($J109&lt;0,"Leased_Units negative; ","")&amp;IF($P109&lt;0,"Avg_Market_Rent negative; ","")))</f>
        <v/>
      </c>
    </row>
    <row r="110" ht="15" customHeight="1">
      <c r="A110" s="5" t="n"/>
      <c r="B110" s="15" t="n"/>
      <c r="C110" s="15">
        <f>IFERROR(VLOOKUP($B110,Community_Master!$A$2:$K$100,2,FALSE),"")</f>
        <v/>
      </c>
      <c r="D110" s="15">
        <f>IFERROR(VLOOKUP($B110,Community_Master!$A$2:$K$100,4,FALSE),"")</f>
        <v/>
      </c>
      <c r="E110" s="15">
        <f>IFERROR(VLOOKUP($B110,Community_Master!$A$2:$K$100,5,FALSE),"")</f>
        <v/>
      </c>
      <c r="F110" s="15">
        <f>IFERROR(VLOOKUP($B110,Community_Master!$A$2:$K$100,6,FALSE),"")</f>
        <v/>
      </c>
      <c r="G110" s="15">
        <f>IFERROR(VLOOKUP($B110,Community_Master!$A$2:$K$100,8,FALSE),"")</f>
        <v/>
      </c>
      <c r="H110" s="15">
        <f>IFERROR(VLOOKUP($B110,Community_Master!$A$2:$K$100,7,FALSE),"")</f>
        <v/>
      </c>
      <c r="I110" s="15" t="n"/>
      <c r="J110" s="15" t="n"/>
      <c r="K110" s="15" t="n"/>
      <c r="L110" s="15">
        <f>IF($H110="","",MAX($H110-$I110,0))</f>
        <v/>
      </c>
      <c r="M110" s="6">
        <f>IF($H110="","",IFERROR($I110/$H110,""))</f>
        <v/>
      </c>
      <c r="N110" s="6">
        <f>IF($H110="","",IFERROR($J110/$H110,""))</f>
        <v/>
      </c>
      <c r="O110" s="6" t="n"/>
      <c r="P110" s="7" t="n"/>
      <c r="Q110" s="7" t="n"/>
      <c r="R110" s="7" t="n"/>
      <c r="S110" s="7" t="n"/>
      <c r="T110" s="7">
        <f>IF($H110="","",IFERROR($H110*$P110,""))</f>
        <v/>
      </c>
      <c r="U110" s="7" t="n"/>
      <c r="V110" s="7" t="n"/>
      <c r="W110" s="7" t="n"/>
      <c r="X110" s="7">
        <f>IF(OR($U110="",$W110=""),"",($U110+$V110)-$W110)</f>
        <v/>
      </c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9" t="n"/>
      <c r="AJ110" s="8" t="n"/>
      <c r="AK110" s="8" t="n"/>
      <c r="AL110" s="15" t="n"/>
      <c r="AM110" s="15" t="n"/>
      <c r="AN110" s="15" t="n"/>
      <c r="AO110" s="15" t="n"/>
      <c r="AP110" s="10" t="n"/>
      <c r="AQ110" s="15">
        <f>IF($B110="","",IF(OR(ISERROR(MATCH($B110,Community_Master!$A$2:$A$100,0)),$A110="",AND($H110&lt;&gt;"",$I110&gt;$H110),AND($H110&lt;&gt;"",$J110&gt;$H110),$I110&lt;0,$J110&lt;0,$K110&lt;0,$P110&lt;0,$Q110&lt;0,$Y110&lt;0,$Z110&lt;0,$AA110&lt;0,$AB110&lt;0,$AC110&lt;0),"ERROR","OK"))</f>
        <v/>
      </c>
      <c r="AR110" s="15">
        <f>IF($B110="","",TRIM(IF(ISERROR(MATCH($B110,Community_Master!$A$2:$A$100,0)),"Invalid Community_ID; ","")&amp;IF($A110="","Missing Report_Month; ","")&amp;IF(AND($H110&lt;&gt;"",$I110&gt;$H110),"Occupied_Units greater than Total_Units; ","")&amp;IF(AND($H110&lt;&gt;"",$J110&gt;$H110),"Leased_Units greater than Total_Units; ","")&amp;IF($I110&lt;0,"Occupied_Units negative; ","")&amp;IF($J110&lt;0,"Leased_Units negative; ","")&amp;IF($P110&lt;0,"Avg_Market_Rent negative; ","")))</f>
        <v/>
      </c>
    </row>
    <row r="111" ht="15" customHeight="1">
      <c r="A111" s="5" t="n"/>
      <c r="B111" s="15" t="n"/>
      <c r="C111" s="15">
        <f>IFERROR(VLOOKUP($B111,Community_Master!$A$2:$K$100,2,FALSE),"")</f>
        <v/>
      </c>
      <c r="D111" s="15">
        <f>IFERROR(VLOOKUP($B111,Community_Master!$A$2:$K$100,4,FALSE),"")</f>
        <v/>
      </c>
      <c r="E111" s="15">
        <f>IFERROR(VLOOKUP($B111,Community_Master!$A$2:$K$100,5,FALSE),"")</f>
        <v/>
      </c>
      <c r="F111" s="15">
        <f>IFERROR(VLOOKUP($B111,Community_Master!$A$2:$K$100,6,FALSE),"")</f>
        <v/>
      </c>
      <c r="G111" s="15">
        <f>IFERROR(VLOOKUP($B111,Community_Master!$A$2:$K$100,8,FALSE),"")</f>
        <v/>
      </c>
      <c r="H111" s="15">
        <f>IFERROR(VLOOKUP($B111,Community_Master!$A$2:$K$100,7,FALSE),"")</f>
        <v/>
      </c>
      <c r="I111" s="15" t="n"/>
      <c r="J111" s="15" t="n"/>
      <c r="K111" s="15" t="n"/>
      <c r="L111" s="15">
        <f>IF($H111="","",MAX($H111-$I111,0))</f>
        <v/>
      </c>
      <c r="M111" s="6">
        <f>IF($H111="","",IFERROR($I111/$H111,""))</f>
        <v/>
      </c>
      <c r="N111" s="6">
        <f>IF($H111="","",IFERROR($J111/$H111,""))</f>
        <v/>
      </c>
      <c r="O111" s="6" t="n"/>
      <c r="P111" s="7" t="n"/>
      <c r="Q111" s="7" t="n"/>
      <c r="R111" s="7" t="n"/>
      <c r="S111" s="7" t="n"/>
      <c r="T111" s="7">
        <f>IF($H111="","",IFERROR($H111*$P111,""))</f>
        <v/>
      </c>
      <c r="U111" s="7" t="n"/>
      <c r="V111" s="7" t="n"/>
      <c r="W111" s="7" t="n"/>
      <c r="X111" s="7">
        <f>IF(OR($U111="",$W111=""),"",($U111+$V111)-$W111)</f>
        <v/>
      </c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9" t="n"/>
      <c r="AJ111" s="8" t="n"/>
      <c r="AK111" s="8" t="n"/>
      <c r="AL111" s="15" t="n"/>
      <c r="AM111" s="15" t="n"/>
      <c r="AN111" s="15" t="n"/>
      <c r="AO111" s="15" t="n"/>
      <c r="AP111" s="10" t="n"/>
      <c r="AQ111" s="15">
        <f>IF($B111="","",IF(OR(ISERROR(MATCH($B111,Community_Master!$A$2:$A$100,0)),$A111="",AND($H111&lt;&gt;"",$I111&gt;$H111),AND($H111&lt;&gt;"",$J111&gt;$H111),$I111&lt;0,$J111&lt;0,$K111&lt;0,$P111&lt;0,$Q111&lt;0,$Y111&lt;0,$Z111&lt;0,$AA111&lt;0,$AB111&lt;0,$AC111&lt;0),"ERROR","OK"))</f>
        <v/>
      </c>
      <c r="AR111" s="15">
        <f>IF($B111="","",TRIM(IF(ISERROR(MATCH($B111,Community_Master!$A$2:$A$100,0)),"Invalid Community_ID; ","")&amp;IF($A111="","Missing Report_Month; ","")&amp;IF(AND($H111&lt;&gt;"",$I111&gt;$H111),"Occupied_Units greater than Total_Units; ","")&amp;IF(AND($H111&lt;&gt;"",$J111&gt;$H111),"Leased_Units greater than Total_Units; ","")&amp;IF($I111&lt;0,"Occupied_Units negative; ","")&amp;IF($J111&lt;0,"Leased_Units negative; ","")&amp;IF($P111&lt;0,"Avg_Market_Rent negative; ","")))</f>
        <v/>
      </c>
    </row>
    <row r="112" ht="15" customHeight="1">
      <c r="A112" s="5" t="n"/>
      <c r="B112" s="15" t="n"/>
      <c r="C112" s="15">
        <f>IFERROR(VLOOKUP($B112,Community_Master!$A$2:$K$100,2,FALSE),"")</f>
        <v/>
      </c>
      <c r="D112" s="15">
        <f>IFERROR(VLOOKUP($B112,Community_Master!$A$2:$K$100,4,FALSE),"")</f>
        <v/>
      </c>
      <c r="E112" s="15">
        <f>IFERROR(VLOOKUP($B112,Community_Master!$A$2:$K$100,5,FALSE),"")</f>
        <v/>
      </c>
      <c r="F112" s="15">
        <f>IFERROR(VLOOKUP($B112,Community_Master!$A$2:$K$100,6,FALSE),"")</f>
        <v/>
      </c>
      <c r="G112" s="15">
        <f>IFERROR(VLOOKUP($B112,Community_Master!$A$2:$K$100,8,FALSE),"")</f>
        <v/>
      </c>
      <c r="H112" s="15">
        <f>IFERROR(VLOOKUP($B112,Community_Master!$A$2:$K$100,7,FALSE),"")</f>
        <v/>
      </c>
      <c r="I112" s="15" t="n"/>
      <c r="J112" s="15" t="n"/>
      <c r="K112" s="15" t="n"/>
      <c r="L112" s="15">
        <f>IF($H112="","",MAX($H112-$I112,0))</f>
        <v/>
      </c>
      <c r="M112" s="6">
        <f>IF($H112="","",IFERROR($I112/$H112,""))</f>
        <v/>
      </c>
      <c r="N112" s="6">
        <f>IF($H112="","",IFERROR($J112/$H112,""))</f>
        <v/>
      </c>
      <c r="O112" s="6" t="n"/>
      <c r="P112" s="7" t="n"/>
      <c r="Q112" s="7" t="n"/>
      <c r="R112" s="7" t="n"/>
      <c r="S112" s="7" t="n"/>
      <c r="T112" s="7">
        <f>IF($H112="","",IFERROR($H112*$P112,""))</f>
        <v/>
      </c>
      <c r="U112" s="7" t="n"/>
      <c r="V112" s="7" t="n"/>
      <c r="W112" s="7" t="n"/>
      <c r="X112" s="7">
        <f>IF(OR($U112="",$W112=""),"",($U112+$V112)-$W112)</f>
        <v/>
      </c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9" t="n"/>
      <c r="AJ112" s="8" t="n"/>
      <c r="AK112" s="8" t="n"/>
      <c r="AL112" s="15" t="n"/>
      <c r="AM112" s="15" t="n"/>
      <c r="AN112" s="15" t="n"/>
      <c r="AO112" s="15" t="n"/>
      <c r="AP112" s="10" t="n"/>
      <c r="AQ112" s="15">
        <f>IF($B112="","",IF(OR(ISERROR(MATCH($B112,Community_Master!$A$2:$A$100,0)),$A112="",AND($H112&lt;&gt;"",$I112&gt;$H112),AND($H112&lt;&gt;"",$J112&gt;$H112),$I112&lt;0,$J112&lt;0,$K112&lt;0,$P112&lt;0,$Q112&lt;0,$Y112&lt;0,$Z112&lt;0,$AA112&lt;0,$AB112&lt;0,$AC112&lt;0),"ERROR","OK"))</f>
        <v/>
      </c>
      <c r="AR112" s="15">
        <f>IF($B112="","",TRIM(IF(ISERROR(MATCH($B112,Community_Master!$A$2:$A$100,0)),"Invalid Community_ID; ","")&amp;IF($A112="","Missing Report_Month; ","")&amp;IF(AND($H112&lt;&gt;"",$I112&gt;$H112),"Occupied_Units greater than Total_Units; ","")&amp;IF(AND($H112&lt;&gt;"",$J112&gt;$H112),"Leased_Units greater than Total_Units; ","")&amp;IF($I112&lt;0,"Occupied_Units negative; ","")&amp;IF($J112&lt;0,"Leased_Units negative; ","")&amp;IF($P112&lt;0,"Avg_Market_Rent negative; ","")))</f>
        <v/>
      </c>
    </row>
    <row r="113" ht="15" customHeight="1">
      <c r="A113" s="5" t="n"/>
      <c r="B113" s="15" t="n"/>
      <c r="C113" s="15">
        <f>IFERROR(VLOOKUP($B113,Community_Master!$A$2:$K$100,2,FALSE),"")</f>
        <v/>
      </c>
      <c r="D113" s="15">
        <f>IFERROR(VLOOKUP($B113,Community_Master!$A$2:$K$100,4,FALSE),"")</f>
        <v/>
      </c>
      <c r="E113" s="15">
        <f>IFERROR(VLOOKUP($B113,Community_Master!$A$2:$K$100,5,FALSE),"")</f>
        <v/>
      </c>
      <c r="F113" s="15">
        <f>IFERROR(VLOOKUP($B113,Community_Master!$A$2:$K$100,6,FALSE),"")</f>
        <v/>
      </c>
      <c r="G113" s="15">
        <f>IFERROR(VLOOKUP($B113,Community_Master!$A$2:$K$100,8,FALSE),"")</f>
        <v/>
      </c>
      <c r="H113" s="15">
        <f>IFERROR(VLOOKUP($B113,Community_Master!$A$2:$K$100,7,FALSE),"")</f>
        <v/>
      </c>
      <c r="I113" s="15" t="n"/>
      <c r="J113" s="15" t="n"/>
      <c r="K113" s="15" t="n"/>
      <c r="L113" s="15">
        <f>IF($H113="","",MAX($H113-$I113,0))</f>
        <v/>
      </c>
      <c r="M113" s="6">
        <f>IF($H113="","",IFERROR($I113/$H113,""))</f>
        <v/>
      </c>
      <c r="N113" s="6">
        <f>IF($H113="","",IFERROR($J113/$H113,""))</f>
        <v/>
      </c>
      <c r="O113" s="6" t="n"/>
      <c r="P113" s="7" t="n"/>
      <c r="Q113" s="7" t="n"/>
      <c r="R113" s="7" t="n"/>
      <c r="S113" s="7" t="n"/>
      <c r="T113" s="7">
        <f>IF($H113="","",IFERROR($H113*$P113,""))</f>
        <v/>
      </c>
      <c r="U113" s="7" t="n"/>
      <c r="V113" s="7" t="n"/>
      <c r="W113" s="7" t="n"/>
      <c r="X113" s="7">
        <f>IF(OR($U113="",$W113=""),"",($U113+$V113)-$W113)</f>
        <v/>
      </c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9" t="n"/>
      <c r="AJ113" s="8" t="n"/>
      <c r="AK113" s="8" t="n"/>
      <c r="AL113" s="15" t="n"/>
      <c r="AM113" s="15" t="n"/>
      <c r="AN113" s="15" t="n"/>
      <c r="AO113" s="15" t="n"/>
      <c r="AP113" s="10" t="n"/>
      <c r="AQ113" s="15">
        <f>IF($B113="","",IF(OR(ISERROR(MATCH($B113,Community_Master!$A$2:$A$100,0)),$A113="",AND($H113&lt;&gt;"",$I113&gt;$H113),AND($H113&lt;&gt;"",$J113&gt;$H113),$I113&lt;0,$J113&lt;0,$K113&lt;0,$P113&lt;0,$Q113&lt;0,$Y113&lt;0,$Z113&lt;0,$AA113&lt;0,$AB113&lt;0,$AC113&lt;0),"ERROR","OK"))</f>
        <v/>
      </c>
      <c r="AR113" s="15">
        <f>IF($B113="","",TRIM(IF(ISERROR(MATCH($B113,Community_Master!$A$2:$A$100,0)),"Invalid Community_ID; ","")&amp;IF($A113="","Missing Report_Month; ","")&amp;IF(AND($H113&lt;&gt;"",$I113&gt;$H113),"Occupied_Units greater than Total_Units; ","")&amp;IF(AND($H113&lt;&gt;"",$J113&gt;$H113),"Leased_Units greater than Total_Units; ","")&amp;IF($I113&lt;0,"Occupied_Units negative; ","")&amp;IF($J113&lt;0,"Leased_Units negative; ","")&amp;IF($P113&lt;0,"Avg_Market_Rent negative; ","")))</f>
        <v/>
      </c>
    </row>
    <row r="114" ht="15" customHeight="1">
      <c r="A114" s="5" t="n"/>
      <c r="B114" s="15" t="n"/>
      <c r="C114" s="15">
        <f>IFERROR(VLOOKUP($B114,Community_Master!$A$2:$K$100,2,FALSE),"")</f>
        <v/>
      </c>
      <c r="D114" s="15">
        <f>IFERROR(VLOOKUP($B114,Community_Master!$A$2:$K$100,4,FALSE),"")</f>
        <v/>
      </c>
      <c r="E114" s="15">
        <f>IFERROR(VLOOKUP($B114,Community_Master!$A$2:$K$100,5,FALSE),"")</f>
        <v/>
      </c>
      <c r="F114" s="15">
        <f>IFERROR(VLOOKUP($B114,Community_Master!$A$2:$K$100,6,FALSE),"")</f>
        <v/>
      </c>
      <c r="G114" s="15">
        <f>IFERROR(VLOOKUP($B114,Community_Master!$A$2:$K$100,8,FALSE),"")</f>
        <v/>
      </c>
      <c r="H114" s="15">
        <f>IFERROR(VLOOKUP($B114,Community_Master!$A$2:$K$100,7,FALSE),"")</f>
        <v/>
      </c>
      <c r="I114" s="15" t="n"/>
      <c r="J114" s="15" t="n"/>
      <c r="K114" s="15" t="n"/>
      <c r="L114" s="15">
        <f>IF($H114="","",MAX($H114-$I114,0))</f>
        <v/>
      </c>
      <c r="M114" s="6">
        <f>IF($H114="","",IFERROR($I114/$H114,""))</f>
        <v/>
      </c>
      <c r="N114" s="6">
        <f>IF($H114="","",IFERROR($J114/$H114,""))</f>
        <v/>
      </c>
      <c r="O114" s="6" t="n"/>
      <c r="P114" s="7" t="n"/>
      <c r="Q114" s="7" t="n"/>
      <c r="R114" s="7" t="n"/>
      <c r="S114" s="7" t="n"/>
      <c r="T114" s="7">
        <f>IF($H114="","",IFERROR($H114*$P114,""))</f>
        <v/>
      </c>
      <c r="U114" s="7" t="n"/>
      <c r="V114" s="7" t="n"/>
      <c r="W114" s="7" t="n"/>
      <c r="X114" s="7">
        <f>IF(OR($U114="",$W114=""),"",($U114+$V114)-$W114)</f>
        <v/>
      </c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9" t="n"/>
      <c r="AJ114" s="8" t="n"/>
      <c r="AK114" s="8" t="n"/>
      <c r="AL114" s="15" t="n"/>
      <c r="AM114" s="15" t="n"/>
      <c r="AN114" s="15" t="n"/>
      <c r="AO114" s="15" t="n"/>
      <c r="AP114" s="10" t="n"/>
      <c r="AQ114" s="15">
        <f>IF($B114="","",IF(OR(ISERROR(MATCH($B114,Community_Master!$A$2:$A$100,0)),$A114="",AND($H114&lt;&gt;"",$I114&gt;$H114),AND($H114&lt;&gt;"",$J114&gt;$H114),$I114&lt;0,$J114&lt;0,$K114&lt;0,$P114&lt;0,$Q114&lt;0,$Y114&lt;0,$Z114&lt;0,$AA114&lt;0,$AB114&lt;0,$AC114&lt;0),"ERROR","OK"))</f>
        <v/>
      </c>
      <c r="AR114" s="15">
        <f>IF($B114="","",TRIM(IF(ISERROR(MATCH($B114,Community_Master!$A$2:$A$100,0)),"Invalid Community_ID; ","")&amp;IF($A114="","Missing Report_Month; ","")&amp;IF(AND($H114&lt;&gt;"",$I114&gt;$H114),"Occupied_Units greater than Total_Units; ","")&amp;IF(AND($H114&lt;&gt;"",$J114&gt;$H114),"Leased_Units greater than Total_Units; ","")&amp;IF($I114&lt;0,"Occupied_Units negative; ","")&amp;IF($J114&lt;0,"Leased_Units negative; ","")&amp;IF($P114&lt;0,"Avg_Market_Rent negative; ","")))</f>
        <v/>
      </c>
    </row>
    <row r="115" ht="15" customHeight="1">
      <c r="A115" s="5" t="n"/>
      <c r="B115" s="15" t="n"/>
      <c r="C115" s="15">
        <f>IFERROR(VLOOKUP($B115,Community_Master!$A$2:$K$100,2,FALSE),"")</f>
        <v/>
      </c>
      <c r="D115" s="15">
        <f>IFERROR(VLOOKUP($B115,Community_Master!$A$2:$K$100,4,FALSE),"")</f>
        <v/>
      </c>
      <c r="E115" s="15">
        <f>IFERROR(VLOOKUP($B115,Community_Master!$A$2:$K$100,5,FALSE),"")</f>
        <v/>
      </c>
      <c r="F115" s="15">
        <f>IFERROR(VLOOKUP($B115,Community_Master!$A$2:$K$100,6,FALSE),"")</f>
        <v/>
      </c>
      <c r="G115" s="15">
        <f>IFERROR(VLOOKUP($B115,Community_Master!$A$2:$K$100,8,FALSE),"")</f>
        <v/>
      </c>
      <c r="H115" s="15">
        <f>IFERROR(VLOOKUP($B115,Community_Master!$A$2:$K$100,7,FALSE),"")</f>
        <v/>
      </c>
      <c r="I115" s="15" t="n"/>
      <c r="J115" s="15" t="n"/>
      <c r="K115" s="15" t="n"/>
      <c r="L115" s="15">
        <f>IF($H115="","",MAX($H115-$I115,0))</f>
        <v/>
      </c>
      <c r="M115" s="6">
        <f>IF($H115="","",IFERROR($I115/$H115,""))</f>
        <v/>
      </c>
      <c r="N115" s="6">
        <f>IF($H115="","",IFERROR($J115/$H115,""))</f>
        <v/>
      </c>
      <c r="O115" s="6" t="n"/>
      <c r="P115" s="7" t="n"/>
      <c r="Q115" s="7" t="n"/>
      <c r="R115" s="7" t="n"/>
      <c r="S115" s="7" t="n"/>
      <c r="T115" s="7">
        <f>IF($H115="","",IFERROR($H115*$P115,""))</f>
        <v/>
      </c>
      <c r="U115" s="7" t="n"/>
      <c r="V115" s="7" t="n"/>
      <c r="W115" s="7" t="n"/>
      <c r="X115" s="7">
        <f>IF(OR($U115="",$W115=""),"",($U115+$V115)-$W115)</f>
        <v/>
      </c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9" t="n"/>
      <c r="AJ115" s="8" t="n"/>
      <c r="AK115" s="8" t="n"/>
      <c r="AL115" s="15" t="n"/>
      <c r="AM115" s="15" t="n"/>
      <c r="AN115" s="15" t="n"/>
      <c r="AO115" s="15" t="n"/>
      <c r="AP115" s="10" t="n"/>
      <c r="AQ115" s="15">
        <f>IF($B115="","",IF(OR(ISERROR(MATCH($B115,Community_Master!$A$2:$A$100,0)),$A115="",AND($H115&lt;&gt;"",$I115&gt;$H115),AND($H115&lt;&gt;"",$J115&gt;$H115),$I115&lt;0,$J115&lt;0,$K115&lt;0,$P115&lt;0,$Q115&lt;0,$Y115&lt;0,$Z115&lt;0,$AA115&lt;0,$AB115&lt;0,$AC115&lt;0),"ERROR","OK"))</f>
        <v/>
      </c>
      <c r="AR115" s="15">
        <f>IF($B115="","",TRIM(IF(ISERROR(MATCH($B115,Community_Master!$A$2:$A$100,0)),"Invalid Community_ID; ","")&amp;IF($A115="","Missing Report_Month; ","")&amp;IF(AND($H115&lt;&gt;"",$I115&gt;$H115),"Occupied_Units greater than Total_Units; ","")&amp;IF(AND($H115&lt;&gt;"",$J115&gt;$H115),"Leased_Units greater than Total_Units; ","")&amp;IF($I115&lt;0,"Occupied_Units negative; ","")&amp;IF($J115&lt;0,"Leased_Units negative; ","")&amp;IF($P115&lt;0,"Avg_Market_Rent negative; ","")))</f>
        <v/>
      </c>
    </row>
    <row r="116" ht="15" customHeight="1">
      <c r="A116" s="5" t="n"/>
      <c r="B116" s="15" t="n"/>
      <c r="C116" s="15">
        <f>IFERROR(VLOOKUP($B116,Community_Master!$A$2:$K$100,2,FALSE),"")</f>
        <v/>
      </c>
      <c r="D116" s="15">
        <f>IFERROR(VLOOKUP($B116,Community_Master!$A$2:$K$100,4,FALSE),"")</f>
        <v/>
      </c>
      <c r="E116" s="15">
        <f>IFERROR(VLOOKUP($B116,Community_Master!$A$2:$K$100,5,FALSE),"")</f>
        <v/>
      </c>
      <c r="F116" s="15">
        <f>IFERROR(VLOOKUP($B116,Community_Master!$A$2:$K$100,6,FALSE),"")</f>
        <v/>
      </c>
      <c r="G116" s="15">
        <f>IFERROR(VLOOKUP($B116,Community_Master!$A$2:$K$100,8,FALSE),"")</f>
        <v/>
      </c>
      <c r="H116" s="15">
        <f>IFERROR(VLOOKUP($B116,Community_Master!$A$2:$K$100,7,FALSE),"")</f>
        <v/>
      </c>
      <c r="I116" s="15" t="n"/>
      <c r="J116" s="15" t="n"/>
      <c r="K116" s="15" t="n"/>
      <c r="L116" s="15">
        <f>IF($H116="","",MAX($H116-$I116,0))</f>
        <v/>
      </c>
      <c r="M116" s="6">
        <f>IF($H116="","",IFERROR($I116/$H116,""))</f>
        <v/>
      </c>
      <c r="N116" s="6">
        <f>IF($H116="","",IFERROR($J116/$H116,""))</f>
        <v/>
      </c>
      <c r="O116" s="6" t="n"/>
      <c r="P116" s="7" t="n"/>
      <c r="Q116" s="7" t="n"/>
      <c r="R116" s="7" t="n"/>
      <c r="S116" s="7" t="n"/>
      <c r="T116" s="7">
        <f>IF($H116="","",IFERROR($H116*$P116,""))</f>
        <v/>
      </c>
      <c r="U116" s="7" t="n"/>
      <c r="V116" s="7" t="n"/>
      <c r="W116" s="7" t="n"/>
      <c r="X116" s="7">
        <f>IF(OR($U116="",$W116=""),"",($U116+$V116)-$W116)</f>
        <v/>
      </c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9" t="n"/>
      <c r="AJ116" s="8" t="n"/>
      <c r="AK116" s="8" t="n"/>
      <c r="AL116" s="15" t="n"/>
      <c r="AM116" s="15" t="n"/>
      <c r="AN116" s="15" t="n"/>
      <c r="AO116" s="15" t="n"/>
      <c r="AP116" s="10" t="n"/>
      <c r="AQ116" s="15">
        <f>IF($B116="","",IF(OR(ISERROR(MATCH($B116,Community_Master!$A$2:$A$100,0)),$A116="",AND($H116&lt;&gt;"",$I116&gt;$H116),AND($H116&lt;&gt;"",$J116&gt;$H116),$I116&lt;0,$J116&lt;0,$K116&lt;0,$P116&lt;0,$Q116&lt;0,$Y116&lt;0,$Z116&lt;0,$AA116&lt;0,$AB116&lt;0,$AC116&lt;0),"ERROR","OK"))</f>
        <v/>
      </c>
      <c r="AR116" s="15">
        <f>IF($B116="","",TRIM(IF(ISERROR(MATCH($B116,Community_Master!$A$2:$A$100,0)),"Invalid Community_ID; ","")&amp;IF($A116="","Missing Report_Month; ","")&amp;IF(AND($H116&lt;&gt;"",$I116&gt;$H116),"Occupied_Units greater than Total_Units; ","")&amp;IF(AND($H116&lt;&gt;"",$J116&gt;$H116),"Leased_Units greater than Total_Units; ","")&amp;IF($I116&lt;0,"Occupied_Units negative; ","")&amp;IF($J116&lt;0,"Leased_Units negative; ","")&amp;IF($P116&lt;0,"Avg_Market_Rent negative; ","")))</f>
        <v/>
      </c>
    </row>
    <row r="117" ht="15" customHeight="1">
      <c r="A117" s="5" t="n"/>
      <c r="B117" s="15" t="n"/>
      <c r="C117" s="15">
        <f>IFERROR(VLOOKUP($B117,Community_Master!$A$2:$K$100,2,FALSE),"")</f>
        <v/>
      </c>
      <c r="D117" s="15">
        <f>IFERROR(VLOOKUP($B117,Community_Master!$A$2:$K$100,4,FALSE),"")</f>
        <v/>
      </c>
      <c r="E117" s="15">
        <f>IFERROR(VLOOKUP($B117,Community_Master!$A$2:$K$100,5,FALSE),"")</f>
        <v/>
      </c>
      <c r="F117" s="15">
        <f>IFERROR(VLOOKUP($B117,Community_Master!$A$2:$K$100,6,FALSE),"")</f>
        <v/>
      </c>
      <c r="G117" s="15">
        <f>IFERROR(VLOOKUP($B117,Community_Master!$A$2:$K$100,8,FALSE),"")</f>
        <v/>
      </c>
      <c r="H117" s="15">
        <f>IFERROR(VLOOKUP($B117,Community_Master!$A$2:$K$100,7,FALSE),"")</f>
        <v/>
      </c>
      <c r="I117" s="15" t="n"/>
      <c r="J117" s="15" t="n"/>
      <c r="K117" s="15" t="n"/>
      <c r="L117" s="15">
        <f>IF($H117="","",MAX($H117-$I117,0))</f>
        <v/>
      </c>
      <c r="M117" s="6">
        <f>IF($H117="","",IFERROR($I117/$H117,""))</f>
        <v/>
      </c>
      <c r="N117" s="6">
        <f>IF($H117="","",IFERROR($J117/$H117,""))</f>
        <v/>
      </c>
      <c r="O117" s="6" t="n"/>
      <c r="P117" s="7" t="n"/>
      <c r="Q117" s="7" t="n"/>
      <c r="R117" s="7" t="n"/>
      <c r="S117" s="7" t="n"/>
      <c r="T117" s="7">
        <f>IF($H117="","",IFERROR($H117*$P117,""))</f>
        <v/>
      </c>
      <c r="U117" s="7" t="n"/>
      <c r="V117" s="7" t="n"/>
      <c r="W117" s="7" t="n"/>
      <c r="X117" s="7">
        <f>IF(OR($U117="",$W117=""),"",($U117+$V117)-$W117)</f>
        <v/>
      </c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9" t="n"/>
      <c r="AJ117" s="8" t="n"/>
      <c r="AK117" s="8" t="n"/>
      <c r="AL117" s="15" t="n"/>
      <c r="AM117" s="15" t="n"/>
      <c r="AN117" s="15" t="n"/>
      <c r="AO117" s="15" t="n"/>
      <c r="AP117" s="10" t="n"/>
      <c r="AQ117" s="15">
        <f>IF($B117="","",IF(OR(ISERROR(MATCH($B117,Community_Master!$A$2:$A$100,0)),$A117="",AND($H117&lt;&gt;"",$I117&gt;$H117),AND($H117&lt;&gt;"",$J117&gt;$H117),$I117&lt;0,$J117&lt;0,$K117&lt;0,$P117&lt;0,$Q117&lt;0,$Y117&lt;0,$Z117&lt;0,$AA117&lt;0,$AB117&lt;0,$AC117&lt;0),"ERROR","OK"))</f>
        <v/>
      </c>
      <c r="AR117" s="15">
        <f>IF($B117="","",TRIM(IF(ISERROR(MATCH($B117,Community_Master!$A$2:$A$100,0)),"Invalid Community_ID; ","")&amp;IF($A117="","Missing Report_Month; ","")&amp;IF(AND($H117&lt;&gt;"",$I117&gt;$H117),"Occupied_Units greater than Total_Units; ","")&amp;IF(AND($H117&lt;&gt;"",$J117&gt;$H117),"Leased_Units greater than Total_Units; ","")&amp;IF($I117&lt;0,"Occupied_Units negative; ","")&amp;IF($J117&lt;0,"Leased_Units negative; ","")&amp;IF($P117&lt;0,"Avg_Market_Rent negative; ","")))</f>
        <v/>
      </c>
    </row>
    <row r="118" ht="15" customHeight="1">
      <c r="A118" s="5" t="n"/>
      <c r="B118" s="15" t="n"/>
      <c r="C118" s="15">
        <f>IFERROR(VLOOKUP($B118,Community_Master!$A$2:$K$100,2,FALSE),"")</f>
        <v/>
      </c>
      <c r="D118" s="15">
        <f>IFERROR(VLOOKUP($B118,Community_Master!$A$2:$K$100,4,FALSE),"")</f>
        <v/>
      </c>
      <c r="E118" s="15">
        <f>IFERROR(VLOOKUP($B118,Community_Master!$A$2:$K$100,5,FALSE),"")</f>
        <v/>
      </c>
      <c r="F118" s="15">
        <f>IFERROR(VLOOKUP($B118,Community_Master!$A$2:$K$100,6,FALSE),"")</f>
        <v/>
      </c>
      <c r="G118" s="15">
        <f>IFERROR(VLOOKUP($B118,Community_Master!$A$2:$K$100,8,FALSE),"")</f>
        <v/>
      </c>
      <c r="H118" s="15">
        <f>IFERROR(VLOOKUP($B118,Community_Master!$A$2:$K$100,7,FALSE),"")</f>
        <v/>
      </c>
      <c r="I118" s="15" t="n"/>
      <c r="J118" s="15" t="n"/>
      <c r="K118" s="15" t="n"/>
      <c r="L118" s="15">
        <f>IF($H118="","",MAX($H118-$I118,0))</f>
        <v/>
      </c>
      <c r="M118" s="6">
        <f>IF($H118="","",IFERROR($I118/$H118,""))</f>
        <v/>
      </c>
      <c r="N118" s="6">
        <f>IF($H118="","",IFERROR($J118/$H118,""))</f>
        <v/>
      </c>
      <c r="O118" s="6" t="n"/>
      <c r="P118" s="7" t="n"/>
      <c r="Q118" s="7" t="n"/>
      <c r="R118" s="7" t="n"/>
      <c r="S118" s="7" t="n"/>
      <c r="T118" s="7">
        <f>IF($H118="","",IFERROR($H118*$P118,""))</f>
        <v/>
      </c>
      <c r="U118" s="7" t="n"/>
      <c r="V118" s="7" t="n"/>
      <c r="W118" s="7" t="n"/>
      <c r="X118" s="7">
        <f>IF(OR($U118="",$W118=""),"",($U118+$V118)-$W118)</f>
        <v/>
      </c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9" t="n"/>
      <c r="AJ118" s="8" t="n"/>
      <c r="AK118" s="8" t="n"/>
      <c r="AL118" s="15" t="n"/>
      <c r="AM118" s="15" t="n"/>
      <c r="AN118" s="15" t="n"/>
      <c r="AO118" s="15" t="n"/>
      <c r="AP118" s="10" t="n"/>
      <c r="AQ118" s="15">
        <f>IF($B118="","",IF(OR(ISERROR(MATCH($B118,Community_Master!$A$2:$A$100,0)),$A118="",AND($H118&lt;&gt;"",$I118&gt;$H118),AND($H118&lt;&gt;"",$J118&gt;$H118),$I118&lt;0,$J118&lt;0,$K118&lt;0,$P118&lt;0,$Q118&lt;0,$Y118&lt;0,$Z118&lt;0,$AA118&lt;0,$AB118&lt;0,$AC118&lt;0),"ERROR","OK"))</f>
        <v/>
      </c>
      <c r="AR118" s="15">
        <f>IF($B118="","",TRIM(IF(ISERROR(MATCH($B118,Community_Master!$A$2:$A$100,0)),"Invalid Community_ID; ","")&amp;IF($A118="","Missing Report_Month; ","")&amp;IF(AND($H118&lt;&gt;"",$I118&gt;$H118),"Occupied_Units greater than Total_Units; ","")&amp;IF(AND($H118&lt;&gt;"",$J118&gt;$H118),"Leased_Units greater than Total_Units; ","")&amp;IF($I118&lt;0,"Occupied_Units negative; ","")&amp;IF($J118&lt;0,"Leased_Units negative; ","")&amp;IF($P118&lt;0,"Avg_Market_Rent negative; ","")))</f>
        <v/>
      </c>
    </row>
    <row r="119" ht="15" customHeight="1">
      <c r="A119" s="5" t="n"/>
      <c r="B119" s="15" t="n"/>
      <c r="C119" s="15">
        <f>IFERROR(VLOOKUP($B119,Community_Master!$A$2:$K$100,2,FALSE),"")</f>
        <v/>
      </c>
      <c r="D119" s="15">
        <f>IFERROR(VLOOKUP($B119,Community_Master!$A$2:$K$100,4,FALSE),"")</f>
        <v/>
      </c>
      <c r="E119" s="15">
        <f>IFERROR(VLOOKUP($B119,Community_Master!$A$2:$K$100,5,FALSE),"")</f>
        <v/>
      </c>
      <c r="F119" s="15">
        <f>IFERROR(VLOOKUP($B119,Community_Master!$A$2:$K$100,6,FALSE),"")</f>
        <v/>
      </c>
      <c r="G119" s="15">
        <f>IFERROR(VLOOKUP($B119,Community_Master!$A$2:$K$100,8,FALSE),"")</f>
        <v/>
      </c>
      <c r="H119" s="15">
        <f>IFERROR(VLOOKUP($B119,Community_Master!$A$2:$K$100,7,FALSE),"")</f>
        <v/>
      </c>
      <c r="I119" s="15" t="n"/>
      <c r="J119" s="15" t="n"/>
      <c r="K119" s="15" t="n"/>
      <c r="L119" s="15">
        <f>IF($H119="","",MAX($H119-$I119,0))</f>
        <v/>
      </c>
      <c r="M119" s="6">
        <f>IF($H119="","",IFERROR($I119/$H119,""))</f>
        <v/>
      </c>
      <c r="N119" s="6">
        <f>IF($H119="","",IFERROR($J119/$H119,""))</f>
        <v/>
      </c>
      <c r="O119" s="6" t="n"/>
      <c r="P119" s="7" t="n"/>
      <c r="Q119" s="7" t="n"/>
      <c r="R119" s="7" t="n"/>
      <c r="S119" s="7" t="n"/>
      <c r="T119" s="7">
        <f>IF($H119="","",IFERROR($H119*$P119,""))</f>
        <v/>
      </c>
      <c r="U119" s="7" t="n"/>
      <c r="V119" s="7" t="n"/>
      <c r="W119" s="7" t="n"/>
      <c r="X119" s="7">
        <f>IF(OR($U119="",$W119=""),"",($U119+$V119)-$W119)</f>
        <v/>
      </c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9" t="n"/>
      <c r="AJ119" s="8" t="n"/>
      <c r="AK119" s="8" t="n"/>
      <c r="AL119" s="15" t="n"/>
      <c r="AM119" s="15" t="n"/>
      <c r="AN119" s="15" t="n"/>
      <c r="AO119" s="15" t="n"/>
      <c r="AP119" s="10" t="n"/>
      <c r="AQ119" s="15">
        <f>IF($B119="","",IF(OR(ISERROR(MATCH($B119,Community_Master!$A$2:$A$100,0)),$A119="",AND($H119&lt;&gt;"",$I119&gt;$H119),AND($H119&lt;&gt;"",$J119&gt;$H119),$I119&lt;0,$J119&lt;0,$K119&lt;0,$P119&lt;0,$Q119&lt;0,$Y119&lt;0,$Z119&lt;0,$AA119&lt;0,$AB119&lt;0,$AC119&lt;0),"ERROR","OK"))</f>
        <v/>
      </c>
      <c r="AR119" s="15">
        <f>IF($B119="","",TRIM(IF(ISERROR(MATCH($B119,Community_Master!$A$2:$A$100,0)),"Invalid Community_ID; ","")&amp;IF($A119="","Missing Report_Month; ","")&amp;IF(AND($H119&lt;&gt;"",$I119&gt;$H119),"Occupied_Units greater than Total_Units; ","")&amp;IF(AND($H119&lt;&gt;"",$J119&gt;$H119),"Leased_Units greater than Total_Units; ","")&amp;IF($I119&lt;0,"Occupied_Units negative; ","")&amp;IF($J119&lt;0,"Leased_Units negative; ","")&amp;IF($P119&lt;0,"Avg_Market_Rent negative; ","")))</f>
        <v/>
      </c>
    </row>
    <row r="120" ht="15" customHeight="1">
      <c r="A120" s="5" t="n"/>
      <c r="B120" s="15" t="n"/>
      <c r="C120" s="15">
        <f>IFERROR(VLOOKUP($B120,Community_Master!$A$2:$K$100,2,FALSE),"")</f>
        <v/>
      </c>
      <c r="D120" s="15">
        <f>IFERROR(VLOOKUP($B120,Community_Master!$A$2:$K$100,4,FALSE),"")</f>
        <v/>
      </c>
      <c r="E120" s="15">
        <f>IFERROR(VLOOKUP($B120,Community_Master!$A$2:$K$100,5,FALSE),"")</f>
        <v/>
      </c>
      <c r="F120" s="15">
        <f>IFERROR(VLOOKUP($B120,Community_Master!$A$2:$K$100,6,FALSE),"")</f>
        <v/>
      </c>
      <c r="G120" s="15">
        <f>IFERROR(VLOOKUP($B120,Community_Master!$A$2:$K$100,8,FALSE),"")</f>
        <v/>
      </c>
      <c r="H120" s="15">
        <f>IFERROR(VLOOKUP($B120,Community_Master!$A$2:$K$100,7,FALSE),"")</f>
        <v/>
      </c>
      <c r="I120" s="15" t="n"/>
      <c r="J120" s="15" t="n"/>
      <c r="K120" s="15" t="n"/>
      <c r="L120" s="15">
        <f>IF($H120="","",MAX($H120-$I120,0))</f>
        <v/>
      </c>
      <c r="M120" s="6">
        <f>IF($H120="","",IFERROR($I120/$H120,""))</f>
        <v/>
      </c>
      <c r="N120" s="6">
        <f>IF($H120="","",IFERROR($J120/$H120,""))</f>
        <v/>
      </c>
      <c r="O120" s="6" t="n"/>
      <c r="P120" s="7" t="n"/>
      <c r="Q120" s="7" t="n"/>
      <c r="R120" s="7" t="n"/>
      <c r="S120" s="7" t="n"/>
      <c r="T120" s="7">
        <f>IF($H120="","",IFERROR($H120*$P120,""))</f>
        <v/>
      </c>
      <c r="U120" s="7" t="n"/>
      <c r="V120" s="7" t="n"/>
      <c r="W120" s="7" t="n"/>
      <c r="X120" s="7">
        <f>IF(OR($U120="",$W120=""),"",($U120+$V120)-$W120)</f>
        <v/>
      </c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9" t="n"/>
      <c r="AJ120" s="8" t="n"/>
      <c r="AK120" s="8" t="n"/>
      <c r="AL120" s="15" t="n"/>
      <c r="AM120" s="15" t="n"/>
      <c r="AN120" s="15" t="n"/>
      <c r="AO120" s="15" t="n"/>
      <c r="AP120" s="10" t="n"/>
      <c r="AQ120" s="15">
        <f>IF($B120="","",IF(OR(ISERROR(MATCH($B120,Community_Master!$A$2:$A$100,0)),$A120="",AND($H120&lt;&gt;"",$I120&gt;$H120),AND($H120&lt;&gt;"",$J120&gt;$H120),$I120&lt;0,$J120&lt;0,$K120&lt;0,$P120&lt;0,$Q120&lt;0,$Y120&lt;0,$Z120&lt;0,$AA120&lt;0,$AB120&lt;0,$AC120&lt;0),"ERROR","OK"))</f>
        <v/>
      </c>
      <c r="AR120" s="15">
        <f>IF($B120="","",TRIM(IF(ISERROR(MATCH($B120,Community_Master!$A$2:$A$100,0)),"Invalid Community_ID; ","")&amp;IF($A120="","Missing Report_Month; ","")&amp;IF(AND($H120&lt;&gt;"",$I120&gt;$H120),"Occupied_Units greater than Total_Units; ","")&amp;IF(AND($H120&lt;&gt;"",$J120&gt;$H120),"Leased_Units greater than Total_Units; ","")&amp;IF($I120&lt;0,"Occupied_Units negative; ","")&amp;IF($J120&lt;0,"Leased_Units negative; ","")&amp;IF($P120&lt;0,"Avg_Market_Rent negative; ","")))</f>
        <v/>
      </c>
    </row>
    <row r="121" ht="15" customHeight="1">
      <c r="A121" s="5" t="n"/>
      <c r="B121" s="15" t="n"/>
      <c r="C121" s="15">
        <f>IFERROR(VLOOKUP($B121,Community_Master!$A$2:$K$100,2,FALSE),"")</f>
        <v/>
      </c>
      <c r="D121" s="15">
        <f>IFERROR(VLOOKUP($B121,Community_Master!$A$2:$K$100,4,FALSE),"")</f>
        <v/>
      </c>
      <c r="E121" s="15">
        <f>IFERROR(VLOOKUP($B121,Community_Master!$A$2:$K$100,5,FALSE),"")</f>
        <v/>
      </c>
      <c r="F121" s="15">
        <f>IFERROR(VLOOKUP($B121,Community_Master!$A$2:$K$100,6,FALSE),"")</f>
        <v/>
      </c>
      <c r="G121" s="15">
        <f>IFERROR(VLOOKUP($B121,Community_Master!$A$2:$K$100,8,FALSE),"")</f>
        <v/>
      </c>
      <c r="H121" s="15">
        <f>IFERROR(VLOOKUP($B121,Community_Master!$A$2:$K$100,7,FALSE),"")</f>
        <v/>
      </c>
      <c r="I121" s="15" t="n"/>
      <c r="J121" s="15" t="n"/>
      <c r="K121" s="15" t="n"/>
      <c r="L121" s="15">
        <f>IF($H121="","",MAX($H121-$I121,0))</f>
        <v/>
      </c>
      <c r="M121" s="6">
        <f>IF($H121="","",IFERROR($I121/$H121,""))</f>
        <v/>
      </c>
      <c r="N121" s="6">
        <f>IF($H121="","",IFERROR($J121/$H121,""))</f>
        <v/>
      </c>
      <c r="O121" s="6" t="n"/>
      <c r="P121" s="7" t="n"/>
      <c r="Q121" s="7" t="n"/>
      <c r="R121" s="7" t="n"/>
      <c r="S121" s="7" t="n"/>
      <c r="T121" s="7">
        <f>IF($H121="","",IFERROR($H121*$P121,""))</f>
        <v/>
      </c>
      <c r="U121" s="7" t="n"/>
      <c r="V121" s="7" t="n"/>
      <c r="W121" s="7" t="n"/>
      <c r="X121" s="7">
        <f>IF(OR($U121="",$W121=""),"",($U121+$V121)-$W121)</f>
        <v/>
      </c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9" t="n"/>
      <c r="AJ121" s="8" t="n"/>
      <c r="AK121" s="8" t="n"/>
      <c r="AL121" s="15" t="n"/>
      <c r="AM121" s="15" t="n"/>
      <c r="AN121" s="15" t="n"/>
      <c r="AO121" s="15" t="n"/>
      <c r="AP121" s="10" t="n"/>
      <c r="AQ121" s="15">
        <f>IF($B121="","",IF(OR(ISERROR(MATCH($B121,Community_Master!$A$2:$A$100,0)),$A121="",AND($H121&lt;&gt;"",$I121&gt;$H121),AND($H121&lt;&gt;"",$J121&gt;$H121),$I121&lt;0,$J121&lt;0,$K121&lt;0,$P121&lt;0,$Q121&lt;0,$Y121&lt;0,$Z121&lt;0,$AA121&lt;0,$AB121&lt;0,$AC121&lt;0),"ERROR","OK"))</f>
        <v/>
      </c>
      <c r="AR121" s="15">
        <f>IF($B121="","",TRIM(IF(ISERROR(MATCH($B121,Community_Master!$A$2:$A$100,0)),"Invalid Community_ID; ","")&amp;IF($A121="","Missing Report_Month; ","")&amp;IF(AND($H121&lt;&gt;"",$I121&gt;$H121),"Occupied_Units greater than Total_Units; ","")&amp;IF(AND($H121&lt;&gt;"",$J121&gt;$H121),"Leased_Units greater than Total_Units; ","")&amp;IF($I121&lt;0,"Occupied_Units negative; ","")&amp;IF($J121&lt;0,"Leased_Units negative; ","")&amp;IF($P121&lt;0,"Avg_Market_Rent negative; ","")))</f>
        <v/>
      </c>
    </row>
    <row r="122" ht="15" customHeight="1">
      <c r="A122" s="5" t="n"/>
      <c r="B122" s="15" t="n"/>
      <c r="C122" s="15">
        <f>IFERROR(VLOOKUP($B122,Community_Master!$A$2:$K$100,2,FALSE),"")</f>
        <v/>
      </c>
      <c r="D122" s="15">
        <f>IFERROR(VLOOKUP($B122,Community_Master!$A$2:$K$100,4,FALSE),"")</f>
        <v/>
      </c>
      <c r="E122" s="15">
        <f>IFERROR(VLOOKUP($B122,Community_Master!$A$2:$K$100,5,FALSE),"")</f>
        <v/>
      </c>
      <c r="F122" s="15">
        <f>IFERROR(VLOOKUP($B122,Community_Master!$A$2:$K$100,6,FALSE),"")</f>
        <v/>
      </c>
      <c r="G122" s="15">
        <f>IFERROR(VLOOKUP($B122,Community_Master!$A$2:$K$100,8,FALSE),"")</f>
        <v/>
      </c>
      <c r="H122" s="15">
        <f>IFERROR(VLOOKUP($B122,Community_Master!$A$2:$K$100,7,FALSE),"")</f>
        <v/>
      </c>
      <c r="I122" s="15" t="n"/>
      <c r="J122" s="15" t="n"/>
      <c r="K122" s="15" t="n"/>
      <c r="L122" s="15">
        <f>IF($H122="","",MAX($H122-$I122,0))</f>
        <v/>
      </c>
      <c r="M122" s="6">
        <f>IF($H122="","",IFERROR($I122/$H122,""))</f>
        <v/>
      </c>
      <c r="N122" s="6">
        <f>IF($H122="","",IFERROR($J122/$H122,""))</f>
        <v/>
      </c>
      <c r="O122" s="6" t="n"/>
      <c r="P122" s="7" t="n"/>
      <c r="Q122" s="7" t="n"/>
      <c r="R122" s="7" t="n"/>
      <c r="S122" s="7" t="n"/>
      <c r="T122" s="7">
        <f>IF($H122="","",IFERROR($H122*$P122,""))</f>
        <v/>
      </c>
      <c r="U122" s="7" t="n"/>
      <c r="V122" s="7" t="n"/>
      <c r="W122" s="7" t="n"/>
      <c r="X122" s="7">
        <f>IF(OR($U122="",$W122=""),"",($U122+$V122)-$W122)</f>
        <v/>
      </c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9" t="n"/>
      <c r="AJ122" s="8" t="n"/>
      <c r="AK122" s="8" t="n"/>
      <c r="AL122" s="15" t="n"/>
      <c r="AM122" s="15" t="n"/>
      <c r="AN122" s="15" t="n"/>
      <c r="AO122" s="15" t="n"/>
      <c r="AP122" s="10" t="n"/>
      <c r="AQ122" s="15">
        <f>IF($B122="","",IF(OR(ISERROR(MATCH($B122,Community_Master!$A$2:$A$100,0)),$A122="",AND($H122&lt;&gt;"",$I122&gt;$H122),AND($H122&lt;&gt;"",$J122&gt;$H122),$I122&lt;0,$J122&lt;0,$K122&lt;0,$P122&lt;0,$Q122&lt;0,$Y122&lt;0,$Z122&lt;0,$AA122&lt;0,$AB122&lt;0,$AC122&lt;0),"ERROR","OK"))</f>
        <v/>
      </c>
      <c r="AR122" s="15">
        <f>IF($B122="","",TRIM(IF(ISERROR(MATCH($B122,Community_Master!$A$2:$A$100,0)),"Invalid Community_ID; ","")&amp;IF($A122="","Missing Report_Month; ","")&amp;IF(AND($H122&lt;&gt;"",$I122&gt;$H122),"Occupied_Units greater than Total_Units; ","")&amp;IF(AND($H122&lt;&gt;"",$J122&gt;$H122),"Leased_Units greater than Total_Units; ","")&amp;IF($I122&lt;0,"Occupied_Units negative; ","")&amp;IF($J122&lt;0,"Leased_Units negative; ","")&amp;IF($P122&lt;0,"Avg_Market_Rent negative; ","")))</f>
        <v/>
      </c>
    </row>
    <row r="123" ht="15" customHeight="1">
      <c r="A123" s="5" t="n"/>
      <c r="B123" s="15" t="n"/>
      <c r="C123" s="15">
        <f>IFERROR(VLOOKUP($B123,Community_Master!$A$2:$K$100,2,FALSE),"")</f>
        <v/>
      </c>
      <c r="D123" s="15">
        <f>IFERROR(VLOOKUP($B123,Community_Master!$A$2:$K$100,4,FALSE),"")</f>
        <v/>
      </c>
      <c r="E123" s="15">
        <f>IFERROR(VLOOKUP($B123,Community_Master!$A$2:$K$100,5,FALSE),"")</f>
        <v/>
      </c>
      <c r="F123" s="15">
        <f>IFERROR(VLOOKUP($B123,Community_Master!$A$2:$K$100,6,FALSE),"")</f>
        <v/>
      </c>
      <c r="G123" s="15">
        <f>IFERROR(VLOOKUP($B123,Community_Master!$A$2:$K$100,8,FALSE),"")</f>
        <v/>
      </c>
      <c r="H123" s="15">
        <f>IFERROR(VLOOKUP($B123,Community_Master!$A$2:$K$100,7,FALSE),"")</f>
        <v/>
      </c>
      <c r="I123" s="15" t="n"/>
      <c r="J123" s="15" t="n"/>
      <c r="K123" s="15" t="n"/>
      <c r="L123" s="15">
        <f>IF($H123="","",MAX($H123-$I123,0))</f>
        <v/>
      </c>
      <c r="M123" s="6">
        <f>IF($H123="","",IFERROR($I123/$H123,""))</f>
        <v/>
      </c>
      <c r="N123" s="6">
        <f>IF($H123="","",IFERROR($J123/$H123,""))</f>
        <v/>
      </c>
      <c r="O123" s="6" t="n"/>
      <c r="P123" s="7" t="n"/>
      <c r="Q123" s="7" t="n"/>
      <c r="R123" s="7" t="n"/>
      <c r="S123" s="7" t="n"/>
      <c r="T123" s="7">
        <f>IF($H123="","",IFERROR($H123*$P123,""))</f>
        <v/>
      </c>
      <c r="U123" s="7" t="n"/>
      <c r="V123" s="7" t="n"/>
      <c r="W123" s="7" t="n"/>
      <c r="X123" s="7">
        <f>IF(OR($U123="",$W123=""),"",($U123+$V123)-$W123)</f>
        <v/>
      </c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9" t="n"/>
      <c r="AJ123" s="8" t="n"/>
      <c r="AK123" s="8" t="n"/>
      <c r="AL123" s="15" t="n"/>
      <c r="AM123" s="15" t="n"/>
      <c r="AN123" s="15" t="n"/>
      <c r="AO123" s="15" t="n"/>
      <c r="AP123" s="10" t="n"/>
      <c r="AQ123" s="15">
        <f>IF($B123="","",IF(OR(ISERROR(MATCH($B123,Community_Master!$A$2:$A$100,0)),$A123="",AND($H123&lt;&gt;"",$I123&gt;$H123),AND($H123&lt;&gt;"",$J123&gt;$H123),$I123&lt;0,$J123&lt;0,$K123&lt;0,$P123&lt;0,$Q123&lt;0,$Y123&lt;0,$Z123&lt;0,$AA123&lt;0,$AB123&lt;0,$AC123&lt;0),"ERROR","OK"))</f>
        <v/>
      </c>
      <c r="AR123" s="15">
        <f>IF($B123="","",TRIM(IF(ISERROR(MATCH($B123,Community_Master!$A$2:$A$100,0)),"Invalid Community_ID; ","")&amp;IF($A123="","Missing Report_Month; ","")&amp;IF(AND($H123&lt;&gt;"",$I123&gt;$H123),"Occupied_Units greater than Total_Units; ","")&amp;IF(AND($H123&lt;&gt;"",$J123&gt;$H123),"Leased_Units greater than Total_Units; ","")&amp;IF($I123&lt;0,"Occupied_Units negative; ","")&amp;IF($J123&lt;0,"Leased_Units negative; ","")&amp;IF($P123&lt;0,"Avg_Market_Rent negative; ","")))</f>
        <v/>
      </c>
    </row>
    <row r="124" ht="15" customHeight="1">
      <c r="A124" s="5" t="n"/>
      <c r="B124" s="15" t="n"/>
      <c r="C124" s="15">
        <f>IFERROR(VLOOKUP($B124,Community_Master!$A$2:$K$100,2,FALSE),"")</f>
        <v/>
      </c>
      <c r="D124" s="15">
        <f>IFERROR(VLOOKUP($B124,Community_Master!$A$2:$K$100,4,FALSE),"")</f>
        <v/>
      </c>
      <c r="E124" s="15">
        <f>IFERROR(VLOOKUP($B124,Community_Master!$A$2:$K$100,5,FALSE),"")</f>
        <v/>
      </c>
      <c r="F124" s="15">
        <f>IFERROR(VLOOKUP($B124,Community_Master!$A$2:$K$100,6,FALSE),"")</f>
        <v/>
      </c>
      <c r="G124" s="15">
        <f>IFERROR(VLOOKUP($B124,Community_Master!$A$2:$K$100,8,FALSE),"")</f>
        <v/>
      </c>
      <c r="H124" s="15">
        <f>IFERROR(VLOOKUP($B124,Community_Master!$A$2:$K$100,7,FALSE),"")</f>
        <v/>
      </c>
      <c r="I124" s="15" t="n"/>
      <c r="J124" s="15" t="n"/>
      <c r="K124" s="15" t="n"/>
      <c r="L124" s="15">
        <f>IF($H124="","",MAX($H124-$I124,0))</f>
        <v/>
      </c>
      <c r="M124" s="6">
        <f>IF($H124="","",IFERROR($I124/$H124,""))</f>
        <v/>
      </c>
      <c r="N124" s="6">
        <f>IF($H124="","",IFERROR($J124/$H124,""))</f>
        <v/>
      </c>
      <c r="O124" s="6" t="n"/>
      <c r="P124" s="7" t="n"/>
      <c r="Q124" s="7" t="n"/>
      <c r="R124" s="7" t="n"/>
      <c r="S124" s="7" t="n"/>
      <c r="T124" s="7">
        <f>IF($H124="","",IFERROR($H124*$P124,""))</f>
        <v/>
      </c>
      <c r="U124" s="7" t="n"/>
      <c r="V124" s="7" t="n"/>
      <c r="W124" s="7" t="n"/>
      <c r="X124" s="7">
        <f>IF(OR($U124="",$W124=""),"",($U124+$V124)-$W124)</f>
        <v/>
      </c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9" t="n"/>
      <c r="AJ124" s="8" t="n"/>
      <c r="AK124" s="8" t="n"/>
      <c r="AL124" s="15" t="n"/>
      <c r="AM124" s="15" t="n"/>
      <c r="AN124" s="15" t="n"/>
      <c r="AO124" s="15" t="n"/>
      <c r="AP124" s="10" t="n"/>
      <c r="AQ124" s="15">
        <f>IF($B124="","",IF(OR(ISERROR(MATCH($B124,Community_Master!$A$2:$A$100,0)),$A124="",AND($H124&lt;&gt;"",$I124&gt;$H124),AND($H124&lt;&gt;"",$J124&gt;$H124),$I124&lt;0,$J124&lt;0,$K124&lt;0,$P124&lt;0,$Q124&lt;0,$Y124&lt;0,$Z124&lt;0,$AA124&lt;0,$AB124&lt;0,$AC124&lt;0),"ERROR","OK"))</f>
        <v/>
      </c>
      <c r="AR124" s="15">
        <f>IF($B124="","",TRIM(IF(ISERROR(MATCH($B124,Community_Master!$A$2:$A$100,0)),"Invalid Community_ID; ","")&amp;IF($A124="","Missing Report_Month; ","")&amp;IF(AND($H124&lt;&gt;"",$I124&gt;$H124),"Occupied_Units greater than Total_Units; ","")&amp;IF(AND($H124&lt;&gt;"",$J124&gt;$H124),"Leased_Units greater than Total_Units; ","")&amp;IF($I124&lt;0,"Occupied_Units negative; ","")&amp;IF($J124&lt;0,"Leased_Units negative; ","")&amp;IF($P124&lt;0,"Avg_Market_Rent negative; ","")))</f>
        <v/>
      </c>
    </row>
    <row r="125" ht="15" customHeight="1">
      <c r="A125" s="5" t="n"/>
      <c r="B125" s="15" t="n"/>
      <c r="C125" s="15">
        <f>IFERROR(VLOOKUP($B125,Community_Master!$A$2:$K$100,2,FALSE),"")</f>
        <v/>
      </c>
      <c r="D125" s="15">
        <f>IFERROR(VLOOKUP($B125,Community_Master!$A$2:$K$100,4,FALSE),"")</f>
        <v/>
      </c>
      <c r="E125" s="15">
        <f>IFERROR(VLOOKUP($B125,Community_Master!$A$2:$K$100,5,FALSE),"")</f>
        <v/>
      </c>
      <c r="F125" s="15">
        <f>IFERROR(VLOOKUP($B125,Community_Master!$A$2:$K$100,6,FALSE),"")</f>
        <v/>
      </c>
      <c r="G125" s="15">
        <f>IFERROR(VLOOKUP($B125,Community_Master!$A$2:$K$100,8,FALSE),"")</f>
        <v/>
      </c>
      <c r="H125" s="15">
        <f>IFERROR(VLOOKUP($B125,Community_Master!$A$2:$K$100,7,FALSE),"")</f>
        <v/>
      </c>
      <c r="I125" s="15" t="n"/>
      <c r="J125" s="15" t="n"/>
      <c r="K125" s="15" t="n"/>
      <c r="L125" s="15">
        <f>IF($H125="","",MAX($H125-$I125,0))</f>
        <v/>
      </c>
      <c r="M125" s="6">
        <f>IF($H125="","",IFERROR($I125/$H125,""))</f>
        <v/>
      </c>
      <c r="N125" s="6">
        <f>IF($H125="","",IFERROR($J125/$H125,""))</f>
        <v/>
      </c>
      <c r="O125" s="6" t="n"/>
      <c r="P125" s="7" t="n"/>
      <c r="Q125" s="7" t="n"/>
      <c r="R125" s="7" t="n"/>
      <c r="S125" s="7" t="n"/>
      <c r="T125" s="7">
        <f>IF($H125="","",IFERROR($H125*$P125,""))</f>
        <v/>
      </c>
      <c r="U125" s="7" t="n"/>
      <c r="V125" s="7" t="n"/>
      <c r="W125" s="7" t="n"/>
      <c r="X125" s="7">
        <f>IF(OR($U125="",$W125=""),"",($U125+$V125)-$W125)</f>
        <v/>
      </c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9" t="n"/>
      <c r="AJ125" s="8" t="n"/>
      <c r="AK125" s="8" t="n"/>
      <c r="AL125" s="15" t="n"/>
      <c r="AM125" s="15" t="n"/>
      <c r="AN125" s="15" t="n"/>
      <c r="AO125" s="15" t="n"/>
      <c r="AP125" s="10" t="n"/>
      <c r="AQ125" s="15">
        <f>IF($B125="","",IF(OR(ISERROR(MATCH($B125,Community_Master!$A$2:$A$100,0)),$A125="",AND($H125&lt;&gt;"",$I125&gt;$H125),AND($H125&lt;&gt;"",$J125&gt;$H125),$I125&lt;0,$J125&lt;0,$K125&lt;0,$P125&lt;0,$Q125&lt;0,$Y125&lt;0,$Z125&lt;0,$AA125&lt;0,$AB125&lt;0,$AC125&lt;0),"ERROR","OK"))</f>
        <v/>
      </c>
      <c r="AR125" s="15">
        <f>IF($B125="","",TRIM(IF(ISERROR(MATCH($B125,Community_Master!$A$2:$A$100,0)),"Invalid Community_ID; ","")&amp;IF($A125="","Missing Report_Month; ","")&amp;IF(AND($H125&lt;&gt;"",$I125&gt;$H125),"Occupied_Units greater than Total_Units; ","")&amp;IF(AND($H125&lt;&gt;"",$J125&gt;$H125),"Leased_Units greater than Total_Units; ","")&amp;IF($I125&lt;0,"Occupied_Units negative; ","")&amp;IF($J125&lt;0,"Leased_Units negative; ","")&amp;IF($P125&lt;0,"Avg_Market_Rent negative; ","")))</f>
        <v/>
      </c>
    </row>
    <row r="126" ht="15" customHeight="1">
      <c r="A126" s="5" t="n"/>
      <c r="B126" s="15" t="n"/>
      <c r="C126" s="15">
        <f>IFERROR(VLOOKUP($B126,Community_Master!$A$2:$K$100,2,FALSE),"")</f>
        <v/>
      </c>
      <c r="D126" s="15">
        <f>IFERROR(VLOOKUP($B126,Community_Master!$A$2:$K$100,4,FALSE),"")</f>
        <v/>
      </c>
      <c r="E126" s="15">
        <f>IFERROR(VLOOKUP($B126,Community_Master!$A$2:$K$100,5,FALSE),"")</f>
        <v/>
      </c>
      <c r="F126" s="15">
        <f>IFERROR(VLOOKUP($B126,Community_Master!$A$2:$K$100,6,FALSE),"")</f>
        <v/>
      </c>
      <c r="G126" s="15">
        <f>IFERROR(VLOOKUP($B126,Community_Master!$A$2:$K$100,8,FALSE),"")</f>
        <v/>
      </c>
      <c r="H126" s="15">
        <f>IFERROR(VLOOKUP($B126,Community_Master!$A$2:$K$100,7,FALSE),"")</f>
        <v/>
      </c>
      <c r="I126" s="15" t="n"/>
      <c r="J126" s="15" t="n"/>
      <c r="K126" s="15" t="n"/>
      <c r="L126" s="15">
        <f>IF($H126="","",MAX($H126-$I126,0))</f>
        <v/>
      </c>
      <c r="M126" s="6">
        <f>IF($H126="","",IFERROR($I126/$H126,""))</f>
        <v/>
      </c>
      <c r="N126" s="6">
        <f>IF($H126="","",IFERROR($J126/$H126,""))</f>
        <v/>
      </c>
      <c r="O126" s="6" t="n"/>
      <c r="P126" s="7" t="n"/>
      <c r="Q126" s="7" t="n"/>
      <c r="R126" s="7" t="n"/>
      <c r="S126" s="7" t="n"/>
      <c r="T126" s="7">
        <f>IF($H126="","",IFERROR($H126*$P126,""))</f>
        <v/>
      </c>
      <c r="U126" s="7" t="n"/>
      <c r="V126" s="7" t="n"/>
      <c r="W126" s="7" t="n"/>
      <c r="X126" s="7">
        <f>IF(OR($U126="",$W126=""),"",($U126+$V126)-$W126)</f>
        <v/>
      </c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9" t="n"/>
      <c r="AJ126" s="8" t="n"/>
      <c r="AK126" s="8" t="n"/>
      <c r="AL126" s="15" t="n"/>
      <c r="AM126" s="15" t="n"/>
      <c r="AN126" s="15" t="n"/>
      <c r="AO126" s="15" t="n"/>
      <c r="AP126" s="10" t="n"/>
      <c r="AQ126" s="15">
        <f>IF($B126="","",IF(OR(ISERROR(MATCH($B126,Community_Master!$A$2:$A$100,0)),$A126="",AND($H126&lt;&gt;"",$I126&gt;$H126),AND($H126&lt;&gt;"",$J126&gt;$H126),$I126&lt;0,$J126&lt;0,$K126&lt;0,$P126&lt;0,$Q126&lt;0,$Y126&lt;0,$Z126&lt;0,$AA126&lt;0,$AB126&lt;0,$AC126&lt;0),"ERROR","OK"))</f>
        <v/>
      </c>
      <c r="AR126" s="15">
        <f>IF($B126="","",TRIM(IF(ISERROR(MATCH($B126,Community_Master!$A$2:$A$100,0)),"Invalid Community_ID; ","")&amp;IF($A126="","Missing Report_Month; ","")&amp;IF(AND($H126&lt;&gt;"",$I126&gt;$H126),"Occupied_Units greater than Total_Units; ","")&amp;IF(AND($H126&lt;&gt;"",$J126&gt;$H126),"Leased_Units greater than Total_Units; ","")&amp;IF($I126&lt;0,"Occupied_Units negative; ","")&amp;IF($J126&lt;0,"Leased_Units negative; ","")&amp;IF($P126&lt;0,"Avg_Market_Rent negative; ","")))</f>
        <v/>
      </c>
    </row>
    <row r="127" ht="15" customHeight="1">
      <c r="A127" s="5" t="n"/>
      <c r="B127" s="15" t="n"/>
      <c r="C127" s="15">
        <f>IFERROR(VLOOKUP($B127,Community_Master!$A$2:$K$100,2,FALSE),"")</f>
        <v/>
      </c>
      <c r="D127" s="15">
        <f>IFERROR(VLOOKUP($B127,Community_Master!$A$2:$K$100,4,FALSE),"")</f>
        <v/>
      </c>
      <c r="E127" s="15">
        <f>IFERROR(VLOOKUP($B127,Community_Master!$A$2:$K$100,5,FALSE),"")</f>
        <v/>
      </c>
      <c r="F127" s="15">
        <f>IFERROR(VLOOKUP($B127,Community_Master!$A$2:$K$100,6,FALSE),"")</f>
        <v/>
      </c>
      <c r="G127" s="15">
        <f>IFERROR(VLOOKUP($B127,Community_Master!$A$2:$K$100,8,FALSE),"")</f>
        <v/>
      </c>
      <c r="H127" s="15">
        <f>IFERROR(VLOOKUP($B127,Community_Master!$A$2:$K$100,7,FALSE),"")</f>
        <v/>
      </c>
      <c r="I127" s="15" t="n"/>
      <c r="J127" s="15" t="n"/>
      <c r="K127" s="15" t="n"/>
      <c r="L127" s="15">
        <f>IF($H127="","",MAX($H127-$I127,0))</f>
        <v/>
      </c>
      <c r="M127" s="6">
        <f>IF($H127="","",IFERROR($I127/$H127,""))</f>
        <v/>
      </c>
      <c r="N127" s="6">
        <f>IF($H127="","",IFERROR($J127/$H127,""))</f>
        <v/>
      </c>
      <c r="O127" s="6" t="n"/>
      <c r="P127" s="7" t="n"/>
      <c r="Q127" s="7" t="n"/>
      <c r="R127" s="7" t="n"/>
      <c r="S127" s="7" t="n"/>
      <c r="T127" s="7">
        <f>IF($H127="","",IFERROR($H127*$P127,""))</f>
        <v/>
      </c>
      <c r="U127" s="7" t="n"/>
      <c r="V127" s="7" t="n"/>
      <c r="W127" s="7" t="n"/>
      <c r="X127" s="7">
        <f>IF(OR($U127="",$W127=""),"",($U127+$V127)-$W127)</f>
        <v/>
      </c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9" t="n"/>
      <c r="AJ127" s="8" t="n"/>
      <c r="AK127" s="8" t="n"/>
      <c r="AL127" s="15" t="n"/>
      <c r="AM127" s="15" t="n"/>
      <c r="AN127" s="15" t="n"/>
      <c r="AO127" s="15" t="n"/>
      <c r="AP127" s="10" t="n"/>
      <c r="AQ127" s="15">
        <f>IF($B127="","",IF(OR(ISERROR(MATCH($B127,Community_Master!$A$2:$A$100,0)),$A127="",AND($H127&lt;&gt;"",$I127&gt;$H127),AND($H127&lt;&gt;"",$J127&gt;$H127),$I127&lt;0,$J127&lt;0,$K127&lt;0,$P127&lt;0,$Q127&lt;0,$Y127&lt;0,$Z127&lt;0,$AA127&lt;0,$AB127&lt;0,$AC127&lt;0),"ERROR","OK"))</f>
        <v/>
      </c>
      <c r="AR127" s="15">
        <f>IF($B127="","",TRIM(IF(ISERROR(MATCH($B127,Community_Master!$A$2:$A$100,0)),"Invalid Community_ID; ","")&amp;IF($A127="","Missing Report_Month; ","")&amp;IF(AND($H127&lt;&gt;"",$I127&gt;$H127),"Occupied_Units greater than Total_Units; ","")&amp;IF(AND($H127&lt;&gt;"",$J127&gt;$H127),"Leased_Units greater than Total_Units; ","")&amp;IF($I127&lt;0,"Occupied_Units negative; ","")&amp;IF($J127&lt;0,"Leased_Units negative; ","")&amp;IF($P127&lt;0,"Avg_Market_Rent negative; ","")))</f>
        <v/>
      </c>
    </row>
    <row r="128" ht="15" customHeight="1">
      <c r="A128" s="5" t="n"/>
      <c r="B128" s="15" t="n"/>
      <c r="C128" s="15">
        <f>IFERROR(VLOOKUP($B128,Community_Master!$A$2:$K$100,2,FALSE),"")</f>
        <v/>
      </c>
      <c r="D128" s="15">
        <f>IFERROR(VLOOKUP($B128,Community_Master!$A$2:$K$100,4,FALSE),"")</f>
        <v/>
      </c>
      <c r="E128" s="15">
        <f>IFERROR(VLOOKUP($B128,Community_Master!$A$2:$K$100,5,FALSE),"")</f>
        <v/>
      </c>
      <c r="F128" s="15">
        <f>IFERROR(VLOOKUP($B128,Community_Master!$A$2:$K$100,6,FALSE),"")</f>
        <v/>
      </c>
      <c r="G128" s="15">
        <f>IFERROR(VLOOKUP($B128,Community_Master!$A$2:$K$100,8,FALSE),"")</f>
        <v/>
      </c>
      <c r="H128" s="15">
        <f>IFERROR(VLOOKUP($B128,Community_Master!$A$2:$K$100,7,FALSE),"")</f>
        <v/>
      </c>
      <c r="I128" s="15" t="n"/>
      <c r="J128" s="15" t="n"/>
      <c r="K128" s="15" t="n"/>
      <c r="L128" s="15">
        <f>IF($H128="","",MAX($H128-$I128,0))</f>
        <v/>
      </c>
      <c r="M128" s="6">
        <f>IF($H128="","",IFERROR($I128/$H128,""))</f>
        <v/>
      </c>
      <c r="N128" s="6">
        <f>IF($H128="","",IFERROR($J128/$H128,""))</f>
        <v/>
      </c>
      <c r="O128" s="6" t="n"/>
      <c r="P128" s="7" t="n"/>
      <c r="Q128" s="7" t="n"/>
      <c r="R128" s="7" t="n"/>
      <c r="S128" s="7" t="n"/>
      <c r="T128" s="7">
        <f>IF($H128="","",IFERROR($H128*$P128,""))</f>
        <v/>
      </c>
      <c r="U128" s="7" t="n"/>
      <c r="V128" s="7" t="n"/>
      <c r="W128" s="7" t="n"/>
      <c r="X128" s="7">
        <f>IF(OR($U128="",$W128=""),"",($U128+$V128)-$W128)</f>
        <v/>
      </c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9" t="n"/>
      <c r="AJ128" s="8" t="n"/>
      <c r="AK128" s="8" t="n"/>
      <c r="AL128" s="15" t="n"/>
      <c r="AM128" s="15" t="n"/>
      <c r="AN128" s="15" t="n"/>
      <c r="AO128" s="15" t="n"/>
      <c r="AP128" s="10" t="n"/>
      <c r="AQ128" s="15">
        <f>IF($B128="","",IF(OR(ISERROR(MATCH($B128,Community_Master!$A$2:$A$100,0)),$A128="",AND($H128&lt;&gt;"",$I128&gt;$H128),AND($H128&lt;&gt;"",$J128&gt;$H128),$I128&lt;0,$J128&lt;0,$K128&lt;0,$P128&lt;0,$Q128&lt;0,$Y128&lt;0,$Z128&lt;0,$AA128&lt;0,$AB128&lt;0,$AC128&lt;0),"ERROR","OK"))</f>
        <v/>
      </c>
      <c r="AR128" s="15">
        <f>IF($B128="","",TRIM(IF(ISERROR(MATCH($B128,Community_Master!$A$2:$A$100,0)),"Invalid Community_ID; ","")&amp;IF($A128="","Missing Report_Month; ","")&amp;IF(AND($H128&lt;&gt;"",$I128&gt;$H128),"Occupied_Units greater than Total_Units; ","")&amp;IF(AND($H128&lt;&gt;"",$J128&gt;$H128),"Leased_Units greater than Total_Units; ","")&amp;IF($I128&lt;0,"Occupied_Units negative; ","")&amp;IF($J128&lt;0,"Leased_Units negative; ","")&amp;IF($P128&lt;0,"Avg_Market_Rent negative; ","")))</f>
        <v/>
      </c>
    </row>
    <row r="129" ht="15" customHeight="1">
      <c r="A129" s="5" t="n"/>
      <c r="B129" s="15" t="n"/>
      <c r="C129" s="15">
        <f>IFERROR(VLOOKUP($B129,Community_Master!$A$2:$K$100,2,FALSE),"")</f>
        <v/>
      </c>
      <c r="D129" s="15">
        <f>IFERROR(VLOOKUP($B129,Community_Master!$A$2:$K$100,4,FALSE),"")</f>
        <v/>
      </c>
      <c r="E129" s="15">
        <f>IFERROR(VLOOKUP($B129,Community_Master!$A$2:$K$100,5,FALSE),"")</f>
        <v/>
      </c>
      <c r="F129" s="15">
        <f>IFERROR(VLOOKUP($B129,Community_Master!$A$2:$K$100,6,FALSE),"")</f>
        <v/>
      </c>
      <c r="G129" s="15">
        <f>IFERROR(VLOOKUP($B129,Community_Master!$A$2:$K$100,8,FALSE),"")</f>
        <v/>
      </c>
      <c r="H129" s="15">
        <f>IFERROR(VLOOKUP($B129,Community_Master!$A$2:$K$100,7,FALSE),"")</f>
        <v/>
      </c>
      <c r="I129" s="15" t="n"/>
      <c r="J129" s="15" t="n"/>
      <c r="K129" s="15" t="n"/>
      <c r="L129" s="15">
        <f>IF($H129="","",MAX($H129-$I129,0))</f>
        <v/>
      </c>
      <c r="M129" s="6">
        <f>IF($H129="","",IFERROR($I129/$H129,""))</f>
        <v/>
      </c>
      <c r="N129" s="6">
        <f>IF($H129="","",IFERROR($J129/$H129,""))</f>
        <v/>
      </c>
      <c r="O129" s="6" t="n"/>
      <c r="P129" s="7" t="n"/>
      <c r="Q129" s="7" t="n"/>
      <c r="R129" s="7" t="n"/>
      <c r="S129" s="7" t="n"/>
      <c r="T129" s="7">
        <f>IF($H129="","",IFERROR($H129*$P129,""))</f>
        <v/>
      </c>
      <c r="U129" s="7" t="n"/>
      <c r="V129" s="7" t="n"/>
      <c r="W129" s="7" t="n"/>
      <c r="X129" s="7">
        <f>IF(OR($U129="",$W129=""),"",($U129+$V129)-$W129)</f>
        <v/>
      </c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9" t="n"/>
      <c r="AJ129" s="8" t="n"/>
      <c r="AK129" s="8" t="n"/>
      <c r="AL129" s="15" t="n"/>
      <c r="AM129" s="15" t="n"/>
      <c r="AN129" s="15" t="n"/>
      <c r="AO129" s="15" t="n"/>
      <c r="AP129" s="10" t="n"/>
      <c r="AQ129" s="15">
        <f>IF($B129="","",IF(OR(ISERROR(MATCH($B129,Community_Master!$A$2:$A$100,0)),$A129="",AND($H129&lt;&gt;"",$I129&gt;$H129),AND($H129&lt;&gt;"",$J129&gt;$H129),$I129&lt;0,$J129&lt;0,$K129&lt;0,$P129&lt;0,$Q129&lt;0,$Y129&lt;0,$Z129&lt;0,$AA129&lt;0,$AB129&lt;0,$AC129&lt;0),"ERROR","OK"))</f>
        <v/>
      </c>
      <c r="AR129" s="15">
        <f>IF($B129="","",TRIM(IF(ISERROR(MATCH($B129,Community_Master!$A$2:$A$100,0)),"Invalid Community_ID; ","")&amp;IF($A129="","Missing Report_Month; ","")&amp;IF(AND($H129&lt;&gt;"",$I129&gt;$H129),"Occupied_Units greater than Total_Units; ","")&amp;IF(AND($H129&lt;&gt;"",$J129&gt;$H129),"Leased_Units greater than Total_Units; ","")&amp;IF($I129&lt;0,"Occupied_Units negative; ","")&amp;IF($J129&lt;0,"Leased_Units negative; ","")&amp;IF($P129&lt;0,"Avg_Market_Rent negative; ","")))</f>
        <v/>
      </c>
    </row>
    <row r="130" ht="15" customHeight="1">
      <c r="A130" s="5" t="n"/>
      <c r="B130" s="15" t="n"/>
      <c r="C130" s="15">
        <f>IFERROR(VLOOKUP($B130,Community_Master!$A$2:$K$100,2,FALSE),"")</f>
        <v/>
      </c>
      <c r="D130" s="15">
        <f>IFERROR(VLOOKUP($B130,Community_Master!$A$2:$K$100,4,FALSE),"")</f>
        <v/>
      </c>
      <c r="E130" s="15">
        <f>IFERROR(VLOOKUP($B130,Community_Master!$A$2:$K$100,5,FALSE),"")</f>
        <v/>
      </c>
      <c r="F130" s="15">
        <f>IFERROR(VLOOKUP($B130,Community_Master!$A$2:$K$100,6,FALSE),"")</f>
        <v/>
      </c>
      <c r="G130" s="15">
        <f>IFERROR(VLOOKUP($B130,Community_Master!$A$2:$K$100,8,FALSE),"")</f>
        <v/>
      </c>
      <c r="H130" s="15">
        <f>IFERROR(VLOOKUP($B130,Community_Master!$A$2:$K$100,7,FALSE),"")</f>
        <v/>
      </c>
      <c r="I130" s="15" t="n"/>
      <c r="J130" s="15" t="n"/>
      <c r="K130" s="15" t="n"/>
      <c r="L130" s="15">
        <f>IF($H130="","",MAX($H130-$I130,0))</f>
        <v/>
      </c>
      <c r="M130" s="6">
        <f>IF($H130="","",IFERROR($I130/$H130,""))</f>
        <v/>
      </c>
      <c r="N130" s="6">
        <f>IF($H130="","",IFERROR($J130/$H130,""))</f>
        <v/>
      </c>
      <c r="O130" s="6" t="n"/>
      <c r="P130" s="7" t="n"/>
      <c r="Q130" s="7" t="n"/>
      <c r="R130" s="7" t="n"/>
      <c r="S130" s="7" t="n"/>
      <c r="T130" s="7">
        <f>IF($H130="","",IFERROR($H130*$P130,""))</f>
        <v/>
      </c>
      <c r="U130" s="7" t="n"/>
      <c r="V130" s="7" t="n"/>
      <c r="W130" s="7" t="n"/>
      <c r="X130" s="7">
        <f>IF(OR($U130="",$W130=""),"",($U130+$V130)-$W130)</f>
        <v/>
      </c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9" t="n"/>
      <c r="AJ130" s="8" t="n"/>
      <c r="AK130" s="8" t="n"/>
      <c r="AL130" s="15" t="n"/>
      <c r="AM130" s="15" t="n"/>
      <c r="AN130" s="15" t="n"/>
      <c r="AO130" s="15" t="n"/>
      <c r="AP130" s="10" t="n"/>
      <c r="AQ130" s="15">
        <f>IF($B130="","",IF(OR(ISERROR(MATCH($B130,Community_Master!$A$2:$A$100,0)),$A130="",AND($H130&lt;&gt;"",$I130&gt;$H130),AND($H130&lt;&gt;"",$J130&gt;$H130),$I130&lt;0,$J130&lt;0,$K130&lt;0,$P130&lt;0,$Q130&lt;0,$Y130&lt;0,$Z130&lt;0,$AA130&lt;0,$AB130&lt;0,$AC130&lt;0),"ERROR","OK"))</f>
        <v/>
      </c>
      <c r="AR130" s="15">
        <f>IF($B130="","",TRIM(IF(ISERROR(MATCH($B130,Community_Master!$A$2:$A$100,0)),"Invalid Community_ID; ","")&amp;IF($A130="","Missing Report_Month; ","")&amp;IF(AND($H130&lt;&gt;"",$I130&gt;$H130),"Occupied_Units greater than Total_Units; ","")&amp;IF(AND($H130&lt;&gt;"",$J130&gt;$H130),"Leased_Units greater than Total_Units; ","")&amp;IF($I130&lt;0,"Occupied_Units negative; ","")&amp;IF($J130&lt;0,"Leased_Units negative; ","")&amp;IF($P130&lt;0,"Avg_Market_Rent negative; ","")))</f>
        <v/>
      </c>
    </row>
    <row r="131" ht="15" customHeight="1">
      <c r="A131" s="5" t="n"/>
      <c r="B131" s="15" t="n"/>
      <c r="C131" s="15">
        <f>IFERROR(VLOOKUP($B131,Community_Master!$A$2:$K$100,2,FALSE),"")</f>
        <v/>
      </c>
      <c r="D131" s="15">
        <f>IFERROR(VLOOKUP($B131,Community_Master!$A$2:$K$100,4,FALSE),"")</f>
        <v/>
      </c>
      <c r="E131" s="15">
        <f>IFERROR(VLOOKUP($B131,Community_Master!$A$2:$K$100,5,FALSE),"")</f>
        <v/>
      </c>
      <c r="F131" s="15">
        <f>IFERROR(VLOOKUP($B131,Community_Master!$A$2:$K$100,6,FALSE),"")</f>
        <v/>
      </c>
      <c r="G131" s="15">
        <f>IFERROR(VLOOKUP($B131,Community_Master!$A$2:$K$100,8,FALSE),"")</f>
        <v/>
      </c>
      <c r="H131" s="15">
        <f>IFERROR(VLOOKUP($B131,Community_Master!$A$2:$K$100,7,FALSE),"")</f>
        <v/>
      </c>
      <c r="I131" s="15" t="n"/>
      <c r="J131" s="15" t="n"/>
      <c r="K131" s="15" t="n"/>
      <c r="L131" s="15">
        <f>IF($H131="","",MAX($H131-$I131,0))</f>
        <v/>
      </c>
      <c r="M131" s="6">
        <f>IF($H131="","",IFERROR($I131/$H131,""))</f>
        <v/>
      </c>
      <c r="N131" s="6">
        <f>IF($H131="","",IFERROR($J131/$H131,""))</f>
        <v/>
      </c>
      <c r="O131" s="6" t="n"/>
      <c r="P131" s="7" t="n"/>
      <c r="Q131" s="7" t="n"/>
      <c r="R131" s="7" t="n"/>
      <c r="S131" s="7" t="n"/>
      <c r="T131" s="7">
        <f>IF($H131="","",IFERROR($H131*$P131,""))</f>
        <v/>
      </c>
      <c r="U131" s="7" t="n"/>
      <c r="V131" s="7" t="n"/>
      <c r="W131" s="7" t="n"/>
      <c r="X131" s="7">
        <f>IF(OR($U131="",$W131=""),"",($U131+$V131)-$W131)</f>
        <v/>
      </c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9" t="n"/>
      <c r="AJ131" s="8" t="n"/>
      <c r="AK131" s="8" t="n"/>
      <c r="AL131" s="15" t="n"/>
      <c r="AM131" s="15" t="n"/>
      <c r="AN131" s="15" t="n"/>
      <c r="AO131" s="15" t="n"/>
      <c r="AP131" s="10" t="n"/>
      <c r="AQ131" s="15">
        <f>IF($B131="","",IF(OR(ISERROR(MATCH($B131,Community_Master!$A$2:$A$100,0)),$A131="",AND($H131&lt;&gt;"",$I131&gt;$H131),AND($H131&lt;&gt;"",$J131&gt;$H131),$I131&lt;0,$J131&lt;0,$K131&lt;0,$P131&lt;0,$Q131&lt;0,$Y131&lt;0,$Z131&lt;0,$AA131&lt;0,$AB131&lt;0,$AC131&lt;0),"ERROR","OK"))</f>
        <v/>
      </c>
      <c r="AR131" s="15">
        <f>IF($B131="","",TRIM(IF(ISERROR(MATCH($B131,Community_Master!$A$2:$A$100,0)),"Invalid Community_ID; ","")&amp;IF($A131="","Missing Report_Month; ","")&amp;IF(AND($H131&lt;&gt;"",$I131&gt;$H131),"Occupied_Units greater than Total_Units; ","")&amp;IF(AND($H131&lt;&gt;"",$J131&gt;$H131),"Leased_Units greater than Total_Units; ","")&amp;IF($I131&lt;0,"Occupied_Units negative; ","")&amp;IF($J131&lt;0,"Leased_Units negative; ","")&amp;IF($P131&lt;0,"Avg_Market_Rent negative; ","")))</f>
        <v/>
      </c>
    </row>
    <row r="132" ht="15" customHeight="1">
      <c r="A132" s="5" t="n"/>
      <c r="B132" s="15" t="n"/>
      <c r="C132" s="15">
        <f>IFERROR(VLOOKUP($B132,Community_Master!$A$2:$K$100,2,FALSE),"")</f>
        <v/>
      </c>
      <c r="D132" s="15">
        <f>IFERROR(VLOOKUP($B132,Community_Master!$A$2:$K$100,4,FALSE),"")</f>
        <v/>
      </c>
      <c r="E132" s="15">
        <f>IFERROR(VLOOKUP($B132,Community_Master!$A$2:$K$100,5,FALSE),"")</f>
        <v/>
      </c>
      <c r="F132" s="15">
        <f>IFERROR(VLOOKUP($B132,Community_Master!$A$2:$K$100,6,FALSE),"")</f>
        <v/>
      </c>
      <c r="G132" s="15">
        <f>IFERROR(VLOOKUP($B132,Community_Master!$A$2:$K$100,8,FALSE),"")</f>
        <v/>
      </c>
      <c r="H132" s="15">
        <f>IFERROR(VLOOKUP($B132,Community_Master!$A$2:$K$100,7,FALSE),"")</f>
        <v/>
      </c>
      <c r="I132" s="15" t="n"/>
      <c r="J132" s="15" t="n"/>
      <c r="K132" s="15" t="n"/>
      <c r="L132" s="15">
        <f>IF($H132="","",MAX($H132-$I132,0))</f>
        <v/>
      </c>
      <c r="M132" s="6">
        <f>IF($H132="","",IFERROR($I132/$H132,""))</f>
        <v/>
      </c>
      <c r="N132" s="6">
        <f>IF($H132="","",IFERROR($J132/$H132,""))</f>
        <v/>
      </c>
      <c r="O132" s="6" t="n"/>
      <c r="P132" s="7" t="n"/>
      <c r="Q132" s="7" t="n"/>
      <c r="R132" s="7" t="n"/>
      <c r="S132" s="7" t="n"/>
      <c r="T132" s="7">
        <f>IF($H132="","",IFERROR($H132*$P132,""))</f>
        <v/>
      </c>
      <c r="U132" s="7" t="n"/>
      <c r="V132" s="7" t="n"/>
      <c r="W132" s="7" t="n"/>
      <c r="X132" s="7">
        <f>IF(OR($U132="",$W132=""),"",($U132+$V132)-$W132)</f>
        <v/>
      </c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9" t="n"/>
      <c r="AJ132" s="8" t="n"/>
      <c r="AK132" s="8" t="n"/>
      <c r="AL132" s="15" t="n"/>
      <c r="AM132" s="15" t="n"/>
      <c r="AN132" s="15" t="n"/>
      <c r="AO132" s="15" t="n"/>
      <c r="AP132" s="10" t="n"/>
      <c r="AQ132" s="15">
        <f>IF($B132="","",IF(OR(ISERROR(MATCH($B132,Community_Master!$A$2:$A$100,0)),$A132="",AND($H132&lt;&gt;"",$I132&gt;$H132),AND($H132&lt;&gt;"",$J132&gt;$H132),$I132&lt;0,$J132&lt;0,$K132&lt;0,$P132&lt;0,$Q132&lt;0,$Y132&lt;0,$Z132&lt;0,$AA132&lt;0,$AB132&lt;0,$AC132&lt;0),"ERROR","OK"))</f>
        <v/>
      </c>
      <c r="AR132" s="15">
        <f>IF($B132="","",TRIM(IF(ISERROR(MATCH($B132,Community_Master!$A$2:$A$100,0)),"Invalid Community_ID; ","")&amp;IF($A132="","Missing Report_Month; ","")&amp;IF(AND($H132&lt;&gt;"",$I132&gt;$H132),"Occupied_Units greater than Total_Units; ","")&amp;IF(AND($H132&lt;&gt;"",$J132&gt;$H132),"Leased_Units greater than Total_Units; ","")&amp;IF($I132&lt;0,"Occupied_Units negative; ","")&amp;IF($J132&lt;0,"Leased_Units negative; ","")&amp;IF($P132&lt;0,"Avg_Market_Rent negative; ","")))</f>
        <v/>
      </c>
    </row>
    <row r="133" ht="15" customHeight="1">
      <c r="A133" s="5" t="n"/>
      <c r="B133" s="15" t="n"/>
      <c r="C133" s="15">
        <f>IFERROR(VLOOKUP($B133,Community_Master!$A$2:$K$100,2,FALSE),"")</f>
        <v/>
      </c>
      <c r="D133" s="15">
        <f>IFERROR(VLOOKUP($B133,Community_Master!$A$2:$K$100,4,FALSE),"")</f>
        <v/>
      </c>
      <c r="E133" s="15">
        <f>IFERROR(VLOOKUP($B133,Community_Master!$A$2:$K$100,5,FALSE),"")</f>
        <v/>
      </c>
      <c r="F133" s="15">
        <f>IFERROR(VLOOKUP($B133,Community_Master!$A$2:$K$100,6,FALSE),"")</f>
        <v/>
      </c>
      <c r="G133" s="15">
        <f>IFERROR(VLOOKUP($B133,Community_Master!$A$2:$K$100,8,FALSE),"")</f>
        <v/>
      </c>
      <c r="H133" s="15">
        <f>IFERROR(VLOOKUP($B133,Community_Master!$A$2:$K$100,7,FALSE),"")</f>
        <v/>
      </c>
      <c r="I133" s="15" t="n"/>
      <c r="J133" s="15" t="n"/>
      <c r="K133" s="15" t="n"/>
      <c r="L133" s="15">
        <f>IF($H133="","",MAX($H133-$I133,0))</f>
        <v/>
      </c>
      <c r="M133" s="6">
        <f>IF($H133="","",IFERROR($I133/$H133,""))</f>
        <v/>
      </c>
      <c r="N133" s="6">
        <f>IF($H133="","",IFERROR($J133/$H133,""))</f>
        <v/>
      </c>
      <c r="O133" s="6" t="n"/>
      <c r="P133" s="7" t="n"/>
      <c r="Q133" s="7" t="n"/>
      <c r="R133" s="7" t="n"/>
      <c r="S133" s="7" t="n"/>
      <c r="T133" s="7">
        <f>IF($H133="","",IFERROR($H133*$P133,""))</f>
        <v/>
      </c>
      <c r="U133" s="7" t="n"/>
      <c r="V133" s="7" t="n"/>
      <c r="W133" s="7" t="n"/>
      <c r="X133" s="7">
        <f>IF(OR($U133="",$W133=""),"",($U133+$V133)-$W133)</f>
        <v/>
      </c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9" t="n"/>
      <c r="AJ133" s="8" t="n"/>
      <c r="AK133" s="8" t="n"/>
      <c r="AL133" s="15" t="n"/>
      <c r="AM133" s="15" t="n"/>
      <c r="AN133" s="15" t="n"/>
      <c r="AO133" s="15" t="n"/>
      <c r="AP133" s="10" t="n"/>
      <c r="AQ133" s="15">
        <f>IF($B133="","",IF(OR(ISERROR(MATCH($B133,Community_Master!$A$2:$A$100,0)),$A133="",AND($H133&lt;&gt;"",$I133&gt;$H133),AND($H133&lt;&gt;"",$J133&gt;$H133),$I133&lt;0,$J133&lt;0,$K133&lt;0,$P133&lt;0,$Q133&lt;0,$Y133&lt;0,$Z133&lt;0,$AA133&lt;0,$AB133&lt;0,$AC133&lt;0),"ERROR","OK"))</f>
        <v/>
      </c>
      <c r="AR133" s="15">
        <f>IF($B133="","",TRIM(IF(ISERROR(MATCH($B133,Community_Master!$A$2:$A$100,0)),"Invalid Community_ID; ","")&amp;IF($A133="","Missing Report_Month; ","")&amp;IF(AND($H133&lt;&gt;"",$I133&gt;$H133),"Occupied_Units greater than Total_Units; ","")&amp;IF(AND($H133&lt;&gt;"",$J133&gt;$H133),"Leased_Units greater than Total_Units; ","")&amp;IF($I133&lt;0,"Occupied_Units negative; ","")&amp;IF($J133&lt;0,"Leased_Units negative; ","")&amp;IF($P133&lt;0,"Avg_Market_Rent negative; ","")))</f>
        <v/>
      </c>
    </row>
    <row r="134" ht="15" customHeight="1">
      <c r="A134" s="5" t="n"/>
      <c r="B134" s="15" t="n"/>
      <c r="C134" s="15">
        <f>IFERROR(VLOOKUP($B134,Community_Master!$A$2:$K$100,2,FALSE),"")</f>
        <v/>
      </c>
      <c r="D134" s="15">
        <f>IFERROR(VLOOKUP($B134,Community_Master!$A$2:$K$100,4,FALSE),"")</f>
        <v/>
      </c>
      <c r="E134" s="15">
        <f>IFERROR(VLOOKUP($B134,Community_Master!$A$2:$K$100,5,FALSE),"")</f>
        <v/>
      </c>
      <c r="F134" s="15">
        <f>IFERROR(VLOOKUP($B134,Community_Master!$A$2:$K$100,6,FALSE),"")</f>
        <v/>
      </c>
      <c r="G134" s="15">
        <f>IFERROR(VLOOKUP($B134,Community_Master!$A$2:$K$100,8,FALSE),"")</f>
        <v/>
      </c>
      <c r="H134" s="15">
        <f>IFERROR(VLOOKUP($B134,Community_Master!$A$2:$K$100,7,FALSE),"")</f>
        <v/>
      </c>
      <c r="I134" s="15" t="n"/>
      <c r="J134" s="15" t="n"/>
      <c r="K134" s="15" t="n"/>
      <c r="L134" s="15">
        <f>IF($H134="","",MAX($H134-$I134,0))</f>
        <v/>
      </c>
      <c r="M134" s="6">
        <f>IF($H134="","",IFERROR($I134/$H134,""))</f>
        <v/>
      </c>
      <c r="N134" s="6">
        <f>IF($H134="","",IFERROR($J134/$H134,""))</f>
        <v/>
      </c>
      <c r="O134" s="6" t="n"/>
      <c r="P134" s="7" t="n"/>
      <c r="Q134" s="7" t="n"/>
      <c r="R134" s="7" t="n"/>
      <c r="S134" s="7" t="n"/>
      <c r="T134" s="7">
        <f>IF($H134="","",IFERROR($H134*$P134,""))</f>
        <v/>
      </c>
      <c r="U134" s="7" t="n"/>
      <c r="V134" s="7" t="n"/>
      <c r="W134" s="7" t="n"/>
      <c r="X134" s="7">
        <f>IF(OR($U134="",$W134=""),"",($U134+$V134)-$W134)</f>
        <v/>
      </c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9" t="n"/>
      <c r="AJ134" s="8" t="n"/>
      <c r="AK134" s="8" t="n"/>
      <c r="AL134" s="15" t="n"/>
      <c r="AM134" s="15" t="n"/>
      <c r="AN134" s="15" t="n"/>
      <c r="AO134" s="15" t="n"/>
      <c r="AP134" s="10" t="n"/>
      <c r="AQ134" s="15">
        <f>IF($B134="","",IF(OR(ISERROR(MATCH($B134,Community_Master!$A$2:$A$100,0)),$A134="",AND($H134&lt;&gt;"",$I134&gt;$H134),AND($H134&lt;&gt;"",$J134&gt;$H134),$I134&lt;0,$J134&lt;0,$K134&lt;0,$P134&lt;0,$Q134&lt;0,$Y134&lt;0,$Z134&lt;0,$AA134&lt;0,$AB134&lt;0,$AC134&lt;0),"ERROR","OK"))</f>
        <v/>
      </c>
      <c r="AR134" s="15">
        <f>IF($B134="","",TRIM(IF(ISERROR(MATCH($B134,Community_Master!$A$2:$A$100,0)),"Invalid Community_ID; ","")&amp;IF($A134="","Missing Report_Month; ","")&amp;IF(AND($H134&lt;&gt;"",$I134&gt;$H134),"Occupied_Units greater than Total_Units; ","")&amp;IF(AND($H134&lt;&gt;"",$J134&gt;$H134),"Leased_Units greater than Total_Units; ","")&amp;IF($I134&lt;0,"Occupied_Units negative; ","")&amp;IF($J134&lt;0,"Leased_Units negative; ","")&amp;IF($P134&lt;0,"Avg_Market_Rent negative; ","")))</f>
        <v/>
      </c>
    </row>
    <row r="135" ht="15" customHeight="1">
      <c r="A135" s="5" t="n"/>
      <c r="B135" s="15" t="n"/>
      <c r="C135" s="15">
        <f>IFERROR(VLOOKUP($B135,Community_Master!$A$2:$K$100,2,FALSE),"")</f>
        <v/>
      </c>
      <c r="D135" s="15">
        <f>IFERROR(VLOOKUP($B135,Community_Master!$A$2:$K$100,4,FALSE),"")</f>
        <v/>
      </c>
      <c r="E135" s="15">
        <f>IFERROR(VLOOKUP($B135,Community_Master!$A$2:$K$100,5,FALSE),"")</f>
        <v/>
      </c>
      <c r="F135" s="15">
        <f>IFERROR(VLOOKUP($B135,Community_Master!$A$2:$K$100,6,FALSE),"")</f>
        <v/>
      </c>
      <c r="G135" s="15">
        <f>IFERROR(VLOOKUP($B135,Community_Master!$A$2:$K$100,8,FALSE),"")</f>
        <v/>
      </c>
      <c r="H135" s="15">
        <f>IFERROR(VLOOKUP($B135,Community_Master!$A$2:$K$100,7,FALSE),"")</f>
        <v/>
      </c>
      <c r="I135" s="15" t="n"/>
      <c r="J135" s="15" t="n"/>
      <c r="K135" s="15" t="n"/>
      <c r="L135" s="15">
        <f>IF($H135="","",MAX($H135-$I135,0))</f>
        <v/>
      </c>
      <c r="M135" s="6">
        <f>IF($H135="","",IFERROR($I135/$H135,""))</f>
        <v/>
      </c>
      <c r="N135" s="6">
        <f>IF($H135="","",IFERROR($J135/$H135,""))</f>
        <v/>
      </c>
      <c r="O135" s="6" t="n"/>
      <c r="P135" s="7" t="n"/>
      <c r="Q135" s="7" t="n"/>
      <c r="R135" s="7" t="n"/>
      <c r="S135" s="7" t="n"/>
      <c r="T135" s="7">
        <f>IF($H135="","",IFERROR($H135*$P135,""))</f>
        <v/>
      </c>
      <c r="U135" s="7" t="n"/>
      <c r="V135" s="7" t="n"/>
      <c r="W135" s="7" t="n"/>
      <c r="X135" s="7">
        <f>IF(OR($U135="",$W135=""),"",($U135+$V135)-$W135)</f>
        <v/>
      </c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9" t="n"/>
      <c r="AJ135" s="8" t="n"/>
      <c r="AK135" s="8" t="n"/>
      <c r="AL135" s="15" t="n"/>
      <c r="AM135" s="15" t="n"/>
      <c r="AN135" s="15" t="n"/>
      <c r="AO135" s="15" t="n"/>
      <c r="AP135" s="10" t="n"/>
      <c r="AQ135" s="15">
        <f>IF($B135="","",IF(OR(ISERROR(MATCH($B135,Community_Master!$A$2:$A$100,0)),$A135="",AND($H135&lt;&gt;"",$I135&gt;$H135),AND($H135&lt;&gt;"",$J135&gt;$H135),$I135&lt;0,$J135&lt;0,$K135&lt;0,$P135&lt;0,$Q135&lt;0,$Y135&lt;0,$Z135&lt;0,$AA135&lt;0,$AB135&lt;0,$AC135&lt;0),"ERROR","OK"))</f>
        <v/>
      </c>
      <c r="AR135" s="15">
        <f>IF($B135="","",TRIM(IF(ISERROR(MATCH($B135,Community_Master!$A$2:$A$100,0)),"Invalid Community_ID; ","")&amp;IF($A135="","Missing Report_Month; ","")&amp;IF(AND($H135&lt;&gt;"",$I135&gt;$H135),"Occupied_Units greater than Total_Units; ","")&amp;IF(AND($H135&lt;&gt;"",$J135&gt;$H135),"Leased_Units greater than Total_Units; ","")&amp;IF($I135&lt;0,"Occupied_Units negative; ","")&amp;IF($J135&lt;0,"Leased_Units negative; ","")&amp;IF($P135&lt;0,"Avg_Market_Rent negative; ","")))</f>
        <v/>
      </c>
    </row>
    <row r="136" ht="15" customHeight="1">
      <c r="A136" s="5" t="n"/>
      <c r="B136" s="15" t="n"/>
      <c r="C136" s="15">
        <f>IFERROR(VLOOKUP($B136,Community_Master!$A$2:$K$100,2,FALSE),"")</f>
        <v/>
      </c>
      <c r="D136" s="15">
        <f>IFERROR(VLOOKUP($B136,Community_Master!$A$2:$K$100,4,FALSE),"")</f>
        <v/>
      </c>
      <c r="E136" s="15">
        <f>IFERROR(VLOOKUP($B136,Community_Master!$A$2:$K$100,5,FALSE),"")</f>
        <v/>
      </c>
      <c r="F136" s="15">
        <f>IFERROR(VLOOKUP($B136,Community_Master!$A$2:$K$100,6,FALSE),"")</f>
        <v/>
      </c>
      <c r="G136" s="15">
        <f>IFERROR(VLOOKUP($B136,Community_Master!$A$2:$K$100,8,FALSE),"")</f>
        <v/>
      </c>
      <c r="H136" s="15">
        <f>IFERROR(VLOOKUP($B136,Community_Master!$A$2:$K$100,7,FALSE),"")</f>
        <v/>
      </c>
      <c r="I136" s="15" t="n"/>
      <c r="J136" s="15" t="n"/>
      <c r="K136" s="15" t="n"/>
      <c r="L136" s="15">
        <f>IF($H136="","",MAX($H136-$I136,0))</f>
        <v/>
      </c>
      <c r="M136" s="6">
        <f>IF($H136="","",IFERROR($I136/$H136,""))</f>
        <v/>
      </c>
      <c r="N136" s="6">
        <f>IF($H136="","",IFERROR($J136/$H136,""))</f>
        <v/>
      </c>
      <c r="O136" s="6" t="n"/>
      <c r="P136" s="7" t="n"/>
      <c r="Q136" s="7" t="n"/>
      <c r="R136" s="7" t="n"/>
      <c r="S136" s="7" t="n"/>
      <c r="T136" s="7">
        <f>IF($H136="","",IFERROR($H136*$P136,""))</f>
        <v/>
      </c>
      <c r="U136" s="7" t="n"/>
      <c r="V136" s="7" t="n"/>
      <c r="W136" s="7" t="n"/>
      <c r="X136" s="7">
        <f>IF(OR($U136="",$W136=""),"",($U136+$V136)-$W136)</f>
        <v/>
      </c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9" t="n"/>
      <c r="AJ136" s="8" t="n"/>
      <c r="AK136" s="8" t="n"/>
      <c r="AL136" s="15" t="n"/>
      <c r="AM136" s="15" t="n"/>
      <c r="AN136" s="15" t="n"/>
      <c r="AO136" s="15" t="n"/>
      <c r="AP136" s="10" t="n"/>
      <c r="AQ136" s="15">
        <f>IF($B136="","",IF(OR(ISERROR(MATCH($B136,Community_Master!$A$2:$A$100,0)),$A136="",AND($H136&lt;&gt;"",$I136&gt;$H136),AND($H136&lt;&gt;"",$J136&gt;$H136),$I136&lt;0,$J136&lt;0,$K136&lt;0,$P136&lt;0,$Q136&lt;0,$Y136&lt;0,$Z136&lt;0,$AA136&lt;0,$AB136&lt;0,$AC136&lt;0),"ERROR","OK"))</f>
        <v/>
      </c>
      <c r="AR136" s="15">
        <f>IF($B136="","",TRIM(IF(ISERROR(MATCH($B136,Community_Master!$A$2:$A$100,0)),"Invalid Community_ID; ","")&amp;IF($A136="","Missing Report_Month; ","")&amp;IF(AND($H136&lt;&gt;"",$I136&gt;$H136),"Occupied_Units greater than Total_Units; ","")&amp;IF(AND($H136&lt;&gt;"",$J136&gt;$H136),"Leased_Units greater than Total_Units; ","")&amp;IF($I136&lt;0,"Occupied_Units negative; ","")&amp;IF($J136&lt;0,"Leased_Units negative; ","")&amp;IF($P136&lt;0,"Avg_Market_Rent negative; ","")))</f>
        <v/>
      </c>
    </row>
    <row r="137" ht="15" customHeight="1">
      <c r="A137" s="5" t="n"/>
      <c r="B137" s="15" t="n"/>
      <c r="C137" s="15">
        <f>IFERROR(VLOOKUP($B137,Community_Master!$A$2:$K$100,2,FALSE),"")</f>
        <v/>
      </c>
      <c r="D137" s="15">
        <f>IFERROR(VLOOKUP($B137,Community_Master!$A$2:$K$100,4,FALSE),"")</f>
        <v/>
      </c>
      <c r="E137" s="15">
        <f>IFERROR(VLOOKUP($B137,Community_Master!$A$2:$K$100,5,FALSE),"")</f>
        <v/>
      </c>
      <c r="F137" s="15">
        <f>IFERROR(VLOOKUP($B137,Community_Master!$A$2:$K$100,6,FALSE),"")</f>
        <v/>
      </c>
      <c r="G137" s="15">
        <f>IFERROR(VLOOKUP($B137,Community_Master!$A$2:$K$100,8,FALSE),"")</f>
        <v/>
      </c>
      <c r="H137" s="15">
        <f>IFERROR(VLOOKUP($B137,Community_Master!$A$2:$K$100,7,FALSE),"")</f>
        <v/>
      </c>
      <c r="I137" s="15" t="n"/>
      <c r="J137" s="15" t="n"/>
      <c r="K137" s="15" t="n"/>
      <c r="L137" s="15">
        <f>IF($H137="","",MAX($H137-$I137,0))</f>
        <v/>
      </c>
      <c r="M137" s="6">
        <f>IF($H137="","",IFERROR($I137/$H137,""))</f>
        <v/>
      </c>
      <c r="N137" s="6">
        <f>IF($H137="","",IFERROR($J137/$H137,""))</f>
        <v/>
      </c>
      <c r="O137" s="6" t="n"/>
      <c r="P137" s="7" t="n"/>
      <c r="Q137" s="7" t="n"/>
      <c r="R137" s="7" t="n"/>
      <c r="S137" s="7" t="n"/>
      <c r="T137" s="7">
        <f>IF($H137="","",IFERROR($H137*$P137,""))</f>
        <v/>
      </c>
      <c r="U137" s="7" t="n"/>
      <c r="V137" s="7" t="n"/>
      <c r="W137" s="7" t="n"/>
      <c r="X137" s="7">
        <f>IF(OR($U137="",$W137=""),"",($U137+$V137)-$W137)</f>
        <v/>
      </c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9" t="n"/>
      <c r="AJ137" s="8" t="n"/>
      <c r="AK137" s="8" t="n"/>
      <c r="AL137" s="15" t="n"/>
      <c r="AM137" s="15" t="n"/>
      <c r="AN137" s="15" t="n"/>
      <c r="AO137" s="15" t="n"/>
      <c r="AP137" s="10" t="n"/>
      <c r="AQ137" s="15">
        <f>IF($B137="","",IF(OR(ISERROR(MATCH($B137,Community_Master!$A$2:$A$100,0)),$A137="",AND($H137&lt;&gt;"",$I137&gt;$H137),AND($H137&lt;&gt;"",$J137&gt;$H137),$I137&lt;0,$J137&lt;0,$K137&lt;0,$P137&lt;0,$Q137&lt;0,$Y137&lt;0,$Z137&lt;0,$AA137&lt;0,$AB137&lt;0,$AC137&lt;0),"ERROR","OK"))</f>
        <v/>
      </c>
      <c r="AR137" s="15">
        <f>IF($B137="","",TRIM(IF(ISERROR(MATCH($B137,Community_Master!$A$2:$A$100,0)),"Invalid Community_ID; ","")&amp;IF($A137="","Missing Report_Month; ","")&amp;IF(AND($H137&lt;&gt;"",$I137&gt;$H137),"Occupied_Units greater than Total_Units; ","")&amp;IF(AND($H137&lt;&gt;"",$J137&gt;$H137),"Leased_Units greater than Total_Units; ","")&amp;IF($I137&lt;0,"Occupied_Units negative; ","")&amp;IF($J137&lt;0,"Leased_Units negative; ","")&amp;IF($P137&lt;0,"Avg_Market_Rent negative; ","")))</f>
        <v/>
      </c>
    </row>
    <row r="138" ht="15" customHeight="1">
      <c r="A138" s="5" t="n"/>
      <c r="B138" s="15" t="n"/>
      <c r="C138" s="15">
        <f>IFERROR(VLOOKUP($B138,Community_Master!$A$2:$K$100,2,FALSE),"")</f>
        <v/>
      </c>
      <c r="D138" s="15">
        <f>IFERROR(VLOOKUP($B138,Community_Master!$A$2:$K$100,4,FALSE),"")</f>
        <v/>
      </c>
      <c r="E138" s="15">
        <f>IFERROR(VLOOKUP($B138,Community_Master!$A$2:$K$100,5,FALSE),"")</f>
        <v/>
      </c>
      <c r="F138" s="15">
        <f>IFERROR(VLOOKUP($B138,Community_Master!$A$2:$K$100,6,FALSE),"")</f>
        <v/>
      </c>
      <c r="G138" s="15">
        <f>IFERROR(VLOOKUP($B138,Community_Master!$A$2:$K$100,8,FALSE),"")</f>
        <v/>
      </c>
      <c r="H138" s="15">
        <f>IFERROR(VLOOKUP($B138,Community_Master!$A$2:$K$100,7,FALSE),"")</f>
        <v/>
      </c>
      <c r="I138" s="15" t="n"/>
      <c r="J138" s="15" t="n"/>
      <c r="K138" s="15" t="n"/>
      <c r="L138" s="15">
        <f>IF($H138="","",MAX($H138-$I138,0))</f>
        <v/>
      </c>
      <c r="M138" s="6">
        <f>IF($H138="","",IFERROR($I138/$H138,""))</f>
        <v/>
      </c>
      <c r="N138" s="6">
        <f>IF($H138="","",IFERROR($J138/$H138,""))</f>
        <v/>
      </c>
      <c r="O138" s="6" t="n"/>
      <c r="P138" s="7" t="n"/>
      <c r="Q138" s="7" t="n"/>
      <c r="R138" s="7" t="n"/>
      <c r="S138" s="7" t="n"/>
      <c r="T138" s="7">
        <f>IF($H138="","",IFERROR($H138*$P138,""))</f>
        <v/>
      </c>
      <c r="U138" s="7" t="n"/>
      <c r="V138" s="7" t="n"/>
      <c r="W138" s="7" t="n"/>
      <c r="X138" s="7">
        <f>IF(OR($U138="",$W138=""),"",($U138+$V138)-$W138)</f>
        <v/>
      </c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9" t="n"/>
      <c r="AJ138" s="8" t="n"/>
      <c r="AK138" s="8" t="n"/>
      <c r="AL138" s="15" t="n"/>
      <c r="AM138" s="15" t="n"/>
      <c r="AN138" s="15" t="n"/>
      <c r="AO138" s="15" t="n"/>
      <c r="AP138" s="10" t="n"/>
      <c r="AQ138" s="15">
        <f>IF($B138="","",IF(OR(ISERROR(MATCH($B138,Community_Master!$A$2:$A$100,0)),$A138="",AND($H138&lt;&gt;"",$I138&gt;$H138),AND($H138&lt;&gt;"",$J138&gt;$H138),$I138&lt;0,$J138&lt;0,$K138&lt;0,$P138&lt;0,$Q138&lt;0,$Y138&lt;0,$Z138&lt;0,$AA138&lt;0,$AB138&lt;0,$AC138&lt;0),"ERROR","OK"))</f>
        <v/>
      </c>
      <c r="AR138" s="15">
        <f>IF($B138="","",TRIM(IF(ISERROR(MATCH($B138,Community_Master!$A$2:$A$100,0)),"Invalid Community_ID; ","")&amp;IF($A138="","Missing Report_Month; ","")&amp;IF(AND($H138&lt;&gt;"",$I138&gt;$H138),"Occupied_Units greater than Total_Units; ","")&amp;IF(AND($H138&lt;&gt;"",$J138&gt;$H138),"Leased_Units greater than Total_Units; ","")&amp;IF($I138&lt;0,"Occupied_Units negative; ","")&amp;IF($J138&lt;0,"Leased_Units negative; ","")&amp;IF($P138&lt;0,"Avg_Market_Rent negative; ","")))</f>
        <v/>
      </c>
    </row>
    <row r="139" ht="15" customHeight="1">
      <c r="A139" s="5" t="n"/>
      <c r="B139" s="15" t="n"/>
      <c r="C139" s="15">
        <f>IFERROR(VLOOKUP($B139,Community_Master!$A$2:$K$100,2,FALSE),"")</f>
        <v/>
      </c>
      <c r="D139" s="15">
        <f>IFERROR(VLOOKUP($B139,Community_Master!$A$2:$K$100,4,FALSE),"")</f>
        <v/>
      </c>
      <c r="E139" s="15">
        <f>IFERROR(VLOOKUP($B139,Community_Master!$A$2:$K$100,5,FALSE),"")</f>
        <v/>
      </c>
      <c r="F139" s="15">
        <f>IFERROR(VLOOKUP($B139,Community_Master!$A$2:$K$100,6,FALSE),"")</f>
        <v/>
      </c>
      <c r="G139" s="15">
        <f>IFERROR(VLOOKUP($B139,Community_Master!$A$2:$K$100,8,FALSE),"")</f>
        <v/>
      </c>
      <c r="H139" s="15">
        <f>IFERROR(VLOOKUP($B139,Community_Master!$A$2:$K$100,7,FALSE),"")</f>
        <v/>
      </c>
      <c r="I139" s="15" t="n"/>
      <c r="J139" s="15" t="n"/>
      <c r="K139" s="15" t="n"/>
      <c r="L139" s="15">
        <f>IF($H139="","",MAX($H139-$I139,0))</f>
        <v/>
      </c>
      <c r="M139" s="6">
        <f>IF($H139="","",IFERROR($I139/$H139,""))</f>
        <v/>
      </c>
      <c r="N139" s="6">
        <f>IF($H139="","",IFERROR($J139/$H139,""))</f>
        <v/>
      </c>
      <c r="O139" s="6" t="n"/>
      <c r="P139" s="7" t="n"/>
      <c r="Q139" s="7" t="n"/>
      <c r="R139" s="7" t="n"/>
      <c r="S139" s="7" t="n"/>
      <c r="T139" s="7">
        <f>IF($H139="","",IFERROR($H139*$P139,""))</f>
        <v/>
      </c>
      <c r="U139" s="7" t="n"/>
      <c r="V139" s="7" t="n"/>
      <c r="W139" s="7" t="n"/>
      <c r="X139" s="7">
        <f>IF(OR($U139="",$W139=""),"",($U139+$V139)-$W139)</f>
        <v/>
      </c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9" t="n"/>
      <c r="AJ139" s="8" t="n"/>
      <c r="AK139" s="8" t="n"/>
      <c r="AL139" s="15" t="n"/>
      <c r="AM139" s="15" t="n"/>
      <c r="AN139" s="15" t="n"/>
      <c r="AO139" s="15" t="n"/>
      <c r="AP139" s="10" t="n"/>
      <c r="AQ139" s="15">
        <f>IF($B139="","",IF(OR(ISERROR(MATCH($B139,Community_Master!$A$2:$A$100,0)),$A139="",AND($H139&lt;&gt;"",$I139&gt;$H139),AND($H139&lt;&gt;"",$J139&gt;$H139),$I139&lt;0,$J139&lt;0,$K139&lt;0,$P139&lt;0,$Q139&lt;0,$Y139&lt;0,$Z139&lt;0,$AA139&lt;0,$AB139&lt;0,$AC139&lt;0),"ERROR","OK"))</f>
        <v/>
      </c>
      <c r="AR139" s="15">
        <f>IF($B139="","",TRIM(IF(ISERROR(MATCH($B139,Community_Master!$A$2:$A$100,0)),"Invalid Community_ID; ","")&amp;IF($A139="","Missing Report_Month; ","")&amp;IF(AND($H139&lt;&gt;"",$I139&gt;$H139),"Occupied_Units greater than Total_Units; ","")&amp;IF(AND($H139&lt;&gt;"",$J139&gt;$H139),"Leased_Units greater than Total_Units; ","")&amp;IF($I139&lt;0,"Occupied_Units negative; ","")&amp;IF($J139&lt;0,"Leased_Units negative; ","")&amp;IF($P139&lt;0,"Avg_Market_Rent negative; ","")))</f>
        <v/>
      </c>
    </row>
    <row r="140" ht="15" customHeight="1">
      <c r="A140" s="5" t="n"/>
      <c r="B140" s="15" t="n"/>
      <c r="C140" s="15">
        <f>IFERROR(VLOOKUP($B140,Community_Master!$A$2:$K$100,2,FALSE),"")</f>
        <v/>
      </c>
      <c r="D140" s="15">
        <f>IFERROR(VLOOKUP($B140,Community_Master!$A$2:$K$100,4,FALSE),"")</f>
        <v/>
      </c>
      <c r="E140" s="15">
        <f>IFERROR(VLOOKUP($B140,Community_Master!$A$2:$K$100,5,FALSE),"")</f>
        <v/>
      </c>
      <c r="F140" s="15">
        <f>IFERROR(VLOOKUP($B140,Community_Master!$A$2:$K$100,6,FALSE),"")</f>
        <v/>
      </c>
      <c r="G140" s="15">
        <f>IFERROR(VLOOKUP($B140,Community_Master!$A$2:$K$100,8,FALSE),"")</f>
        <v/>
      </c>
      <c r="H140" s="15">
        <f>IFERROR(VLOOKUP($B140,Community_Master!$A$2:$K$100,7,FALSE),"")</f>
        <v/>
      </c>
      <c r="I140" s="15" t="n"/>
      <c r="J140" s="15" t="n"/>
      <c r="K140" s="15" t="n"/>
      <c r="L140" s="15">
        <f>IF($H140="","",MAX($H140-$I140,0))</f>
        <v/>
      </c>
      <c r="M140" s="6">
        <f>IF($H140="","",IFERROR($I140/$H140,""))</f>
        <v/>
      </c>
      <c r="N140" s="6">
        <f>IF($H140="","",IFERROR($J140/$H140,""))</f>
        <v/>
      </c>
      <c r="O140" s="6" t="n"/>
      <c r="P140" s="7" t="n"/>
      <c r="Q140" s="7" t="n"/>
      <c r="R140" s="7" t="n"/>
      <c r="S140" s="7" t="n"/>
      <c r="T140" s="7">
        <f>IF($H140="","",IFERROR($H140*$P140,""))</f>
        <v/>
      </c>
      <c r="U140" s="7" t="n"/>
      <c r="V140" s="7" t="n"/>
      <c r="W140" s="7" t="n"/>
      <c r="X140" s="7">
        <f>IF(OR($U140="",$W140=""),"",($U140+$V140)-$W140)</f>
        <v/>
      </c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9" t="n"/>
      <c r="AJ140" s="8" t="n"/>
      <c r="AK140" s="8" t="n"/>
      <c r="AL140" s="15" t="n"/>
      <c r="AM140" s="15" t="n"/>
      <c r="AN140" s="15" t="n"/>
      <c r="AO140" s="15" t="n"/>
      <c r="AP140" s="10" t="n"/>
      <c r="AQ140" s="15">
        <f>IF($B140="","",IF(OR(ISERROR(MATCH($B140,Community_Master!$A$2:$A$100,0)),$A140="",AND($H140&lt;&gt;"",$I140&gt;$H140),AND($H140&lt;&gt;"",$J140&gt;$H140),$I140&lt;0,$J140&lt;0,$K140&lt;0,$P140&lt;0,$Q140&lt;0,$Y140&lt;0,$Z140&lt;0,$AA140&lt;0,$AB140&lt;0,$AC140&lt;0),"ERROR","OK"))</f>
        <v/>
      </c>
      <c r="AR140" s="15">
        <f>IF($B140="","",TRIM(IF(ISERROR(MATCH($B140,Community_Master!$A$2:$A$100,0)),"Invalid Community_ID; ","")&amp;IF($A140="","Missing Report_Month; ","")&amp;IF(AND($H140&lt;&gt;"",$I140&gt;$H140),"Occupied_Units greater than Total_Units; ","")&amp;IF(AND($H140&lt;&gt;"",$J140&gt;$H140),"Leased_Units greater than Total_Units; ","")&amp;IF($I140&lt;0,"Occupied_Units negative; ","")&amp;IF($J140&lt;0,"Leased_Units negative; ","")&amp;IF($P140&lt;0,"Avg_Market_Rent negative; ","")))</f>
        <v/>
      </c>
    </row>
    <row r="141" ht="15" customHeight="1">
      <c r="A141" s="5" t="n"/>
      <c r="B141" s="15" t="n"/>
      <c r="C141" s="15">
        <f>IFERROR(VLOOKUP($B141,Community_Master!$A$2:$K$100,2,FALSE),"")</f>
        <v/>
      </c>
      <c r="D141" s="15">
        <f>IFERROR(VLOOKUP($B141,Community_Master!$A$2:$K$100,4,FALSE),"")</f>
        <v/>
      </c>
      <c r="E141" s="15">
        <f>IFERROR(VLOOKUP($B141,Community_Master!$A$2:$K$100,5,FALSE),"")</f>
        <v/>
      </c>
      <c r="F141" s="15">
        <f>IFERROR(VLOOKUP($B141,Community_Master!$A$2:$K$100,6,FALSE),"")</f>
        <v/>
      </c>
      <c r="G141" s="15">
        <f>IFERROR(VLOOKUP($B141,Community_Master!$A$2:$K$100,8,FALSE),"")</f>
        <v/>
      </c>
      <c r="H141" s="15">
        <f>IFERROR(VLOOKUP($B141,Community_Master!$A$2:$K$100,7,FALSE),"")</f>
        <v/>
      </c>
      <c r="I141" s="15" t="n"/>
      <c r="J141" s="15" t="n"/>
      <c r="K141" s="15" t="n"/>
      <c r="L141" s="15">
        <f>IF($H141="","",MAX($H141-$I141,0))</f>
        <v/>
      </c>
      <c r="M141" s="6">
        <f>IF($H141="","",IFERROR($I141/$H141,""))</f>
        <v/>
      </c>
      <c r="N141" s="6">
        <f>IF($H141="","",IFERROR($J141/$H141,""))</f>
        <v/>
      </c>
      <c r="O141" s="6" t="n"/>
      <c r="P141" s="7" t="n"/>
      <c r="Q141" s="7" t="n"/>
      <c r="R141" s="7" t="n"/>
      <c r="S141" s="7" t="n"/>
      <c r="T141" s="7">
        <f>IF($H141="","",IFERROR($H141*$P141,""))</f>
        <v/>
      </c>
      <c r="U141" s="7" t="n"/>
      <c r="V141" s="7" t="n"/>
      <c r="W141" s="7" t="n"/>
      <c r="X141" s="7">
        <f>IF(OR($U141="",$W141=""),"",($U141+$V141)-$W141)</f>
        <v/>
      </c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9" t="n"/>
      <c r="AJ141" s="8" t="n"/>
      <c r="AK141" s="8" t="n"/>
      <c r="AL141" s="15" t="n"/>
      <c r="AM141" s="15" t="n"/>
      <c r="AN141" s="15" t="n"/>
      <c r="AO141" s="15" t="n"/>
      <c r="AP141" s="10" t="n"/>
      <c r="AQ141" s="15">
        <f>IF($B141="","",IF(OR(ISERROR(MATCH($B141,Community_Master!$A$2:$A$100,0)),$A141="",AND($H141&lt;&gt;"",$I141&gt;$H141),AND($H141&lt;&gt;"",$J141&gt;$H141),$I141&lt;0,$J141&lt;0,$K141&lt;0,$P141&lt;0,$Q141&lt;0,$Y141&lt;0,$Z141&lt;0,$AA141&lt;0,$AB141&lt;0,$AC141&lt;0),"ERROR","OK"))</f>
        <v/>
      </c>
      <c r="AR141" s="15">
        <f>IF($B141="","",TRIM(IF(ISERROR(MATCH($B141,Community_Master!$A$2:$A$100,0)),"Invalid Community_ID; ","")&amp;IF($A141="","Missing Report_Month; ","")&amp;IF(AND($H141&lt;&gt;"",$I141&gt;$H141),"Occupied_Units greater than Total_Units; ","")&amp;IF(AND($H141&lt;&gt;"",$J141&gt;$H141),"Leased_Units greater than Total_Units; ","")&amp;IF($I141&lt;0,"Occupied_Units negative; ","")&amp;IF($J141&lt;0,"Leased_Units negative; ","")&amp;IF($P141&lt;0,"Avg_Market_Rent negative; ","")))</f>
        <v/>
      </c>
    </row>
    <row r="142" ht="15" customHeight="1">
      <c r="A142" s="5" t="n"/>
      <c r="B142" s="15" t="n"/>
      <c r="C142" s="15">
        <f>IFERROR(VLOOKUP($B142,Community_Master!$A$2:$K$100,2,FALSE),"")</f>
        <v/>
      </c>
      <c r="D142" s="15">
        <f>IFERROR(VLOOKUP($B142,Community_Master!$A$2:$K$100,4,FALSE),"")</f>
        <v/>
      </c>
      <c r="E142" s="15">
        <f>IFERROR(VLOOKUP($B142,Community_Master!$A$2:$K$100,5,FALSE),"")</f>
        <v/>
      </c>
      <c r="F142" s="15">
        <f>IFERROR(VLOOKUP($B142,Community_Master!$A$2:$K$100,6,FALSE),"")</f>
        <v/>
      </c>
      <c r="G142" s="15">
        <f>IFERROR(VLOOKUP($B142,Community_Master!$A$2:$K$100,8,FALSE),"")</f>
        <v/>
      </c>
      <c r="H142" s="15">
        <f>IFERROR(VLOOKUP($B142,Community_Master!$A$2:$K$100,7,FALSE),"")</f>
        <v/>
      </c>
      <c r="I142" s="15" t="n"/>
      <c r="J142" s="15" t="n"/>
      <c r="K142" s="15" t="n"/>
      <c r="L142" s="15">
        <f>IF($H142="","",MAX($H142-$I142,0))</f>
        <v/>
      </c>
      <c r="M142" s="6">
        <f>IF($H142="","",IFERROR($I142/$H142,""))</f>
        <v/>
      </c>
      <c r="N142" s="6">
        <f>IF($H142="","",IFERROR($J142/$H142,""))</f>
        <v/>
      </c>
      <c r="O142" s="6" t="n"/>
      <c r="P142" s="7" t="n"/>
      <c r="Q142" s="7" t="n"/>
      <c r="R142" s="7" t="n"/>
      <c r="S142" s="7" t="n"/>
      <c r="T142" s="7">
        <f>IF($H142="","",IFERROR($H142*$P142,""))</f>
        <v/>
      </c>
      <c r="U142" s="7" t="n"/>
      <c r="V142" s="7" t="n"/>
      <c r="W142" s="7" t="n"/>
      <c r="X142" s="7">
        <f>IF(OR($U142="",$W142=""),"",($U142+$V142)-$W142)</f>
        <v/>
      </c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9" t="n"/>
      <c r="AJ142" s="8" t="n"/>
      <c r="AK142" s="8" t="n"/>
      <c r="AL142" s="15" t="n"/>
      <c r="AM142" s="15" t="n"/>
      <c r="AN142" s="15" t="n"/>
      <c r="AO142" s="15" t="n"/>
      <c r="AP142" s="10" t="n"/>
      <c r="AQ142" s="15">
        <f>IF($B142="","",IF(OR(ISERROR(MATCH($B142,Community_Master!$A$2:$A$100,0)),$A142="",AND($H142&lt;&gt;"",$I142&gt;$H142),AND($H142&lt;&gt;"",$J142&gt;$H142),$I142&lt;0,$J142&lt;0,$K142&lt;0,$P142&lt;0,$Q142&lt;0,$Y142&lt;0,$Z142&lt;0,$AA142&lt;0,$AB142&lt;0,$AC142&lt;0),"ERROR","OK"))</f>
        <v/>
      </c>
      <c r="AR142" s="15">
        <f>IF($B142="","",TRIM(IF(ISERROR(MATCH($B142,Community_Master!$A$2:$A$100,0)),"Invalid Community_ID; ","")&amp;IF($A142="","Missing Report_Month; ","")&amp;IF(AND($H142&lt;&gt;"",$I142&gt;$H142),"Occupied_Units greater than Total_Units; ","")&amp;IF(AND($H142&lt;&gt;"",$J142&gt;$H142),"Leased_Units greater than Total_Units; ","")&amp;IF($I142&lt;0,"Occupied_Units negative; ","")&amp;IF($J142&lt;0,"Leased_Units negative; ","")&amp;IF($P142&lt;0,"Avg_Market_Rent negative; ","")))</f>
        <v/>
      </c>
    </row>
    <row r="143" ht="15" customHeight="1">
      <c r="A143" s="5" t="n"/>
      <c r="B143" s="15" t="n"/>
      <c r="C143" s="15">
        <f>IFERROR(VLOOKUP($B143,Community_Master!$A$2:$K$100,2,FALSE),"")</f>
        <v/>
      </c>
      <c r="D143" s="15">
        <f>IFERROR(VLOOKUP($B143,Community_Master!$A$2:$K$100,4,FALSE),"")</f>
        <v/>
      </c>
      <c r="E143" s="15">
        <f>IFERROR(VLOOKUP($B143,Community_Master!$A$2:$K$100,5,FALSE),"")</f>
        <v/>
      </c>
      <c r="F143" s="15">
        <f>IFERROR(VLOOKUP($B143,Community_Master!$A$2:$K$100,6,FALSE),"")</f>
        <v/>
      </c>
      <c r="G143" s="15">
        <f>IFERROR(VLOOKUP($B143,Community_Master!$A$2:$K$100,8,FALSE),"")</f>
        <v/>
      </c>
      <c r="H143" s="15">
        <f>IFERROR(VLOOKUP($B143,Community_Master!$A$2:$K$100,7,FALSE),"")</f>
        <v/>
      </c>
      <c r="I143" s="15" t="n"/>
      <c r="J143" s="15" t="n"/>
      <c r="K143" s="15" t="n"/>
      <c r="L143" s="15">
        <f>IF($H143="","",MAX($H143-$I143,0))</f>
        <v/>
      </c>
      <c r="M143" s="6">
        <f>IF($H143="","",IFERROR($I143/$H143,""))</f>
        <v/>
      </c>
      <c r="N143" s="6">
        <f>IF($H143="","",IFERROR($J143/$H143,""))</f>
        <v/>
      </c>
      <c r="O143" s="6" t="n"/>
      <c r="P143" s="7" t="n"/>
      <c r="Q143" s="7" t="n"/>
      <c r="R143" s="7" t="n"/>
      <c r="S143" s="7" t="n"/>
      <c r="T143" s="7">
        <f>IF($H143="","",IFERROR($H143*$P143,""))</f>
        <v/>
      </c>
      <c r="U143" s="7" t="n"/>
      <c r="V143" s="7" t="n"/>
      <c r="W143" s="7" t="n"/>
      <c r="X143" s="7">
        <f>IF(OR($U143="",$W143=""),"",($U143+$V143)-$W143)</f>
        <v/>
      </c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9" t="n"/>
      <c r="AJ143" s="8" t="n"/>
      <c r="AK143" s="8" t="n"/>
      <c r="AL143" s="15" t="n"/>
      <c r="AM143" s="15" t="n"/>
      <c r="AN143" s="15" t="n"/>
      <c r="AO143" s="15" t="n"/>
      <c r="AP143" s="10" t="n"/>
      <c r="AQ143" s="15">
        <f>IF($B143="","",IF(OR(ISERROR(MATCH($B143,Community_Master!$A$2:$A$100,0)),$A143="",AND($H143&lt;&gt;"",$I143&gt;$H143),AND($H143&lt;&gt;"",$J143&gt;$H143),$I143&lt;0,$J143&lt;0,$K143&lt;0,$P143&lt;0,$Q143&lt;0,$Y143&lt;0,$Z143&lt;0,$AA143&lt;0,$AB143&lt;0,$AC143&lt;0),"ERROR","OK"))</f>
        <v/>
      </c>
      <c r="AR143" s="15">
        <f>IF($B143="","",TRIM(IF(ISERROR(MATCH($B143,Community_Master!$A$2:$A$100,0)),"Invalid Community_ID; ","")&amp;IF($A143="","Missing Report_Month; ","")&amp;IF(AND($H143&lt;&gt;"",$I143&gt;$H143),"Occupied_Units greater than Total_Units; ","")&amp;IF(AND($H143&lt;&gt;"",$J143&gt;$H143),"Leased_Units greater than Total_Units; ","")&amp;IF($I143&lt;0,"Occupied_Units negative; ","")&amp;IF($J143&lt;0,"Leased_Units negative; ","")&amp;IF($P143&lt;0,"Avg_Market_Rent negative; ","")))</f>
        <v/>
      </c>
    </row>
    <row r="144" ht="15" customHeight="1">
      <c r="A144" s="5" t="n"/>
      <c r="B144" s="15" t="n"/>
      <c r="C144" s="15">
        <f>IFERROR(VLOOKUP($B144,Community_Master!$A$2:$K$100,2,FALSE),"")</f>
        <v/>
      </c>
      <c r="D144" s="15">
        <f>IFERROR(VLOOKUP($B144,Community_Master!$A$2:$K$100,4,FALSE),"")</f>
        <v/>
      </c>
      <c r="E144" s="15">
        <f>IFERROR(VLOOKUP($B144,Community_Master!$A$2:$K$100,5,FALSE),"")</f>
        <v/>
      </c>
      <c r="F144" s="15">
        <f>IFERROR(VLOOKUP($B144,Community_Master!$A$2:$K$100,6,FALSE),"")</f>
        <v/>
      </c>
      <c r="G144" s="15">
        <f>IFERROR(VLOOKUP($B144,Community_Master!$A$2:$K$100,8,FALSE),"")</f>
        <v/>
      </c>
      <c r="H144" s="15">
        <f>IFERROR(VLOOKUP($B144,Community_Master!$A$2:$K$100,7,FALSE),"")</f>
        <v/>
      </c>
      <c r="I144" s="15" t="n"/>
      <c r="J144" s="15" t="n"/>
      <c r="K144" s="15" t="n"/>
      <c r="L144" s="15">
        <f>IF($H144="","",MAX($H144-$I144,0))</f>
        <v/>
      </c>
      <c r="M144" s="6">
        <f>IF($H144="","",IFERROR($I144/$H144,""))</f>
        <v/>
      </c>
      <c r="N144" s="6">
        <f>IF($H144="","",IFERROR($J144/$H144,""))</f>
        <v/>
      </c>
      <c r="O144" s="6" t="n"/>
      <c r="P144" s="7" t="n"/>
      <c r="Q144" s="7" t="n"/>
      <c r="R144" s="7" t="n"/>
      <c r="S144" s="7" t="n"/>
      <c r="T144" s="7">
        <f>IF($H144="","",IFERROR($H144*$P144,""))</f>
        <v/>
      </c>
      <c r="U144" s="7" t="n"/>
      <c r="V144" s="7" t="n"/>
      <c r="W144" s="7" t="n"/>
      <c r="X144" s="7">
        <f>IF(OR($U144="",$W144=""),"",($U144+$V144)-$W144)</f>
        <v/>
      </c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9" t="n"/>
      <c r="AJ144" s="8" t="n"/>
      <c r="AK144" s="8" t="n"/>
      <c r="AL144" s="15" t="n"/>
      <c r="AM144" s="15" t="n"/>
      <c r="AN144" s="15" t="n"/>
      <c r="AO144" s="15" t="n"/>
      <c r="AP144" s="10" t="n"/>
      <c r="AQ144" s="15">
        <f>IF($B144="","",IF(OR(ISERROR(MATCH($B144,Community_Master!$A$2:$A$100,0)),$A144="",AND($H144&lt;&gt;"",$I144&gt;$H144),AND($H144&lt;&gt;"",$J144&gt;$H144),$I144&lt;0,$J144&lt;0,$K144&lt;0,$P144&lt;0,$Q144&lt;0,$Y144&lt;0,$Z144&lt;0,$AA144&lt;0,$AB144&lt;0,$AC144&lt;0),"ERROR","OK"))</f>
        <v/>
      </c>
      <c r="AR144" s="15">
        <f>IF($B144="","",TRIM(IF(ISERROR(MATCH($B144,Community_Master!$A$2:$A$100,0)),"Invalid Community_ID; ","")&amp;IF($A144="","Missing Report_Month; ","")&amp;IF(AND($H144&lt;&gt;"",$I144&gt;$H144),"Occupied_Units greater than Total_Units; ","")&amp;IF(AND($H144&lt;&gt;"",$J144&gt;$H144),"Leased_Units greater than Total_Units; ","")&amp;IF($I144&lt;0,"Occupied_Units negative; ","")&amp;IF($J144&lt;0,"Leased_Units negative; ","")&amp;IF($P144&lt;0,"Avg_Market_Rent negative; ","")))</f>
        <v/>
      </c>
    </row>
    <row r="145" ht="15" customHeight="1">
      <c r="A145" s="5" t="n"/>
      <c r="B145" s="15" t="n"/>
      <c r="C145" s="15">
        <f>IFERROR(VLOOKUP($B145,Community_Master!$A$2:$K$100,2,FALSE),"")</f>
        <v/>
      </c>
      <c r="D145" s="15">
        <f>IFERROR(VLOOKUP($B145,Community_Master!$A$2:$K$100,4,FALSE),"")</f>
        <v/>
      </c>
      <c r="E145" s="15">
        <f>IFERROR(VLOOKUP($B145,Community_Master!$A$2:$K$100,5,FALSE),"")</f>
        <v/>
      </c>
      <c r="F145" s="15">
        <f>IFERROR(VLOOKUP($B145,Community_Master!$A$2:$K$100,6,FALSE),"")</f>
        <v/>
      </c>
      <c r="G145" s="15">
        <f>IFERROR(VLOOKUP($B145,Community_Master!$A$2:$K$100,8,FALSE),"")</f>
        <v/>
      </c>
      <c r="H145" s="15">
        <f>IFERROR(VLOOKUP($B145,Community_Master!$A$2:$K$100,7,FALSE),"")</f>
        <v/>
      </c>
      <c r="I145" s="15" t="n"/>
      <c r="J145" s="15" t="n"/>
      <c r="K145" s="15" t="n"/>
      <c r="L145" s="15">
        <f>IF($H145="","",MAX($H145-$I145,0))</f>
        <v/>
      </c>
      <c r="M145" s="6">
        <f>IF($H145="","",IFERROR($I145/$H145,""))</f>
        <v/>
      </c>
      <c r="N145" s="6">
        <f>IF($H145="","",IFERROR($J145/$H145,""))</f>
        <v/>
      </c>
      <c r="O145" s="6" t="n"/>
      <c r="P145" s="7" t="n"/>
      <c r="Q145" s="7" t="n"/>
      <c r="R145" s="7" t="n"/>
      <c r="S145" s="7" t="n"/>
      <c r="T145" s="7">
        <f>IF($H145="","",IFERROR($H145*$P145,""))</f>
        <v/>
      </c>
      <c r="U145" s="7" t="n"/>
      <c r="V145" s="7" t="n"/>
      <c r="W145" s="7" t="n"/>
      <c r="X145" s="7">
        <f>IF(OR($U145="",$W145=""),"",($U145+$V145)-$W145)</f>
        <v/>
      </c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9" t="n"/>
      <c r="AJ145" s="8" t="n"/>
      <c r="AK145" s="8" t="n"/>
      <c r="AL145" s="15" t="n"/>
      <c r="AM145" s="15" t="n"/>
      <c r="AN145" s="15" t="n"/>
      <c r="AO145" s="15" t="n"/>
      <c r="AP145" s="10" t="n"/>
      <c r="AQ145" s="15">
        <f>IF($B145="","",IF(OR(ISERROR(MATCH($B145,Community_Master!$A$2:$A$100,0)),$A145="",AND($H145&lt;&gt;"",$I145&gt;$H145),AND($H145&lt;&gt;"",$J145&gt;$H145),$I145&lt;0,$J145&lt;0,$K145&lt;0,$P145&lt;0,$Q145&lt;0,$Y145&lt;0,$Z145&lt;0,$AA145&lt;0,$AB145&lt;0,$AC145&lt;0),"ERROR","OK"))</f>
        <v/>
      </c>
      <c r="AR145" s="15">
        <f>IF($B145="","",TRIM(IF(ISERROR(MATCH($B145,Community_Master!$A$2:$A$100,0)),"Invalid Community_ID; ","")&amp;IF($A145="","Missing Report_Month; ","")&amp;IF(AND($H145&lt;&gt;"",$I145&gt;$H145),"Occupied_Units greater than Total_Units; ","")&amp;IF(AND($H145&lt;&gt;"",$J145&gt;$H145),"Leased_Units greater than Total_Units; ","")&amp;IF($I145&lt;0,"Occupied_Units negative; ","")&amp;IF($J145&lt;0,"Leased_Units negative; ","")&amp;IF($P145&lt;0,"Avg_Market_Rent negative; ","")))</f>
        <v/>
      </c>
    </row>
    <row r="146" ht="15" customHeight="1">
      <c r="A146" s="5" t="n"/>
      <c r="B146" s="15" t="n"/>
      <c r="C146" s="15">
        <f>IFERROR(VLOOKUP($B146,Community_Master!$A$2:$K$100,2,FALSE),"")</f>
        <v/>
      </c>
      <c r="D146" s="15">
        <f>IFERROR(VLOOKUP($B146,Community_Master!$A$2:$K$100,4,FALSE),"")</f>
        <v/>
      </c>
      <c r="E146" s="15">
        <f>IFERROR(VLOOKUP($B146,Community_Master!$A$2:$K$100,5,FALSE),"")</f>
        <v/>
      </c>
      <c r="F146" s="15">
        <f>IFERROR(VLOOKUP($B146,Community_Master!$A$2:$K$100,6,FALSE),"")</f>
        <v/>
      </c>
      <c r="G146" s="15">
        <f>IFERROR(VLOOKUP($B146,Community_Master!$A$2:$K$100,8,FALSE),"")</f>
        <v/>
      </c>
      <c r="H146" s="15">
        <f>IFERROR(VLOOKUP($B146,Community_Master!$A$2:$K$100,7,FALSE),"")</f>
        <v/>
      </c>
      <c r="I146" s="15" t="n"/>
      <c r="J146" s="15" t="n"/>
      <c r="K146" s="15" t="n"/>
      <c r="L146" s="15">
        <f>IF($H146="","",MAX($H146-$I146,0))</f>
        <v/>
      </c>
      <c r="M146" s="6">
        <f>IF($H146="","",IFERROR($I146/$H146,""))</f>
        <v/>
      </c>
      <c r="N146" s="6">
        <f>IF($H146="","",IFERROR($J146/$H146,""))</f>
        <v/>
      </c>
      <c r="O146" s="6" t="n"/>
      <c r="P146" s="7" t="n"/>
      <c r="Q146" s="7" t="n"/>
      <c r="R146" s="7" t="n"/>
      <c r="S146" s="7" t="n"/>
      <c r="T146" s="7">
        <f>IF($H146="","",IFERROR($H146*$P146,""))</f>
        <v/>
      </c>
      <c r="U146" s="7" t="n"/>
      <c r="V146" s="7" t="n"/>
      <c r="W146" s="7" t="n"/>
      <c r="X146" s="7">
        <f>IF(OR($U146="",$W146=""),"",($U146+$V146)-$W146)</f>
        <v/>
      </c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9" t="n"/>
      <c r="AJ146" s="8" t="n"/>
      <c r="AK146" s="8" t="n"/>
      <c r="AL146" s="15" t="n"/>
      <c r="AM146" s="15" t="n"/>
      <c r="AN146" s="15" t="n"/>
      <c r="AO146" s="15" t="n"/>
      <c r="AP146" s="10" t="n"/>
      <c r="AQ146" s="15">
        <f>IF($B146="","",IF(OR(ISERROR(MATCH($B146,Community_Master!$A$2:$A$100,0)),$A146="",AND($H146&lt;&gt;"",$I146&gt;$H146),AND($H146&lt;&gt;"",$J146&gt;$H146),$I146&lt;0,$J146&lt;0,$K146&lt;0,$P146&lt;0,$Q146&lt;0,$Y146&lt;0,$Z146&lt;0,$AA146&lt;0,$AB146&lt;0,$AC146&lt;0),"ERROR","OK"))</f>
        <v/>
      </c>
      <c r="AR146" s="15">
        <f>IF($B146="","",TRIM(IF(ISERROR(MATCH($B146,Community_Master!$A$2:$A$100,0)),"Invalid Community_ID; ","")&amp;IF($A146="","Missing Report_Month; ","")&amp;IF(AND($H146&lt;&gt;"",$I146&gt;$H146),"Occupied_Units greater than Total_Units; ","")&amp;IF(AND($H146&lt;&gt;"",$J146&gt;$H146),"Leased_Units greater than Total_Units; ","")&amp;IF($I146&lt;0,"Occupied_Units negative; ","")&amp;IF($J146&lt;0,"Leased_Units negative; ","")&amp;IF($P146&lt;0,"Avg_Market_Rent negative; ","")))</f>
        <v/>
      </c>
    </row>
    <row r="147" ht="15" customHeight="1">
      <c r="A147" s="5" t="n"/>
      <c r="B147" s="15" t="n"/>
      <c r="C147" s="15">
        <f>IFERROR(VLOOKUP($B147,Community_Master!$A$2:$K$100,2,FALSE),"")</f>
        <v/>
      </c>
      <c r="D147" s="15">
        <f>IFERROR(VLOOKUP($B147,Community_Master!$A$2:$K$100,4,FALSE),"")</f>
        <v/>
      </c>
      <c r="E147" s="15">
        <f>IFERROR(VLOOKUP($B147,Community_Master!$A$2:$K$100,5,FALSE),"")</f>
        <v/>
      </c>
      <c r="F147" s="15">
        <f>IFERROR(VLOOKUP($B147,Community_Master!$A$2:$K$100,6,FALSE),"")</f>
        <v/>
      </c>
      <c r="G147" s="15">
        <f>IFERROR(VLOOKUP($B147,Community_Master!$A$2:$K$100,8,FALSE),"")</f>
        <v/>
      </c>
      <c r="H147" s="15">
        <f>IFERROR(VLOOKUP($B147,Community_Master!$A$2:$K$100,7,FALSE),"")</f>
        <v/>
      </c>
      <c r="I147" s="15" t="n"/>
      <c r="J147" s="15" t="n"/>
      <c r="K147" s="15" t="n"/>
      <c r="L147" s="15">
        <f>IF($H147="","",MAX($H147-$I147,0))</f>
        <v/>
      </c>
      <c r="M147" s="6">
        <f>IF($H147="","",IFERROR($I147/$H147,""))</f>
        <v/>
      </c>
      <c r="N147" s="6">
        <f>IF($H147="","",IFERROR($J147/$H147,""))</f>
        <v/>
      </c>
      <c r="O147" s="6" t="n"/>
      <c r="P147" s="7" t="n"/>
      <c r="Q147" s="7" t="n"/>
      <c r="R147" s="7" t="n"/>
      <c r="S147" s="7" t="n"/>
      <c r="T147" s="7">
        <f>IF($H147="","",IFERROR($H147*$P147,""))</f>
        <v/>
      </c>
      <c r="U147" s="7" t="n"/>
      <c r="V147" s="7" t="n"/>
      <c r="W147" s="7" t="n"/>
      <c r="X147" s="7">
        <f>IF(OR($U147="",$W147=""),"",($U147+$V147)-$W147)</f>
        <v/>
      </c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9" t="n"/>
      <c r="AJ147" s="8" t="n"/>
      <c r="AK147" s="8" t="n"/>
      <c r="AL147" s="15" t="n"/>
      <c r="AM147" s="15" t="n"/>
      <c r="AN147" s="15" t="n"/>
      <c r="AO147" s="15" t="n"/>
      <c r="AP147" s="10" t="n"/>
      <c r="AQ147" s="15">
        <f>IF($B147="","",IF(OR(ISERROR(MATCH($B147,Community_Master!$A$2:$A$100,0)),$A147="",AND($H147&lt;&gt;"",$I147&gt;$H147),AND($H147&lt;&gt;"",$J147&gt;$H147),$I147&lt;0,$J147&lt;0,$K147&lt;0,$P147&lt;0,$Q147&lt;0,$Y147&lt;0,$Z147&lt;0,$AA147&lt;0,$AB147&lt;0,$AC147&lt;0),"ERROR","OK"))</f>
        <v/>
      </c>
      <c r="AR147" s="15">
        <f>IF($B147="","",TRIM(IF(ISERROR(MATCH($B147,Community_Master!$A$2:$A$100,0)),"Invalid Community_ID; ","")&amp;IF($A147="","Missing Report_Month; ","")&amp;IF(AND($H147&lt;&gt;"",$I147&gt;$H147),"Occupied_Units greater than Total_Units; ","")&amp;IF(AND($H147&lt;&gt;"",$J147&gt;$H147),"Leased_Units greater than Total_Units; ","")&amp;IF($I147&lt;0,"Occupied_Units negative; ","")&amp;IF($J147&lt;0,"Leased_Units negative; ","")&amp;IF($P147&lt;0,"Avg_Market_Rent negative; ","")))</f>
        <v/>
      </c>
    </row>
    <row r="148" ht="15" customHeight="1">
      <c r="A148" s="5" t="n"/>
      <c r="B148" s="15" t="n"/>
      <c r="C148" s="15">
        <f>IFERROR(VLOOKUP($B148,Community_Master!$A$2:$K$100,2,FALSE),"")</f>
        <v/>
      </c>
      <c r="D148" s="15">
        <f>IFERROR(VLOOKUP($B148,Community_Master!$A$2:$K$100,4,FALSE),"")</f>
        <v/>
      </c>
      <c r="E148" s="15">
        <f>IFERROR(VLOOKUP($B148,Community_Master!$A$2:$K$100,5,FALSE),"")</f>
        <v/>
      </c>
      <c r="F148" s="15">
        <f>IFERROR(VLOOKUP($B148,Community_Master!$A$2:$K$100,6,FALSE),"")</f>
        <v/>
      </c>
      <c r="G148" s="15">
        <f>IFERROR(VLOOKUP($B148,Community_Master!$A$2:$K$100,8,FALSE),"")</f>
        <v/>
      </c>
      <c r="H148" s="15">
        <f>IFERROR(VLOOKUP($B148,Community_Master!$A$2:$K$100,7,FALSE),"")</f>
        <v/>
      </c>
      <c r="I148" s="15" t="n"/>
      <c r="J148" s="15" t="n"/>
      <c r="K148" s="15" t="n"/>
      <c r="L148" s="15">
        <f>IF($H148="","",MAX($H148-$I148,0))</f>
        <v/>
      </c>
      <c r="M148" s="6">
        <f>IF($H148="","",IFERROR($I148/$H148,""))</f>
        <v/>
      </c>
      <c r="N148" s="6">
        <f>IF($H148="","",IFERROR($J148/$H148,""))</f>
        <v/>
      </c>
      <c r="O148" s="6" t="n"/>
      <c r="P148" s="7" t="n"/>
      <c r="Q148" s="7" t="n"/>
      <c r="R148" s="7" t="n"/>
      <c r="S148" s="7" t="n"/>
      <c r="T148" s="7">
        <f>IF($H148="","",IFERROR($H148*$P148,""))</f>
        <v/>
      </c>
      <c r="U148" s="7" t="n"/>
      <c r="V148" s="7" t="n"/>
      <c r="W148" s="7" t="n"/>
      <c r="X148" s="7">
        <f>IF(OR($U148="",$W148=""),"",($U148+$V148)-$W148)</f>
        <v/>
      </c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9" t="n"/>
      <c r="AJ148" s="8" t="n"/>
      <c r="AK148" s="8" t="n"/>
      <c r="AL148" s="15" t="n"/>
      <c r="AM148" s="15" t="n"/>
      <c r="AN148" s="15" t="n"/>
      <c r="AO148" s="15" t="n"/>
      <c r="AP148" s="10" t="n"/>
      <c r="AQ148" s="15">
        <f>IF($B148="","",IF(OR(ISERROR(MATCH($B148,Community_Master!$A$2:$A$100,0)),$A148="",AND($H148&lt;&gt;"",$I148&gt;$H148),AND($H148&lt;&gt;"",$J148&gt;$H148),$I148&lt;0,$J148&lt;0,$K148&lt;0,$P148&lt;0,$Q148&lt;0,$Y148&lt;0,$Z148&lt;0,$AA148&lt;0,$AB148&lt;0,$AC148&lt;0),"ERROR","OK"))</f>
        <v/>
      </c>
      <c r="AR148" s="15">
        <f>IF($B148="","",TRIM(IF(ISERROR(MATCH($B148,Community_Master!$A$2:$A$100,0)),"Invalid Community_ID; ","")&amp;IF($A148="","Missing Report_Month; ","")&amp;IF(AND($H148&lt;&gt;"",$I148&gt;$H148),"Occupied_Units greater than Total_Units; ","")&amp;IF(AND($H148&lt;&gt;"",$J148&gt;$H148),"Leased_Units greater than Total_Units; ","")&amp;IF($I148&lt;0,"Occupied_Units negative; ","")&amp;IF($J148&lt;0,"Leased_Units negative; ","")&amp;IF($P148&lt;0,"Avg_Market_Rent negative; ","")))</f>
        <v/>
      </c>
    </row>
    <row r="149" ht="15" customHeight="1">
      <c r="A149" s="5" t="n"/>
      <c r="B149" s="15" t="n"/>
      <c r="C149" s="15">
        <f>IFERROR(VLOOKUP($B149,Community_Master!$A$2:$K$100,2,FALSE),"")</f>
        <v/>
      </c>
      <c r="D149" s="15">
        <f>IFERROR(VLOOKUP($B149,Community_Master!$A$2:$K$100,4,FALSE),"")</f>
        <v/>
      </c>
      <c r="E149" s="15">
        <f>IFERROR(VLOOKUP($B149,Community_Master!$A$2:$K$100,5,FALSE),"")</f>
        <v/>
      </c>
      <c r="F149" s="15">
        <f>IFERROR(VLOOKUP($B149,Community_Master!$A$2:$K$100,6,FALSE),"")</f>
        <v/>
      </c>
      <c r="G149" s="15">
        <f>IFERROR(VLOOKUP($B149,Community_Master!$A$2:$K$100,8,FALSE),"")</f>
        <v/>
      </c>
      <c r="H149" s="15">
        <f>IFERROR(VLOOKUP($B149,Community_Master!$A$2:$K$100,7,FALSE),"")</f>
        <v/>
      </c>
      <c r="I149" s="15" t="n"/>
      <c r="J149" s="15" t="n"/>
      <c r="K149" s="15" t="n"/>
      <c r="L149" s="15">
        <f>IF($H149="","",MAX($H149-$I149,0))</f>
        <v/>
      </c>
      <c r="M149" s="6">
        <f>IF($H149="","",IFERROR($I149/$H149,""))</f>
        <v/>
      </c>
      <c r="N149" s="6">
        <f>IF($H149="","",IFERROR($J149/$H149,""))</f>
        <v/>
      </c>
      <c r="O149" s="6" t="n"/>
      <c r="P149" s="7" t="n"/>
      <c r="Q149" s="7" t="n"/>
      <c r="R149" s="7" t="n"/>
      <c r="S149" s="7" t="n"/>
      <c r="T149" s="7">
        <f>IF($H149="","",IFERROR($H149*$P149,""))</f>
        <v/>
      </c>
      <c r="U149" s="7" t="n"/>
      <c r="V149" s="7" t="n"/>
      <c r="W149" s="7" t="n"/>
      <c r="X149" s="7">
        <f>IF(OR($U149="",$W149=""),"",($U149+$V149)-$W149)</f>
        <v/>
      </c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9" t="n"/>
      <c r="AJ149" s="8" t="n"/>
      <c r="AK149" s="8" t="n"/>
      <c r="AL149" s="15" t="n"/>
      <c r="AM149" s="15" t="n"/>
      <c r="AN149" s="15" t="n"/>
      <c r="AO149" s="15" t="n"/>
      <c r="AP149" s="10" t="n"/>
      <c r="AQ149" s="15">
        <f>IF($B149="","",IF(OR(ISERROR(MATCH($B149,Community_Master!$A$2:$A$100,0)),$A149="",AND($H149&lt;&gt;"",$I149&gt;$H149),AND($H149&lt;&gt;"",$J149&gt;$H149),$I149&lt;0,$J149&lt;0,$K149&lt;0,$P149&lt;0,$Q149&lt;0,$Y149&lt;0,$Z149&lt;0,$AA149&lt;0,$AB149&lt;0,$AC149&lt;0),"ERROR","OK"))</f>
        <v/>
      </c>
      <c r="AR149" s="15">
        <f>IF($B149="","",TRIM(IF(ISERROR(MATCH($B149,Community_Master!$A$2:$A$100,0)),"Invalid Community_ID; ","")&amp;IF($A149="","Missing Report_Month; ","")&amp;IF(AND($H149&lt;&gt;"",$I149&gt;$H149),"Occupied_Units greater than Total_Units; ","")&amp;IF(AND($H149&lt;&gt;"",$J149&gt;$H149),"Leased_Units greater than Total_Units; ","")&amp;IF($I149&lt;0,"Occupied_Units negative; ","")&amp;IF($J149&lt;0,"Leased_Units negative; ","")&amp;IF($P149&lt;0,"Avg_Market_Rent negative; ","")))</f>
        <v/>
      </c>
    </row>
    <row r="150" ht="15" customHeight="1">
      <c r="A150" s="5" t="n"/>
      <c r="B150" s="15" t="n"/>
      <c r="C150" s="15">
        <f>IFERROR(VLOOKUP($B150,Community_Master!$A$2:$K$100,2,FALSE),"")</f>
        <v/>
      </c>
      <c r="D150" s="15">
        <f>IFERROR(VLOOKUP($B150,Community_Master!$A$2:$K$100,4,FALSE),"")</f>
        <v/>
      </c>
      <c r="E150" s="15">
        <f>IFERROR(VLOOKUP($B150,Community_Master!$A$2:$K$100,5,FALSE),"")</f>
        <v/>
      </c>
      <c r="F150" s="15">
        <f>IFERROR(VLOOKUP($B150,Community_Master!$A$2:$K$100,6,FALSE),"")</f>
        <v/>
      </c>
      <c r="G150" s="15">
        <f>IFERROR(VLOOKUP($B150,Community_Master!$A$2:$K$100,8,FALSE),"")</f>
        <v/>
      </c>
      <c r="H150" s="15">
        <f>IFERROR(VLOOKUP($B150,Community_Master!$A$2:$K$100,7,FALSE),"")</f>
        <v/>
      </c>
      <c r="I150" s="15" t="n"/>
      <c r="J150" s="15" t="n"/>
      <c r="K150" s="15" t="n"/>
      <c r="L150" s="15">
        <f>IF($H150="","",MAX($H150-$I150,0))</f>
        <v/>
      </c>
      <c r="M150" s="6">
        <f>IF($H150="","",IFERROR($I150/$H150,""))</f>
        <v/>
      </c>
      <c r="N150" s="6">
        <f>IF($H150="","",IFERROR($J150/$H150,""))</f>
        <v/>
      </c>
      <c r="O150" s="6" t="n"/>
      <c r="P150" s="7" t="n"/>
      <c r="Q150" s="7" t="n"/>
      <c r="R150" s="7" t="n"/>
      <c r="S150" s="7" t="n"/>
      <c r="T150" s="7">
        <f>IF($H150="","",IFERROR($H150*$P150,""))</f>
        <v/>
      </c>
      <c r="U150" s="7" t="n"/>
      <c r="V150" s="7" t="n"/>
      <c r="W150" s="7" t="n"/>
      <c r="X150" s="7">
        <f>IF(OR($U150="",$W150=""),"",($U150+$V150)-$W150)</f>
        <v/>
      </c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9" t="n"/>
      <c r="AJ150" s="8" t="n"/>
      <c r="AK150" s="8" t="n"/>
      <c r="AL150" s="15" t="n"/>
      <c r="AM150" s="15" t="n"/>
      <c r="AN150" s="15" t="n"/>
      <c r="AO150" s="15" t="n"/>
      <c r="AP150" s="10" t="n"/>
      <c r="AQ150" s="15">
        <f>IF($B150="","",IF(OR(ISERROR(MATCH($B150,Community_Master!$A$2:$A$100,0)),$A150="",AND($H150&lt;&gt;"",$I150&gt;$H150),AND($H150&lt;&gt;"",$J150&gt;$H150),$I150&lt;0,$J150&lt;0,$K150&lt;0,$P150&lt;0,$Q150&lt;0,$Y150&lt;0,$Z150&lt;0,$AA150&lt;0,$AB150&lt;0,$AC150&lt;0),"ERROR","OK"))</f>
        <v/>
      </c>
      <c r="AR150" s="15">
        <f>IF($B150="","",TRIM(IF(ISERROR(MATCH($B150,Community_Master!$A$2:$A$100,0)),"Invalid Community_ID; ","")&amp;IF($A150="","Missing Report_Month; ","")&amp;IF(AND($H150&lt;&gt;"",$I150&gt;$H150),"Occupied_Units greater than Total_Units; ","")&amp;IF(AND($H150&lt;&gt;"",$J150&gt;$H150),"Leased_Units greater than Total_Units; ","")&amp;IF($I150&lt;0,"Occupied_Units negative; ","")&amp;IF($J150&lt;0,"Leased_Units negative; ","")&amp;IF($P150&lt;0,"Avg_Market_Rent negative; ","")))</f>
        <v/>
      </c>
    </row>
    <row r="151" ht="15" customHeight="1">
      <c r="A151" s="5" t="n"/>
      <c r="B151" s="15" t="n"/>
      <c r="C151" s="15">
        <f>IFERROR(VLOOKUP($B151,Community_Master!$A$2:$K$100,2,FALSE),"")</f>
        <v/>
      </c>
      <c r="D151" s="15">
        <f>IFERROR(VLOOKUP($B151,Community_Master!$A$2:$K$100,4,FALSE),"")</f>
        <v/>
      </c>
      <c r="E151" s="15">
        <f>IFERROR(VLOOKUP($B151,Community_Master!$A$2:$K$100,5,FALSE),"")</f>
        <v/>
      </c>
      <c r="F151" s="15">
        <f>IFERROR(VLOOKUP($B151,Community_Master!$A$2:$K$100,6,FALSE),"")</f>
        <v/>
      </c>
      <c r="G151" s="15">
        <f>IFERROR(VLOOKUP($B151,Community_Master!$A$2:$K$100,8,FALSE),"")</f>
        <v/>
      </c>
      <c r="H151" s="15">
        <f>IFERROR(VLOOKUP($B151,Community_Master!$A$2:$K$100,7,FALSE),"")</f>
        <v/>
      </c>
      <c r="I151" s="15" t="n"/>
      <c r="J151" s="15" t="n"/>
      <c r="K151" s="15" t="n"/>
      <c r="L151" s="15">
        <f>IF($H151="","",MAX($H151-$I151,0))</f>
        <v/>
      </c>
      <c r="M151" s="6">
        <f>IF($H151="","",IFERROR($I151/$H151,""))</f>
        <v/>
      </c>
      <c r="N151" s="6">
        <f>IF($H151="","",IFERROR($J151/$H151,""))</f>
        <v/>
      </c>
      <c r="O151" s="6" t="n"/>
      <c r="P151" s="7" t="n"/>
      <c r="Q151" s="7" t="n"/>
      <c r="R151" s="7" t="n"/>
      <c r="S151" s="7" t="n"/>
      <c r="T151" s="7">
        <f>IF($H151="","",IFERROR($H151*$P151,""))</f>
        <v/>
      </c>
      <c r="U151" s="7" t="n"/>
      <c r="V151" s="7" t="n"/>
      <c r="W151" s="7" t="n"/>
      <c r="X151" s="7">
        <f>IF(OR($U151="",$W151=""),"",($U151+$V151)-$W151)</f>
        <v/>
      </c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9" t="n"/>
      <c r="AJ151" s="8" t="n"/>
      <c r="AK151" s="8" t="n"/>
      <c r="AL151" s="15" t="n"/>
      <c r="AM151" s="15" t="n"/>
      <c r="AN151" s="15" t="n"/>
      <c r="AO151" s="15" t="n"/>
      <c r="AP151" s="10" t="n"/>
      <c r="AQ151" s="15">
        <f>IF($B151="","",IF(OR(ISERROR(MATCH($B151,Community_Master!$A$2:$A$100,0)),$A151="",AND($H151&lt;&gt;"",$I151&gt;$H151),AND($H151&lt;&gt;"",$J151&gt;$H151),$I151&lt;0,$J151&lt;0,$K151&lt;0,$P151&lt;0,$Q151&lt;0,$Y151&lt;0,$Z151&lt;0,$AA151&lt;0,$AB151&lt;0,$AC151&lt;0),"ERROR","OK"))</f>
        <v/>
      </c>
      <c r="AR151" s="15">
        <f>IF($B151="","",TRIM(IF(ISERROR(MATCH($B151,Community_Master!$A$2:$A$100,0)),"Invalid Community_ID; ","")&amp;IF($A151="","Missing Report_Month; ","")&amp;IF(AND($H151&lt;&gt;"",$I151&gt;$H151),"Occupied_Units greater than Total_Units; ","")&amp;IF(AND($H151&lt;&gt;"",$J151&gt;$H151),"Leased_Units greater than Total_Units; ","")&amp;IF($I151&lt;0,"Occupied_Units negative; ","")&amp;IF($J151&lt;0,"Leased_Units negative; ","")&amp;IF($P151&lt;0,"Avg_Market_Rent negative; ","")))</f>
        <v/>
      </c>
    </row>
    <row r="152" ht="15" customHeight="1">
      <c r="A152" s="5" t="n"/>
      <c r="B152" s="15" t="n"/>
      <c r="C152" s="15">
        <f>IFERROR(VLOOKUP($B152,Community_Master!$A$2:$K$100,2,FALSE),"")</f>
        <v/>
      </c>
      <c r="D152" s="15">
        <f>IFERROR(VLOOKUP($B152,Community_Master!$A$2:$K$100,4,FALSE),"")</f>
        <v/>
      </c>
      <c r="E152" s="15">
        <f>IFERROR(VLOOKUP($B152,Community_Master!$A$2:$K$100,5,FALSE),"")</f>
        <v/>
      </c>
      <c r="F152" s="15">
        <f>IFERROR(VLOOKUP($B152,Community_Master!$A$2:$K$100,6,FALSE),"")</f>
        <v/>
      </c>
      <c r="G152" s="15">
        <f>IFERROR(VLOOKUP($B152,Community_Master!$A$2:$K$100,8,FALSE),"")</f>
        <v/>
      </c>
      <c r="H152" s="15">
        <f>IFERROR(VLOOKUP($B152,Community_Master!$A$2:$K$100,7,FALSE),"")</f>
        <v/>
      </c>
      <c r="I152" s="15" t="n"/>
      <c r="J152" s="15" t="n"/>
      <c r="K152" s="15" t="n"/>
      <c r="L152" s="15">
        <f>IF($H152="","",MAX($H152-$I152,0))</f>
        <v/>
      </c>
      <c r="M152" s="6">
        <f>IF($H152="","",IFERROR($I152/$H152,""))</f>
        <v/>
      </c>
      <c r="N152" s="6">
        <f>IF($H152="","",IFERROR($J152/$H152,""))</f>
        <v/>
      </c>
      <c r="O152" s="6" t="n"/>
      <c r="P152" s="7" t="n"/>
      <c r="Q152" s="7" t="n"/>
      <c r="R152" s="7" t="n"/>
      <c r="S152" s="7" t="n"/>
      <c r="T152" s="7">
        <f>IF($H152="","",IFERROR($H152*$P152,""))</f>
        <v/>
      </c>
      <c r="U152" s="7" t="n"/>
      <c r="V152" s="7" t="n"/>
      <c r="W152" s="7" t="n"/>
      <c r="X152" s="7">
        <f>IF(OR($U152="",$W152=""),"",($U152+$V152)-$W152)</f>
        <v/>
      </c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9" t="n"/>
      <c r="AJ152" s="8" t="n"/>
      <c r="AK152" s="8" t="n"/>
      <c r="AL152" s="15" t="n"/>
      <c r="AM152" s="15" t="n"/>
      <c r="AN152" s="15" t="n"/>
      <c r="AO152" s="15" t="n"/>
      <c r="AP152" s="10" t="n"/>
      <c r="AQ152" s="15">
        <f>IF($B152="","",IF(OR(ISERROR(MATCH($B152,Community_Master!$A$2:$A$100,0)),$A152="",AND($H152&lt;&gt;"",$I152&gt;$H152),AND($H152&lt;&gt;"",$J152&gt;$H152),$I152&lt;0,$J152&lt;0,$K152&lt;0,$P152&lt;0,$Q152&lt;0,$Y152&lt;0,$Z152&lt;0,$AA152&lt;0,$AB152&lt;0,$AC152&lt;0),"ERROR","OK"))</f>
        <v/>
      </c>
      <c r="AR152" s="15">
        <f>IF($B152="","",TRIM(IF(ISERROR(MATCH($B152,Community_Master!$A$2:$A$100,0)),"Invalid Community_ID; ","")&amp;IF($A152="","Missing Report_Month; ","")&amp;IF(AND($H152&lt;&gt;"",$I152&gt;$H152),"Occupied_Units greater than Total_Units; ","")&amp;IF(AND($H152&lt;&gt;"",$J152&gt;$H152),"Leased_Units greater than Total_Units; ","")&amp;IF($I152&lt;0,"Occupied_Units negative; ","")&amp;IF($J152&lt;0,"Leased_Units negative; ","")&amp;IF($P152&lt;0,"Avg_Market_Rent negative; ","")))</f>
        <v/>
      </c>
    </row>
    <row r="153" ht="15" customHeight="1">
      <c r="A153" s="5" t="n"/>
      <c r="B153" s="15" t="n"/>
      <c r="C153" s="15">
        <f>IFERROR(VLOOKUP($B153,Community_Master!$A$2:$K$100,2,FALSE),"")</f>
        <v/>
      </c>
      <c r="D153" s="15">
        <f>IFERROR(VLOOKUP($B153,Community_Master!$A$2:$K$100,4,FALSE),"")</f>
        <v/>
      </c>
      <c r="E153" s="15">
        <f>IFERROR(VLOOKUP($B153,Community_Master!$A$2:$K$100,5,FALSE),"")</f>
        <v/>
      </c>
      <c r="F153" s="15">
        <f>IFERROR(VLOOKUP($B153,Community_Master!$A$2:$K$100,6,FALSE),"")</f>
        <v/>
      </c>
      <c r="G153" s="15">
        <f>IFERROR(VLOOKUP($B153,Community_Master!$A$2:$K$100,8,FALSE),"")</f>
        <v/>
      </c>
      <c r="H153" s="15">
        <f>IFERROR(VLOOKUP($B153,Community_Master!$A$2:$K$100,7,FALSE),"")</f>
        <v/>
      </c>
      <c r="I153" s="15" t="n"/>
      <c r="J153" s="15" t="n"/>
      <c r="K153" s="15" t="n"/>
      <c r="L153" s="15">
        <f>IF($H153="","",MAX($H153-$I153,0))</f>
        <v/>
      </c>
      <c r="M153" s="6">
        <f>IF($H153="","",IFERROR($I153/$H153,""))</f>
        <v/>
      </c>
      <c r="N153" s="6">
        <f>IF($H153="","",IFERROR($J153/$H153,""))</f>
        <v/>
      </c>
      <c r="O153" s="6" t="n"/>
      <c r="P153" s="7" t="n"/>
      <c r="Q153" s="7" t="n"/>
      <c r="R153" s="7" t="n"/>
      <c r="S153" s="7" t="n"/>
      <c r="T153" s="7">
        <f>IF($H153="","",IFERROR($H153*$P153,""))</f>
        <v/>
      </c>
      <c r="U153" s="7" t="n"/>
      <c r="V153" s="7" t="n"/>
      <c r="W153" s="7" t="n"/>
      <c r="X153" s="7">
        <f>IF(OR($U153="",$W153=""),"",($U153+$V153)-$W153)</f>
        <v/>
      </c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9" t="n"/>
      <c r="AJ153" s="8" t="n"/>
      <c r="AK153" s="8" t="n"/>
      <c r="AL153" s="15" t="n"/>
      <c r="AM153" s="15" t="n"/>
      <c r="AN153" s="15" t="n"/>
      <c r="AO153" s="15" t="n"/>
      <c r="AP153" s="10" t="n"/>
      <c r="AQ153" s="15">
        <f>IF($B153="","",IF(OR(ISERROR(MATCH($B153,Community_Master!$A$2:$A$100,0)),$A153="",AND($H153&lt;&gt;"",$I153&gt;$H153),AND($H153&lt;&gt;"",$J153&gt;$H153),$I153&lt;0,$J153&lt;0,$K153&lt;0,$P153&lt;0,$Q153&lt;0,$Y153&lt;0,$Z153&lt;0,$AA153&lt;0,$AB153&lt;0,$AC153&lt;0),"ERROR","OK"))</f>
        <v/>
      </c>
      <c r="AR153" s="15">
        <f>IF($B153="","",TRIM(IF(ISERROR(MATCH($B153,Community_Master!$A$2:$A$100,0)),"Invalid Community_ID; ","")&amp;IF($A153="","Missing Report_Month; ","")&amp;IF(AND($H153&lt;&gt;"",$I153&gt;$H153),"Occupied_Units greater than Total_Units; ","")&amp;IF(AND($H153&lt;&gt;"",$J153&gt;$H153),"Leased_Units greater than Total_Units; ","")&amp;IF($I153&lt;0,"Occupied_Units negative; ","")&amp;IF($J153&lt;0,"Leased_Units negative; ","")&amp;IF($P153&lt;0,"Avg_Market_Rent negative; ","")))</f>
        <v/>
      </c>
    </row>
    <row r="154" ht="15" customHeight="1">
      <c r="A154" s="5" t="n"/>
      <c r="B154" s="15" t="n"/>
      <c r="C154" s="15">
        <f>IFERROR(VLOOKUP($B154,Community_Master!$A$2:$K$100,2,FALSE),"")</f>
        <v/>
      </c>
      <c r="D154" s="15">
        <f>IFERROR(VLOOKUP($B154,Community_Master!$A$2:$K$100,4,FALSE),"")</f>
        <v/>
      </c>
      <c r="E154" s="15">
        <f>IFERROR(VLOOKUP($B154,Community_Master!$A$2:$K$100,5,FALSE),"")</f>
        <v/>
      </c>
      <c r="F154" s="15">
        <f>IFERROR(VLOOKUP($B154,Community_Master!$A$2:$K$100,6,FALSE),"")</f>
        <v/>
      </c>
      <c r="G154" s="15">
        <f>IFERROR(VLOOKUP($B154,Community_Master!$A$2:$K$100,8,FALSE),"")</f>
        <v/>
      </c>
      <c r="H154" s="15">
        <f>IFERROR(VLOOKUP($B154,Community_Master!$A$2:$K$100,7,FALSE),"")</f>
        <v/>
      </c>
      <c r="I154" s="15" t="n"/>
      <c r="J154" s="15" t="n"/>
      <c r="K154" s="15" t="n"/>
      <c r="L154" s="15">
        <f>IF($H154="","",MAX($H154-$I154,0))</f>
        <v/>
      </c>
      <c r="M154" s="6">
        <f>IF($H154="","",IFERROR($I154/$H154,""))</f>
        <v/>
      </c>
      <c r="N154" s="6">
        <f>IF($H154="","",IFERROR($J154/$H154,""))</f>
        <v/>
      </c>
      <c r="O154" s="6" t="n"/>
      <c r="P154" s="7" t="n"/>
      <c r="Q154" s="7" t="n"/>
      <c r="R154" s="7" t="n"/>
      <c r="S154" s="7" t="n"/>
      <c r="T154" s="7">
        <f>IF($H154="","",IFERROR($H154*$P154,""))</f>
        <v/>
      </c>
      <c r="U154" s="7" t="n"/>
      <c r="V154" s="7" t="n"/>
      <c r="W154" s="7" t="n"/>
      <c r="X154" s="7">
        <f>IF(OR($U154="",$W154=""),"",($U154+$V154)-$W154)</f>
        <v/>
      </c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9" t="n"/>
      <c r="AJ154" s="8" t="n"/>
      <c r="AK154" s="8" t="n"/>
      <c r="AL154" s="15" t="n"/>
      <c r="AM154" s="15" t="n"/>
      <c r="AN154" s="15" t="n"/>
      <c r="AO154" s="15" t="n"/>
      <c r="AP154" s="10" t="n"/>
      <c r="AQ154" s="15">
        <f>IF($B154="","",IF(OR(ISERROR(MATCH($B154,Community_Master!$A$2:$A$100,0)),$A154="",AND($H154&lt;&gt;"",$I154&gt;$H154),AND($H154&lt;&gt;"",$J154&gt;$H154),$I154&lt;0,$J154&lt;0,$K154&lt;0,$P154&lt;0,$Q154&lt;0,$Y154&lt;0,$Z154&lt;0,$AA154&lt;0,$AB154&lt;0,$AC154&lt;0),"ERROR","OK"))</f>
        <v/>
      </c>
      <c r="AR154" s="15">
        <f>IF($B154="","",TRIM(IF(ISERROR(MATCH($B154,Community_Master!$A$2:$A$100,0)),"Invalid Community_ID; ","")&amp;IF($A154="","Missing Report_Month; ","")&amp;IF(AND($H154&lt;&gt;"",$I154&gt;$H154),"Occupied_Units greater than Total_Units; ","")&amp;IF(AND($H154&lt;&gt;"",$J154&gt;$H154),"Leased_Units greater than Total_Units; ","")&amp;IF($I154&lt;0,"Occupied_Units negative; ","")&amp;IF($J154&lt;0,"Leased_Units negative; ","")&amp;IF($P154&lt;0,"Avg_Market_Rent negative; ","")))</f>
        <v/>
      </c>
    </row>
    <row r="155" ht="15" customHeight="1">
      <c r="A155" s="5" t="n"/>
      <c r="B155" s="15" t="n"/>
      <c r="C155" s="15">
        <f>IFERROR(VLOOKUP($B155,Community_Master!$A$2:$K$100,2,FALSE),"")</f>
        <v/>
      </c>
      <c r="D155" s="15">
        <f>IFERROR(VLOOKUP($B155,Community_Master!$A$2:$K$100,4,FALSE),"")</f>
        <v/>
      </c>
      <c r="E155" s="15">
        <f>IFERROR(VLOOKUP($B155,Community_Master!$A$2:$K$100,5,FALSE),"")</f>
        <v/>
      </c>
      <c r="F155" s="15">
        <f>IFERROR(VLOOKUP($B155,Community_Master!$A$2:$K$100,6,FALSE),"")</f>
        <v/>
      </c>
      <c r="G155" s="15">
        <f>IFERROR(VLOOKUP($B155,Community_Master!$A$2:$K$100,8,FALSE),"")</f>
        <v/>
      </c>
      <c r="H155" s="15">
        <f>IFERROR(VLOOKUP($B155,Community_Master!$A$2:$K$100,7,FALSE),"")</f>
        <v/>
      </c>
      <c r="I155" s="15" t="n"/>
      <c r="J155" s="15" t="n"/>
      <c r="K155" s="15" t="n"/>
      <c r="L155" s="15">
        <f>IF($H155="","",MAX($H155-$I155,0))</f>
        <v/>
      </c>
      <c r="M155" s="6">
        <f>IF($H155="","",IFERROR($I155/$H155,""))</f>
        <v/>
      </c>
      <c r="N155" s="6">
        <f>IF($H155="","",IFERROR($J155/$H155,""))</f>
        <v/>
      </c>
      <c r="O155" s="6" t="n"/>
      <c r="P155" s="7" t="n"/>
      <c r="Q155" s="7" t="n"/>
      <c r="R155" s="7" t="n"/>
      <c r="S155" s="7" t="n"/>
      <c r="T155" s="7">
        <f>IF($H155="","",IFERROR($H155*$P155,""))</f>
        <v/>
      </c>
      <c r="U155" s="7" t="n"/>
      <c r="V155" s="7" t="n"/>
      <c r="W155" s="7" t="n"/>
      <c r="X155" s="7">
        <f>IF(OR($U155="",$W155=""),"",($U155+$V155)-$W155)</f>
        <v/>
      </c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9" t="n"/>
      <c r="AJ155" s="8" t="n"/>
      <c r="AK155" s="8" t="n"/>
      <c r="AL155" s="15" t="n"/>
      <c r="AM155" s="15" t="n"/>
      <c r="AN155" s="15" t="n"/>
      <c r="AO155" s="15" t="n"/>
      <c r="AP155" s="10" t="n"/>
      <c r="AQ155" s="15">
        <f>IF($B155="","",IF(OR(ISERROR(MATCH($B155,Community_Master!$A$2:$A$100,0)),$A155="",AND($H155&lt;&gt;"",$I155&gt;$H155),AND($H155&lt;&gt;"",$J155&gt;$H155),$I155&lt;0,$J155&lt;0,$K155&lt;0,$P155&lt;0,$Q155&lt;0,$Y155&lt;0,$Z155&lt;0,$AA155&lt;0,$AB155&lt;0,$AC155&lt;0),"ERROR","OK"))</f>
        <v/>
      </c>
      <c r="AR155" s="15">
        <f>IF($B155="","",TRIM(IF(ISERROR(MATCH($B155,Community_Master!$A$2:$A$100,0)),"Invalid Community_ID; ","")&amp;IF($A155="","Missing Report_Month; ","")&amp;IF(AND($H155&lt;&gt;"",$I155&gt;$H155),"Occupied_Units greater than Total_Units; ","")&amp;IF(AND($H155&lt;&gt;"",$J155&gt;$H155),"Leased_Units greater than Total_Units; ","")&amp;IF($I155&lt;0,"Occupied_Units negative; ","")&amp;IF($J155&lt;0,"Leased_Units negative; ","")&amp;IF($P155&lt;0,"Avg_Market_Rent negative; ","")))</f>
        <v/>
      </c>
    </row>
    <row r="156" ht="15" customHeight="1">
      <c r="A156" s="5" t="n"/>
      <c r="B156" s="15" t="n"/>
      <c r="C156" s="15">
        <f>IFERROR(VLOOKUP($B156,Community_Master!$A$2:$K$100,2,FALSE),"")</f>
        <v/>
      </c>
      <c r="D156" s="15">
        <f>IFERROR(VLOOKUP($B156,Community_Master!$A$2:$K$100,4,FALSE),"")</f>
        <v/>
      </c>
      <c r="E156" s="15">
        <f>IFERROR(VLOOKUP($B156,Community_Master!$A$2:$K$100,5,FALSE),"")</f>
        <v/>
      </c>
      <c r="F156" s="15">
        <f>IFERROR(VLOOKUP($B156,Community_Master!$A$2:$K$100,6,FALSE),"")</f>
        <v/>
      </c>
      <c r="G156" s="15">
        <f>IFERROR(VLOOKUP($B156,Community_Master!$A$2:$K$100,8,FALSE),"")</f>
        <v/>
      </c>
      <c r="H156" s="15">
        <f>IFERROR(VLOOKUP($B156,Community_Master!$A$2:$K$100,7,FALSE),"")</f>
        <v/>
      </c>
      <c r="I156" s="15" t="n"/>
      <c r="J156" s="15" t="n"/>
      <c r="K156" s="15" t="n"/>
      <c r="L156" s="15">
        <f>IF($H156="","",MAX($H156-$I156,0))</f>
        <v/>
      </c>
      <c r="M156" s="6">
        <f>IF($H156="","",IFERROR($I156/$H156,""))</f>
        <v/>
      </c>
      <c r="N156" s="6">
        <f>IF($H156="","",IFERROR($J156/$H156,""))</f>
        <v/>
      </c>
      <c r="O156" s="6" t="n"/>
      <c r="P156" s="7" t="n"/>
      <c r="Q156" s="7" t="n"/>
      <c r="R156" s="7" t="n"/>
      <c r="S156" s="7" t="n"/>
      <c r="T156" s="7">
        <f>IF($H156="","",IFERROR($H156*$P156,""))</f>
        <v/>
      </c>
      <c r="U156" s="7" t="n"/>
      <c r="V156" s="7" t="n"/>
      <c r="W156" s="7" t="n"/>
      <c r="X156" s="7">
        <f>IF(OR($U156="",$W156=""),"",($U156+$V156)-$W156)</f>
        <v/>
      </c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9" t="n"/>
      <c r="AJ156" s="8" t="n"/>
      <c r="AK156" s="8" t="n"/>
      <c r="AL156" s="15" t="n"/>
      <c r="AM156" s="15" t="n"/>
      <c r="AN156" s="15" t="n"/>
      <c r="AO156" s="15" t="n"/>
      <c r="AP156" s="10" t="n"/>
      <c r="AQ156" s="15">
        <f>IF($B156="","",IF(OR(ISERROR(MATCH($B156,Community_Master!$A$2:$A$100,0)),$A156="",AND($H156&lt;&gt;"",$I156&gt;$H156),AND($H156&lt;&gt;"",$J156&gt;$H156),$I156&lt;0,$J156&lt;0,$K156&lt;0,$P156&lt;0,$Q156&lt;0,$Y156&lt;0,$Z156&lt;0,$AA156&lt;0,$AB156&lt;0,$AC156&lt;0),"ERROR","OK"))</f>
        <v/>
      </c>
      <c r="AR156" s="15">
        <f>IF($B156="","",TRIM(IF(ISERROR(MATCH($B156,Community_Master!$A$2:$A$100,0)),"Invalid Community_ID; ","")&amp;IF($A156="","Missing Report_Month; ","")&amp;IF(AND($H156&lt;&gt;"",$I156&gt;$H156),"Occupied_Units greater than Total_Units; ","")&amp;IF(AND($H156&lt;&gt;"",$J156&gt;$H156),"Leased_Units greater than Total_Units; ","")&amp;IF($I156&lt;0,"Occupied_Units negative; ","")&amp;IF($J156&lt;0,"Leased_Units negative; ","")&amp;IF($P156&lt;0,"Avg_Market_Rent negative; ","")))</f>
        <v/>
      </c>
    </row>
    <row r="157" ht="15" customHeight="1">
      <c r="A157" s="5" t="n"/>
      <c r="B157" s="15" t="n"/>
      <c r="C157" s="15">
        <f>IFERROR(VLOOKUP($B157,Community_Master!$A$2:$K$100,2,FALSE),"")</f>
        <v/>
      </c>
      <c r="D157" s="15">
        <f>IFERROR(VLOOKUP($B157,Community_Master!$A$2:$K$100,4,FALSE),"")</f>
        <v/>
      </c>
      <c r="E157" s="15">
        <f>IFERROR(VLOOKUP($B157,Community_Master!$A$2:$K$100,5,FALSE),"")</f>
        <v/>
      </c>
      <c r="F157" s="15">
        <f>IFERROR(VLOOKUP($B157,Community_Master!$A$2:$K$100,6,FALSE),"")</f>
        <v/>
      </c>
      <c r="G157" s="15">
        <f>IFERROR(VLOOKUP($B157,Community_Master!$A$2:$K$100,8,FALSE),"")</f>
        <v/>
      </c>
      <c r="H157" s="15">
        <f>IFERROR(VLOOKUP($B157,Community_Master!$A$2:$K$100,7,FALSE),"")</f>
        <v/>
      </c>
      <c r="I157" s="15" t="n"/>
      <c r="J157" s="15" t="n"/>
      <c r="K157" s="15" t="n"/>
      <c r="L157" s="15">
        <f>IF($H157="","",MAX($H157-$I157,0))</f>
        <v/>
      </c>
      <c r="M157" s="6">
        <f>IF($H157="","",IFERROR($I157/$H157,""))</f>
        <v/>
      </c>
      <c r="N157" s="6">
        <f>IF($H157="","",IFERROR($J157/$H157,""))</f>
        <v/>
      </c>
      <c r="O157" s="6" t="n"/>
      <c r="P157" s="7" t="n"/>
      <c r="Q157" s="7" t="n"/>
      <c r="R157" s="7" t="n"/>
      <c r="S157" s="7" t="n"/>
      <c r="T157" s="7">
        <f>IF($H157="","",IFERROR($H157*$P157,""))</f>
        <v/>
      </c>
      <c r="U157" s="7" t="n"/>
      <c r="V157" s="7" t="n"/>
      <c r="W157" s="7" t="n"/>
      <c r="X157" s="7">
        <f>IF(OR($U157="",$W157=""),"",($U157+$V157)-$W157)</f>
        <v/>
      </c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9" t="n"/>
      <c r="AJ157" s="8" t="n"/>
      <c r="AK157" s="8" t="n"/>
      <c r="AL157" s="15" t="n"/>
      <c r="AM157" s="15" t="n"/>
      <c r="AN157" s="15" t="n"/>
      <c r="AO157" s="15" t="n"/>
      <c r="AP157" s="10" t="n"/>
      <c r="AQ157" s="15">
        <f>IF($B157="","",IF(OR(ISERROR(MATCH($B157,Community_Master!$A$2:$A$100,0)),$A157="",AND($H157&lt;&gt;"",$I157&gt;$H157),AND($H157&lt;&gt;"",$J157&gt;$H157),$I157&lt;0,$J157&lt;0,$K157&lt;0,$P157&lt;0,$Q157&lt;0,$Y157&lt;0,$Z157&lt;0,$AA157&lt;0,$AB157&lt;0,$AC157&lt;0),"ERROR","OK"))</f>
        <v/>
      </c>
      <c r="AR157" s="15">
        <f>IF($B157="","",TRIM(IF(ISERROR(MATCH($B157,Community_Master!$A$2:$A$100,0)),"Invalid Community_ID; ","")&amp;IF($A157="","Missing Report_Month; ","")&amp;IF(AND($H157&lt;&gt;"",$I157&gt;$H157),"Occupied_Units greater than Total_Units; ","")&amp;IF(AND($H157&lt;&gt;"",$J157&gt;$H157),"Leased_Units greater than Total_Units; ","")&amp;IF($I157&lt;0,"Occupied_Units negative; ","")&amp;IF($J157&lt;0,"Leased_Units negative; ","")&amp;IF($P157&lt;0,"Avg_Market_Rent negative; ","")))</f>
        <v/>
      </c>
    </row>
    <row r="158" ht="15" customHeight="1">
      <c r="A158" s="5" t="n"/>
      <c r="B158" s="15" t="n"/>
      <c r="C158" s="15">
        <f>IFERROR(VLOOKUP($B158,Community_Master!$A$2:$K$100,2,FALSE),"")</f>
        <v/>
      </c>
      <c r="D158" s="15">
        <f>IFERROR(VLOOKUP($B158,Community_Master!$A$2:$K$100,4,FALSE),"")</f>
        <v/>
      </c>
      <c r="E158" s="15">
        <f>IFERROR(VLOOKUP($B158,Community_Master!$A$2:$K$100,5,FALSE),"")</f>
        <v/>
      </c>
      <c r="F158" s="15">
        <f>IFERROR(VLOOKUP($B158,Community_Master!$A$2:$K$100,6,FALSE),"")</f>
        <v/>
      </c>
      <c r="G158" s="15">
        <f>IFERROR(VLOOKUP($B158,Community_Master!$A$2:$K$100,8,FALSE),"")</f>
        <v/>
      </c>
      <c r="H158" s="15">
        <f>IFERROR(VLOOKUP($B158,Community_Master!$A$2:$K$100,7,FALSE),"")</f>
        <v/>
      </c>
      <c r="I158" s="15" t="n"/>
      <c r="J158" s="15" t="n"/>
      <c r="K158" s="15" t="n"/>
      <c r="L158" s="15">
        <f>IF($H158="","",MAX($H158-$I158,0))</f>
        <v/>
      </c>
      <c r="M158" s="6">
        <f>IF($H158="","",IFERROR($I158/$H158,""))</f>
        <v/>
      </c>
      <c r="N158" s="6">
        <f>IF($H158="","",IFERROR($J158/$H158,""))</f>
        <v/>
      </c>
      <c r="O158" s="6" t="n"/>
      <c r="P158" s="7" t="n"/>
      <c r="Q158" s="7" t="n"/>
      <c r="R158" s="7" t="n"/>
      <c r="S158" s="7" t="n"/>
      <c r="T158" s="7">
        <f>IF($H158="","",IFERROR($H158*$P158,""))</f>
        <v/>
      </c>
      <c r="U158" s="7" t="n"/>
      <c r="V158" s="7" t="n"/>
      <c r="W158" s="7" t="n"/>
      <c r="X158" s="7">
        <f>IF(OR($U158="",$W158=""),"",($U158+$V158)-$W158)</f>
        <v/>
      </c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9" t="n"/>
      <c r="AJ158" s="8" t="n"/>
      <c r="AK158" s="8" t="n"/>
      <c r="AL158" s="15" t="n"/>
      <c r="AM158" s="15" t="n"/>
      <c r="AN158" s="15" t="n"/>
      <c r="AO158" s="15" t="n"/>
      <c r="AP158" s="10" t="n"/>
      <c r="AQ158" s="15">
        <f>IF($B158="","",IF(OR(ISERROR(MATCH($B158,Community_Master!$A$2:$A$100,0)),$A158="",AND($H158&lt;&gt;"",$I158&gt;$H158),AND($H158&lt;&gt;"",$J158&gt;$H158),$I158&lt;0,$J158&lt;0,$K158&lt;0,$P158&lt;0,$Q158&lt;0,$Y158&lt;0,$Z158&lt;0,$AA158&lt;0,$AB158&lt;0,$AC158&lt;0),"ERROR","OK"))</f>
        <v/>
      </c>
      <c r="AR158" s="15">
        <f>IF($B158="","",TRIM(IF(ISERROR(MATCH($B158,Community_Master!$A$2:$A$100,0)),"Invalid Community_ID; ","")&amp;IF($A158="","Missing Report_Month; ","")&amp;IF(AND($H158&lt;&gt;"",$I158&gt;$H158),"Occupied_Units greater than Total_Units; ","")&amp;IF(AND($H158&lt;&gt;"",$J158&gt;$H158),"Leased_Units greater than Total_Units; ","")&amp;IF($I158&lt;0,"Occupied_Units negative; ","")&amp;IF($J158&lt;0,"Leased_Units negative; ","")&amp;IF($P158&lt;0,"Avg_Market_Rent negative; ","")))</f>
        <v/>
      </c>
    </row>
    <row r="159" ht="15" customHeight="1">
      <c r="A159" s="5" t="n"/>
      <c r="B159" s="15" t="n"/>
      <c r="C159" s="15">
        <f>IFERROR(VLOOKUP($B159,Community_Master!$A$2:$K$100,2,FALSE),"")</f>
        <v/>
      </c>
      <c r="D159" s="15">
        <f>IFERROR(VLOOKUP($B159,Community_Master!$A$2:$K$100,4,FALSE),"")</f>
        <v/>
      </c>
      <c r="E159" s="15">
        <f>IFERROR(VLOOKUP($B159,Community_Master!$A$2:$K$100,5,FALSE),"")</f>
        <v/>
      </c>
      <c r="F159" s="15">
        <f>IFERROR(VLOOKUP($B159,Community_Master!$A$2:$K$100,6,FALSE),"")</f>
        <v/>
      </c>
      <c r="G159" s="15">
        <f>IFERROR(VLOOKUP($B159,Community_Master!$A$2:$K$100,8,FALSE),"")</f>
        <v/>
      </c>
      <c r="H159" s="15">
        <f>IFERROR(VLOOKUP($B159,Community_Master!$A$2:$K$100,7,FALSE),"")</f>
        <v/>
      </c>
      <c r="I159" s="15" t="n"/>
      <c r="J159" s="15" t="n"/>
      <c r="K159" s="15" t="n"/>
      <c r="L159" s="15">
        <f>IF($H159="","",MAX($H159-$I159,0))</f>
        <v/>
      </c>
      <c r="M159" s="6">
        <f>IF($H159="","",IFERROR($I159/$H159,""))</f>
        <v/>
      </c>
      <c r="N159" s="6">
        <f>IF($H159="","",IFERROR($J159/$H159,""))</f>
        <v/>
      </c>
      <c r="O159" s="6" t="n"/>
      <c r="P159" s="7" t="n"/>
      <c r="Q159" s="7" t="n"/>
      <c r="R159" s="7" t="n"/>
      <c r="S159" s="7" t="n"/>
      <c r="T159" s="7">
        <f>IF($H159="","",IFERROR($H159*$P159,""))</f>
        <v/>
      </c>
      <c r="U159" s="7" t="n"/>
      <c r="V159" s="7" t="n"/>
      <c r="W159" s="7" t="n"/>
      <c r="X159" s="7">
        <f>IF(OR($U159="",$W159=""),"",($U159+$V159)-$W159)</f>
        <v/>
      </c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9" t="n"/>
      <c r="AJ159" s="8" t="n"/>
      <c r="AK159" s="8" t="n"/>
      <c r="AL159" s="15" t="n"/>
      <c r="AM159" s="15" t="n"/>
      <c r="AN159" s="15" t="n"/>
      <c r="AO159" s="15" t="n"/>
      <c r="AP159" s="10" t="n"/>
      <c r="AQ159" s="15">
        <f>IF($B159="","",IF(OR(ISERROR(MATCH($B159,Community_Master!$A$2:$A$100,0)),$A159="",AND($H159&lt;&gt;"",$I159&gt;$H159),AND($H159&lt;&gt;"",$J159&gt;$H159),$I159&lt;0,$J159&lt;0,$K159&lt;0,$P159&lt;0,$Q159&lt;0,$Y159&lt;0,$Z159&lt;0,$AA159&lt;0,$AB159&lt;0,$AC159&lt;0),"ERROR","OK"))</f>
        <v/>
      </c>
      <c r="AR159" s="15">
        <f>IF($B159="","",TRIM(IF(ISERROR(MATCH($B159,Community_Master!$A$2:$A$100,0)),"Invalid Community_ID; ","")&amp;IF($A159="","Missing Report_Month; ","")&amp;IF(AND($H159&lt;&gt;"",$I159&gt;$H159),"Occupied_Units greater than Total_Units; ","")&amp;IF(AND($H159&lt;&gt;"",$J159&gt;$H159),"Leased_Units greater than Total_Units; ","")&amp;IF($I159&lt;0,"Occupied_Units negative; ","")&amp;IF($J159&lt;0,"Leased_Units negative; ","")&amp;IF($P159&lt;0,"Avg_Market_Rent negative; ","")))</f>
        <v/>
      </c>
    </row>
    <row r="160" ht="15" customHeight="1">
      <c r="A160" s="5" t="n"/>
      <c r="B160" s="15" t="n"/>
      <c r="C160" s="15">
        <f>IFERROR(VLOOKUP($B160,Community_Master!$A$2:$K$100,2,FALSE),"")</f>
        <v/>
      </c>
      <c r="D160" s="15">
        <f>IFERROR(VLOOKUP($B160,Community_Master!$A$2:$K$100,4,FALSE),"")</f>
        <v/>
      </c>
      <c r="E160" s="15">
        <f>IFERROR(VLOOKUP($B160,Community_Master!$A$2:$K$100,5,FALSE),"")</f>
        <v/>
      </c>
      <c r="F160" s="15">
        <f>IFERROR(VLOOKUP($B160,Community_Master!$A$2:$K$100,6,FALSE),"")</f>
        <v/>
      </c>
      <c r="G160" s="15">
        <f>IFERROR(VLOOKUP($B160,Community_Master!$A$2:$K$100,8,FALSE),"")</f>
        <v/>
      </c>
      <c r="H160" s="15">
        <f>IFERROR(VLOOKUP($B160,Community_Master!$A$2:$K$100,7,FALSE),"")</f>
        <v/>
      </c>
      <c r="I160" s="15" t="n"/>
      <c r="J160" s="15" t="n"/>
      <c r="K160" s="15" t="n"/>
      <c r="L160" s="15">
        <f>IF($H160="","",MAX($H160-$I160,0))</f>
        <v/>
      </c>
      <c r="M160" s="6">
        <f>IF($H160="","",IFERROR($I160/$H160,""))</f>
        <v/>
      </c>
      <c r="N160" s="6">
        <f>IF($H160="","",IFERROR($J160/$H160,""))</f>
        <v/>
      </c>
      <c r="O160" s="6" t="n"/>
      <c r="P160" s="7" t="n"/>
      <c r="Q160" s="7" t="n"/>
      <c r="R160" s="7" t="n"/>
      <c r="S160" s="7" t="n"/>
      <c r="T160" s="7">
        <f>IF($H160="","",IFERROR($H160*$P160,""))</f>
        <v/>
      </c>
      <c r="U160" s="7" t="n"/>
      <c r="V160" s="7" t="n"/>
      <c r="W160" s="7" t="n"/>
      <c r="X160" s="7">
        <f>IF(OR($U160="",$W160=""),"",($U160+$V160)-$W160)</f>
        <v/>
      </c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9" t="n"/>
      <c r="AJ160" s="8" t="n"/>
      <c r="AK160" s="8" t="n"/>
      <c r="AL160" s="15" t="n"/>
      <c r="AM160" s="15" t="n"/>
      <c r="AN160" s="15" t="n"/>
      <c r="AO160" s="15" t="n"/>
      <c r="AP160" s="10" t="n"/>
      <c r="AQ160" s="15">
        <f>IF($B160="","",IF(OR(ISERROR(MATCH($B160,Community_Master!$A$2:$A$100,0)),$A160="",AND($H160&lt;&gt;"",$I160&gt;$H160),AND($H160&lt;&gt;"",$J160&gt;$H160),$I160&lt;0,$J160&lt;0,$K160&lt;0,$P160&lt;0,$Q160&lt;0,$Y160&lt;0,$Z160&lt;0,$AA160&lt;0,$AB160&lt;0,$AC160&lt;0),"ERROR","OK"))</f>
        <v/>
      </c>
      <c r="AR160" s="15">
        <f>IF($B160="","",TRIM(IF(ISERROR(MATCH($B160,Community_Master!$A$2:$A$100,0)),"Invalid Community_ID; ","")&amp;IF($A160="","Missing Report_Month; ","")&amp;IF(AND($H160&lt;&gt;"",$I160&gt;$H160),"Occupied_Units greater than Total_Units; ","")&amp;IF(AND($H160&lt;&gt;"",$J160&gt;$H160),"Leased_Units greater than Total_Units; ","")&amp;IF($I160&lt;0,"Occupied_Units negative; ","")&amp;IF($J160&lt;0,"Leased_Units negative; ","")&amp;IF($P160&lt;0,"Avg_Market_Rent negative; ","")))</f>
        <v/>
      </c>
    </row>
    <row r="161" ht="15" customHeight="1">
      <c r="A161" s="5" t="n"/>
      <c r="B161" s="15" t="n"/>
      <c r="C161" s="15">
        <f>IFERROR(VLOOKUP($B161,Community_Master!$A$2:$K$100,2,FALSE),"")</f>
        <v/>
      </c>
      <c r="D161" s="15">
        <f>IFERROR(VLOOKUP($B161,Community_Master!$A$2:$K$100,4,FALSE),"")</f>
        <v/>
      </c>
      <c r="E161" s="15">
        <f>IFERROR(VLOOKUP($B161,Community_Master!$A$2:$K$100,5,FALSE),"")</f>
        <v/>
      </c>
      <c r="F161" s="15">
        <f>IFERROR(VLOOKUP($B161,Community_Master!$A$2:$K$100,6,FALSE),"")</f>
        <v/>
      </c>
      <c r="G161" s="15">
        <f>IFERROR(VLOOKUP($B161,Community_Master!$A$2:$K$100,8,FALSE),"")</f>
        <v/>
      </c>
      <c r="H161" s="15">
        <f>IFERROR(VLOOKUP($B161,Community_Master!$A$2:$K$100,7,FALSE),"")</f>
        <v/>
      </c>
      <c r="I161" s="15" t="n"/>
      <c r="J161" s="15" t="n"/>
      <c r="K161" s="15" t="n"/>
      <c r="L161" s="15">
        <f>IF($H161="","",MAX($H161-$I161,0))</f>
        <v/>
      </c>
      <c r="M161" s="6">
        <f>IF($H161="","",IFERROR($I161/$H161,""))</f>
        <v/>
      </c>
      <c r="N161" s="6">
        <f>IF($H161="","",IFERROR($J161/$H161,""))</f>
        <v/>
      </c>
      <c r="O161" s="6" t="n"/>
      <c r="P161" s="7" t="n"/>
      <c r="Q161" s="7" t="n"/>
      <c r="R161" s="7" t="n"/>
      <c r="S161" s="7" t="n"/>
      <c r="T161" s="7">
        <f>IF($H161="","",IFERROR($H161*$P161,""))</f>
        <v/>
      </c>
      <c r="U161" s="7" t="n"/>
      <c r="V161" s="7" t="n"/>
      <c r="W161" s="7" t="n"/>
      <c r="X161" s="7">
        <f>IF(OR($U161="",$W161=""),"",($U161+$V161)-$W161)</f>
        <v/>
      </c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9" t="n"/>
      <c r="AJ161" s="8" t="n"/>
      <c r="AK161" s="8" t="n"/>
      <c r="AL161" s="15" t="n"/>
      <c r="AM161" s="15" t="n"/>
      <c r="AN161" s="15" t="n"/>
      <c r="AO161" s="15" t="n"/>
      <c r="AP161" s="10" t="n"/>
      <c r="AQ161" s="15">
        <f>IF($B161="","",IF(OR(ISERROR(MATCH($B161,Community_Master!$A$2:$A$100,0)),$A161="",AND($H161&lt;&gt;"",$I161&gt;$H161),AND($H161&lt;&gt;"",$J161&gt;$H161),$I161&lt;0,$J161&lt;0,$K161&lt;0,$P161&lt;0,$Q161&lt;0,$Y161&lt;0,$Z161&lt;0,$AA161&lt;0,$AB161&lt;0,$AC161&lt;0),"ERROR","OK"))</f>
        <v/>
      </c>
      <c r="AR161" s="15">
        <f>IF($B161="","",TRIM(IF(ISERROR(MATCH($B161,Community_Master!$A$2:$A$100,0)),"Invalid Community_ID; ","")&amp;IF($A161="","Missing Report_Month; ","")&amp;IF(AND($H161&lt;&gt;"",$I161&gt;$H161),"Occupied_Units greater than Total_Units; ","")&amp;IF(AND($H161&lt;&gt;"",$J161&gt;$H161),"Leased_Units greater than Total_Units; ","")&amp;IF($I161&lt;0,"Occupied_Units negative; ","")&amp;IF($J161&lt;0,"Leased_Units negative; ","")&amp;IF($P161&lt;0,"Avg_Market_Rent negative; ","")))</f>
        <v/>
      </c>
    </row>
    <row r="162" ht="15" customHeight="1">
      <c r="A162" s="5" t="n"/>
      <c r="B162" s="15" t="n"/>
      <c r="C162" s="15">
        <f>IFERROR(VLOOKUP($B162,Community_Master!$A$2:$K$100,2,FALSE),"")</f>
        <v/>
      </c>
      <c r="D162" s="15">
        <f>IFERROR(VLOOKUP($B162,Community_Master!$A$2:$K$100,4,FALSE),"")</f>
        <v/>
      </c>
      <c r="E162" s="15">
        <f>IFERROR(VLOOKUP($B162,Community_Master!$A$2:$K$100,5,FALSE),"")</f>
        <v/>
      </c>
      <c r="F162" s="15">
        <f>IFERROR(VLOOKUP($B162,Community_Master!$A$2:$K$100,6,FALSE),"")</f>
        <v/>
      </c>
      <c r="G162" s="15">
        <f>IFERROR(VLOOKUP($B162,Community_Master!$A$2:$K$100,8,FALSE),"")</f>
        <v/>
      </c>
      <c r="H162" s="15">
        <f>IFERROR(VLOOKUP($B162,Community_Master!$A$2:$K$100,7,FALSE),"")</f>
        <v/>
      </c>
      <c r="I162" s="15" t="n"/>
      <c r="J162" s="15" t="n"/>
      <c r="K162" s="15" t="n"/>
      <c r="L162" s="15">
        <f>IF($H162="","",MAX($H162-$I162,0))</f>
        <v/>
      </c>
      <c r="M162" s="6">
        <f>IF($H162="","",IFERROR($I162/$H162,""))</f>
        <v/>
      </c>
      <c r="N162" s="6">
        <f>IF($H162="","",IFERROR($J162/$H162,""))</f>
        <v/>
      </c>
      <c r="O162" s="6" t="n"/>
      <c r="P162" s="7" t="n"/>
      <c r="Q162" s="7" t="n"/>
      <c r="R162" s="7" t="n"/>
      <c r="S162" s="7" t="n"/>
      <c r="T162" s="7">
        <f>IF($H162="","",IFERROR($H162*$P162,""))</f>
        <v/>
      </c>
      <c r="U162" s="7" t="n"/>
      <c r="V162" s="7" t="n"/>
      <c r="W162" s="7" t="n"/>
      <c r="X162" s="7">
        <f>IF(OR($U162="",$W162=""),"",($U162+$V162)-$W162)</f>
        <v/>
      </c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9" t="n"/>
      <c r="AJ162" s="8" t="n"/>
      <c r="AK162" s="8" t="n"/>
      <c r="AL162" s="15" t="n"/>
      <c r="AM162" s="15" t="n"/>
      <c r="AN162" s="15" t="n"/>
      <c r="AO162" s="15" t="n"/>
      <c r="AP162" s="10" t="n"/>
      <c r="AQ162" s="15">
        <f>IF($B162="","",IF(OR(ISERROR(MATCH($B162,Community_Master!$A$2:$A$100,0)),$A162="",AND($H162&lt;&gt;"",$I162&gt;$H162),AND($H162&lt;&gt;"",$J162&gt;$H162),$I162&lt;0,$J162&lt;0,$K162&lt;0,$P162&lt;0,$Q162&lt;0,$Y162&lt;0,$Z162&lt;0,$AA162&lt;0,$AB162&lt;0,$AC162&lt;0),"ERROR","OK"))</f>
        <v/>
      </c>
      <c r="AR162" s="15">
        <f>IF($B162="","",TRIM(IF(ISERROR(MATCH($B162,Community_Master!$A$2:$A$100,0)),"Invalid Community_ID; ","")&amp;IF($A162="","Missing Report_Month; ","")&amp;IF(AND($H162&lt;&gt;"",$I162&gt;$H162),"Occupied_Units greater than Total_Units; ","")&amp;IF(AND($H162&lt;&gt;"",$J162&gt;$H162),"Leased_Units greater than Total_Units; ","")&amp;IF($I162&lt;0,"Occupied_Units negative; ","")&amp;IF($J162&lt;0,"Leased_Units negative; ","")&amp;IF($P162&lt;0,"Avg_Market_Rent negative; ","")))</f>
        <v/>
      </c>
    </row>
    <row r="163" ht="15" customHeight="1">
      <c r="A163" s="5" t="n"/>
      <c r="B163" s="15" t="n"/>
      <c r="C163" s="15">
        <f>IFERROR(VLOOKUP($B163,Community_Master!$A$2:$K$100,2,FALSE),"")</f>
        <v/>
      </c>
      <c r="D163" s="15">
        <f>IFERROR(VLOOKUP($B163,Community_Master!$A$2:$K$100,4,FALSE),"")</f>
        <v/>
      </c>
      <c r="E163" s="15">
        <f>IFERROR(VLOOKUP($B163,Community_Master!$A$2:$K$100,5,FALSE),"")</f>
        <v/>
      </c>
      <c r="F163" s="15">
        <f>IFERROR(VLOOKUP($B163,Community_Master!$A$2:$K$100,6,FALSE),"")</f>
        <v/>
      </c>
      <c r="G163" s="15">
        <f>IFERROR(VLOOKUP($B163,Community_Master!$A$2:$K$100,8,FALSE),"")</f>
        <v/>
      </c>
      <c r="H163" s="15">
        <f>IFERROR(VLOOKUP($B163,Community_Master!$A$2:$K$100,7,FALSE),"")</f>
        <v/>
      </c>
      <c r="I163" s="15" t="n"/>
      <c r="J163" s="15" t="n"/>
      <c r="K163" s="15" t="n"/>
      <c r="L163" s="15">
        <f>IF($H163="","",MAX($H163-$I163,0))</f>
        <v/>
      </c>
      <c r="M163" s="6">
        <f>IF($H163="","",IFERROR($I163/$H163,""))</f>
        <v/>
      </c>
      <c r="N163" s="6">
        <f>IF($H163="","",IFERROR($J163/$H163,""))</f>
        <v/>
      </c>
      <c r="O163" s="6" t="n"/>
      <c r="P163" s="7" t="n"/>
      <c r="Q163" s="7" t="n"/>
      <c r="R163" s="7" t="n"/>
      <c r="S163" s="7" t="n"/>
      <c r="T163" s="7">
        <f>IF($H163="","",IFERROR($H163*$P163,""))</f>
        <v/>
      </c>
      <c r="U163" s="7" t="n"/>
      <c r="V163" s="7" t="n"/>
      <c r="W163" s="7" t="n"/>
      <c r="X163" s="7">
        <f>IF(OR($U163="",$W163=""),"",($U163+$V163)-$W163)</f>
        <v/>
      </c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9" t="n"/>
      <c r="AJ163" s="8" t="n"/>
      <c r="AK163" s="8" t="n"/>
      <c r="AL163" s="15" t="n"/>
      <c r="AM163" s="15" t="n"/>
      <c r="AN163" s="15" t="n"/>
      <c r="AO163" s="15" t="n"/>
      <c r="AP163" s="10" t="n"/>
      <c r="AQ163" s="15">
        <f>IF($B163="","",IF(OR(ISERROR(MATCH($B163,Community_Master!$A$2:$A$100,0)),$A163="",AND($H163&lt;&gt;"",$I163&gt;$H163),AND($H163&lt;&gt;"",$J163&gt;$H163),$I163&lt;0,$J163&lt;0,$K163&lt;0,$P163&lt;0,$Q163&lt;0,$Y163&lt;0,$Z163&lt;0,$AA163&lt;0,$AB163&lt;0,$AC163&lt;0),"ERROR","OK"))</f>
        <v/>
      </c>
      <c r="AR163" s="15">
        <f>IF($B163="","",TRIM(IF(ISERROR(MATCH($B163,Community_Master!$A$2:$A$100,0)),"Invalid Community_ID; ","")&amp;IF($A163="","Missing Report_Month; ","")&amp;IF(AND($H163&lt;&gt;"",$I163&gt;$H163),"Occupied_Units greater than Total_Units; ","")&amp;IF(AND($H163&lt;&gt;"",$J163&gt;$H163),"Leased_Units greater than Total_Units; ","")&amp;IF($I163&lt;0,"Occupied_Units negative; ","")&amp;IF($J163&lt;0,"Leased_Units negative; ","")&amp;IF($P163&lt;0,"Avg_Market_Rent negative; ","")))</f>
        <v/>
      </c>
    </row>
    <row r="164" ht="15" customHeight="1">
      <c r="A164" s="5" t="n"/>
      <c r="B164" s="15" t="n"/>
      <c r="C164" s="15">
        <f>IFERROR(VLOOKUP($B164,Community_Master!$A$2:$K$100,2,FALSE),"")</f>
        <v/>
      </c>
      <c r="D164" s="15">
        <f>IFERROR(VLOOKUP($B164,Community_Master!$A$2:$K$100,4,FALSE),"")</f>
        <v/>
      </c>
      <c r="E164" s="15">
        <f>IFERROR(VLOOKUP($B164,Community_Master!$A$2:$K$100,5,FALSE),"")</f>
        <v/>
      </c>
      <c r="F164" s="15">
        <f>IFERROR(VLOOKUP($B164,Community_Master!$A$2:$K$100,6,FALSE),"")</f>
        <v/>
      </c>
      <c r="G164" s="15">
        <f>IFERROR(VLOOKUP($B164,Community_Master!$A$2:$K$100,8,FALSE),"")</f>
        <v/>
      </c>
      <c r="H164" s="15">
        <f>IFERROR(VLOOKUP($B164,Community_Master!$A$2:$K$100,7,FALSE),"")</f>
        <v/>
      </c>
      <c r="I164" s="15" t="n"/>
      <c r="J164" s="15" t="n"/>
      <c r="K164" s="15" t="n"/>
      <c r="L164" s="15">
        <f>IF($H164="","",MAX($H164-$I164,0))</f>
        <v/>
      </c>
      <c r="M164" s="6">
        <f>IF($H164="","",IFERROR($I164/$H164,""))</f>
        <v/>
      </c>
      <c r="N164" s="6">
        <f>IF($H164="","",IFERROR($J164/$H164,""))</f>
        <v/>
      </c>
      <c r="O164" s="6" t="n"/>
      <c r="P164" s="7" t="n"/>
      <c r="Q164" s="7" t="n"/>
      <c r="R164" s="7" t="n"/>
      <c r="S164" s="7" t="n"/>
      <c r="T164" s="7">
        <f>IF($H164="","",IFERROR($H164*$P164,""))</f>
        <v/>
      </c>
      <c r="U164" s="7" t="n"/>
      <c r="V164" s="7" t="n"/>
      <c r="W164" s="7" t="n"/>
      <c r="X164" s="7">
        <f>IF(OR($U164="",$W164=""),"",($U164+$V164)-$W164)</f>
        <v/>
      </c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9" t="n"/>
      <c r="AJ164" s="8" t="n"/>
      <c r="AK164" s="8" t="n"/>
      <c r="AL164" s="15" t="n"/>
      <c r="AM164" s="15" t="n"/>
      <c r="AN164" s="15" t="n"/>
      <c r="AO164" s="15" t="n"/>
      <c r="AP164" s="10" t="n"/>
      <c r="AQ164" s="15">
        <f>IF($B164="","",IF(OR(ISERROR(MATCH($B164,Community_Master!$A$2:$A$100,0)),$A164="",AND($H164&lt;&gt;"",$I164&gt;$H164),AND($H164&lt;&gt;"",$J164&gt;$H164),$I164&lt;0,$J164&lt;0,$K164&lt;0,$P164&lt;0,$Q164&lt;0,$Y164&lt;0,$Z164&lt;0,$AA164&lt;0,$AB164&lt;0,$AC164&lt;0),"ERROR","OK"))</f>
        <v/>
      </c>
      <c r="AR164" s="15">
        <f>IF($B164="","",TRIM(IF(ISERROR(MATCH($B164,Community_Master!$A$2:$A$100,0)),"Invalid Community_ID; ","")&amp;IF($A164="","Missing Report_Month; ","")&amp;IF(AND($H164&lt;&gt;"",$I164&gt;$H164),"Occupied_Units greater than Total_Units; ","")&amp;IF(AND($H164&lt;&gt;"",$J164&gt;$H164),"Leased_Units greater than Total_Units; ","")&amp;IF($I164&lt;0,"Occupied_Units negative; ","")&amp;IF($J164&lt;0,"Leased_Units negative; ","")&amp;IF($P164&lt;0,"Avg_Market_Rent negative; ","")))</f>
        <v/>
      </c>
    </row>
    <row r="165" ht="15" customHeight="1">
      <c r="A165" s="5" t="n"/>
      <c r="B165" s="15" t="n"/>
      <c r="C165" s="15">
        <f>IFERROR(VLOOKUP($B165,Community_Master!$A$2:$K$100,2,FALSE),"")</f>
        <v/>
      </c>
      <c r="D165" s="15">
        <f>IFERROR(VLOOKUP($B165,Community_Master!$A$2:$K$100,4,FALSE),"")</f>
        <v/>
      </c>
      <c r="E165" s="15">
        <f>IFERROR(VLOOKUP($B165,Community_Master!$A$2:$K$100,5,FALSE),"")</f>
        <v/>
      </c>
      <c r="F165" s="15">
        <f>IFERROR(VLOOKUP($B165,Community_Master!$A$2:$K$100,6,FALSE),"")</f>
        <v/>
      </c>
      <c r="G165" s="15">
        <f>IFERROR(VLOOKUP($B165,Community_Master!$A$2:$K$100,8,FALSE),"")</f>
        <v/>
      </c>
      <c r="H165" s="15">
        <f>IFERROR(VLOOKUP($B165,Community_Master!$A$2:$K$100,7,FALSE),"")</f>
        <v/>
      </c>
      <c r="I165" s="15" t="n"/>
      <c r="J165" s="15" t="n"/>
      <c r="K165" s="15" t="n"/>
      <c r="L165" s="15">
        <f>IF($H165="","",MAX($H165-$I165,0))</f>
        <v/>
      </c>
      <c r="M165" s="6">
        <f>IF($H165="","",IFERROR($I165/$H165,""))</f>
        <v/>
      </c>
      <c r="N165" s="6">
        <f>IF($H165="","",IFERROR($J165/$H165,""))</f>
        <v/>
      </c>
      <c r="O165" s="6" t="n"/>
      <c r="P165" s="7" t="n"/>
      <c r="Q165" s="7" t="n"/>
      <c r="R165" s="7" t="n"/>
      <c r="S165" s="7" t="n"/>
      <c r="T165" s="7">
        <f>IF($H165="","",IFERROR($H165*$P165,""))</f>
        <v/>
      </c>
      <c r="U165" s="7" t="n"/>
      <c r="V165" s="7" t="n"/>
      <c r="W165" s="7" t="n"/>
      <c r="X165" s="7">
        <f>IF(OR($U165="",$W165=""),"",($U165+$V165)-$W165)</f>
        <v/>
      </c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9" t="n"/>
      <c r="AJ165" s="8" t="n"/>
      <c r="AK165" s="8" t="n"/>
      <c r="AL165" s="15" t="n"/>
      <c r="AM165" s="15" t="n"/>
      <c r="AN165" s="15" t="n"/>
      <c r="AO165" s="15" t="n"/>
      <c r="AP165" s="10" t="n"/>
      <c r="AQ165" s="15">
        <f>IF($B165="","",IF(OR(ISERROR(MATCH($B165,Community_Master!$A$2:$A$100,0)),$A165="",AND($H165&lt;&gt;"",$I165&gt;$H165),AND($H165&lt;&gt;"",$J165&gt;$H165),$I165&lt;0,$J165&lt;0,$K165&lt;0,$P165&lt;0,$Q165&lt;0,$Y165&lt;0,$Z165&lt;0,$AA165&lt;0,$AB165&lt;0,$AC165&lt;0),"ERROR","OK"))</f>
        <v/>
      </c>
      <c r="AR165" s="15">
        <f>IF($B165="","",TRIM(IF(ISERROR(MATCH($B165,Community_Master!$A$2:$A$100,0)),"Invalid Community_ID; ","")&amp;IF($A165="","Missing Report_Month; ","")&amp;IF(AND($H165&lt;&gt;"",$I165&gt;$H165),"Occupied_Units greater than Total_Units; ","")&amp;IF(AND($H165&lt;&gt;"",$J165&gt;$H165),"Leased_Units greater than Total_Units; ","")&amp;IF($I165&lt;0,"Occupied_Units negative; ","")&amp;IF($J165&lt;0,"Leased_Units negative; ","")&amp;IF($P165&lt;0,"Avg_Market_Rent negative; ","")))</f>
        <v/>
      </c>
    </row>
    <row r="166" ht="15" customHeight="1">
      <c r="A166" s="5" t="n"/>
      <c r="B166" s="15" t="n"/>
      <c r="C166" s="15">
        <f>IFERROR(VLOOKUP($B166,Community_Master!$A$2:$K$100,2,FALSE),"")</f>
        <v/>
      </c>
      <c r="D166" s="15">
        <f>IFERROR(VLOOKUP($B166,Community_Master!$A$2:$K$100,4,FALSE),"")</f>
        <v/>
      </c>
      <c r="E166" s="15">
        <f>IFERROR(VLOOKUP($B166,Community_Master!$A$2:$K$100,5,FALSE),"")</f>
        <v/>
      </c>
      <c r="F166" s="15">
        <f>IFERROR(VLOOKUP($B166,Community_Master!$A$2:$K$100,6,FALSE),"")</f>
        <v/>
      </c>
      <c r="G166" s="15">
        <f>IFERROR(VLOOKUP($B166,Community_Master!$A$2:$K$100,8,FALSE),"")</f>
        <v/>
      </c>
      <c r="H166" s="15">
        <f>IFERROR(VLOOKUP($B166,Community_Master!$A$2:$K$100,7,FALSE),"")</f>
        <v/>
      </c>
      <c r="I166" s="15" t="n"/>
      <c r="J166" s="15" t="n"/>
      <c r="K166" s="15" t="n"/>
      <c r="L166" s="15">
        <f>IF($H166="","",MAX($H166-$I166,0))</f>
        <v/>
      </c>
      <c r="M166" s="6">
        <f>IF($H166="","",IFERROR($I166/$H166,""))</f>
        <v/>
      </c>
      <c r="N166" s="6">
        <f>IF($H166="","",IFERROR($J166/$H166,""))</f>
        <v/>
      </c>
      <c r="O166" s="6" t="n"/>
      <c r="P166" s="7" t="n"/>
      <c r="Q166" s="7" t="n"/>
      <c r="R166" s="7" t="n"/>
      <c r="S166" s="7" t="n"/>
      <c r="T166" s="7">
        <f>IF($H166="","",IFERROR($H166*$P166,""))</f>
        <v/>
      </c>
      <c r="U166" s="7" t="n"/>
      <c r="V166" s="7" t="n"/>
      <c r="W166" s="7" t="n"/>
      <c r="X166" s="7">
        <f>IF(OR($U166="",$W166=""),"",($U166+$V166)-$W166)</f>
        <v/>
      </c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9" t="n"/>
      <c r="AJ166" s="8" t="n"/>
      <c r="AK166" s="8" t="n"/>
      <c r="AL166" s="15" t="n"/>
      <c r="AM166" s="15" t="n"/>
      <c r="AN166" s="15" t="n"/>
      <c r="AO166" s="15" t="n"/>
      <c r="AP166" s="10" t="n"/>
      <c r="AQ166" s="15">
        <f>IF($B166="","",IF(OR(ISERROR(MATCH($B166,Community_Master!$A$2:$A$100,0)),$A166="",AND($H166&lt;&gt;"",$I166&gt;$H166),AND($H166&lt;&gt;"",$J166&gt;$H166),$I166&lt;0,$J166&lt;0,$K166&lt;0,$P166&lt;0,$Q166&lt;0,$Y166&lt;0,$Z166&lt;0,$AA166&lt;0,$AB166&lt;0,$AC166&lt;0),"ERROR","OK"))</f>
        <v/>
      </c>
      <c r="AR166" s="15">
        <f>IF($B166="","",TRIM(IF(ISERROR(MATCH($B166,Community_Master!$A$2:$A$100,0)),"Invalid Community_ID; ","")&amp;IF($A166="","Missing Report_Month; ","")&amp;IF(AND($H166&lt;&gt;"",$I166&gt;$H166),"Occupied_Units greater than Total_Units; ","")&amp;IF(AND($H166&lt;&gt;"",$J166&gt;$H166),"Leased_Units greater than Total_Units; ","")&amp;IF($I166&lt;0,"Occupied_Units negative; ","")&amp;IF($J166&lt;0,"Leased_Units negative; ","")&amp;IF($P166&lt;0,"Avg_Market_Rent negative; ","")))</f>
        <v/>
      </c>
    </row>
    <row r="167" ht="15" customHeight="1">
      <c r="A167" s="5" t="n"/>
      <c r="B167" s="15" t="n"/>
      <c r="C167" s="15">
        <f>IFERROR(VLOOKUP($B167,Community_Master!$A$2:$K$100,2,FALSE),"")</f>
        <v/>
      </c>
      <c r="D167" s="15">
        <f>IFERROR(VLOOKUP($B167,Community_Master!$A$2:$K$100,4,FALSE),"")</f>
        <v/>
      </c>
      <c r="E167" s="15">
        <f>IFERROR(VLOOKUP($B167,Community_Master!$A$2:$K$100,5,FALSE),"")</f>
        <v/>
      </c>
      <c r="F167" s="15">
        <f>IFERROR(VLOOKUP($B167,Community_Master!$A$2:$K$100,6,FALSE),"")</f>
        <v/>
      </c>
      <c r="G167" s="15">
        <f>IFERROR(VLOOKUP($B167,Community_Master!$A$2:$K$100,8,FALSE),"")</f>
        <v/>
      </c>
      <c r="H167" s="15">
        <f>IFERROR(VLOOKUP($B167,Community_Master!$A$2:$K$100,7,FALSE),"")</f>
        <v/>
      </c>
      <c r="I167" s="15" t="n"/>
      <c r="J167" s="15" t="n"/>
      <c r="K167" s="15" t="n"/>
      <c r="L167" s="15">
        <f>IF($H167="","",MAX($H167-$I167,0))</f>
        <v/>
      </c>
      <c r="M167" s="6">
        <f>IF($H167="","",IFERROR($I167/$H167,""))</f>
        <v/>
      </c>
      <c r="N167" s="6">
        <f>IF($H167="","",IFERROR($J167/$H167,""))</f>
        <v/>
      </c>
      <c r="O167" s="6" t="n"/>
      <c r="P167" s="7" t="n"/>
      <c r="Q167" s="7" t="n"/>
      <c r="R167" s="7" t="n"/>
      <c r="S167" s="7" t="n"/>
      <c r="T167" s="7">
        <f>IF($H167="","",IFERROR($H167*$P167,""))</f>
        <v/>
      </c>
      <c r="U167" s="7" t="n"/>
      <c r="V167" s="7" t="n"/>
      <c r="W167" s="7" t="n"/>
      <c r="X167" s="7">
        <f>IF(OR($U167="",$W167=""),"",($U167+$V167)-$W167)</f>
        <v/>
      </c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9" t="n"/>
      <c r="AJ167" s="8" t="n"/>
      <c r="AK167" s="8" t="n"/>
      <c r="AL167" s="15" t="n"/>
      <c r="AM167" s="15" t="n"/>
      <c r="AN167" s="15" t="n"/>
      <c r="AO167" s="15" t="n"/>
      <c r="AP167" s="10" t="n"/>
      <c r="AQ167" s="15">
        <f>IF($B167="","",IF(OR(ISERROR(MATCH($B167,Community_Master!$A$2:$A$100,0)),$A167="",AND($H167&lt;&gt;"",$I167&gt;$H167),AND($H167&lt;&gt;"",$J167&gt;$H167),$I167&lt;0,$J167&lt;0,$K167&lt;0,$P167&lt;0,$Q167&lt;0,$Y167&lt;0,$Z167&lt;0,$AA167&lt;0,$AB167&lt;0,$AC167&lt;0),"ERROR","OK"))</f>
        <v/>
      </c>
      <c r="AR167" s="15">
        <f>IF($B167="","",TRIM(IF(ISERROR(MATCH($B167,Community_Master!$A$2:$A$100,0)),"Invalid Community_ID; ","")&amp;IF($A167="","Missing Report_Month; ","")&amp;IF(AND($H167&lt;&gt;"",$I167&gt;$H167),"Occupied_Units greater than Total_Units; ","")&amp;IF(AND($H167&lt;&gt;"",$J167&gt;$H167),"Leased_Units greater than Total_Units; ","")&amp;IF($I167&lt;0,"Occupied_Units negative; ","")&amp;IF($J167&lt;0,"Leased_Units negative; ","")&amp;IF($P167&lt;0,"Avg_Market_Rent negative; ","")))</f>
        <v/>
      </c>
    </row>
    <row r="168" ht="15" customHeight="1">
      <c r="A168" s="5" t="n"/>
      <c r="B168" s="15" t="n"/>
      <c r="C168" s="15">
        <f>IFERROR(VLOOKUP($B168,Community_Master!$A$2:$K$100,2,FALSE),"")</f>
        <v/>
      </c>
      <c r="D168" s="15">
        <f>IFERROR(VLOOKUP($B168,Community_Master!$A$2:$K$100,4,FALSE),"")</f>
        <v/>
      </c>
      <c r="E168" s="15">
        <f>IFERROR(VLOOKUP($B168,Community_Master!$A$2:$K$100,5,FALSE),"")</f>
        <v/>
      </c>
      <c r="F168" s="15">
        <f>IFERROR(VLOOKUP($B168,Community_Master!$A$2:$K$100,6,FALSE),"")</f>
        <v/>
      </c>
      <c r="G168" s="15">
        <f>IFERROR(VLOOKUP($B168,Community_Master!$A$2:$K$100,8,FALSE),"")</f>
        <v/>
      </c>
      <c r="H168" s="15">
        <f>IFERROR(VLOOKUP($B168,Community_Master!$A$2:$K$100,7,FALSE),"")</f>
        <v/>
      </c>
      <c r="I168" s="15" t="n"/>
      <c r="J168" s="15" t="n"/>
      <c r="K168" s="15" t="n"/>
      <c r="L168" s="15">
        <f>IF($H168="","",MAX($H168-$I168,0))</f>
        <v/>
      </c>
      <c r="M168" s="6">
        <f>IF($H168="","",IFERROR($I168/$H168,""))</f>
        <v/>
      </c>
      <c r="N168" s="6">
        <f>IF($H168="","",IFERROR($J168/$H168,""))</f>
        <v/>
      </c>
      <c r="O168" s="6" t="n"/>
      <c r="P168" s="7" t="n"/>
      <c r="Q168" s="7" t="n"/>
      <c r="R168" s="7" t="n"/>
      <c r="S168" s="7" t="n"/>
      <c r="T168" s="7">
        <f>IF($H168="","",IFERROR($H168*$P168,""))</f>
        <v/>
      </c>
      <c r="U168" s="7" t="n"/>
      <c r="V168" s="7" t="n"/>
      <c r="W168" s="7" t="n"/>
      <c r="X168" s="7">
        <f>IF(OR($U168="",$W168=""),"",($U168+$V168)-$W168)</f>
        <v/>
      </c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9" t="n"/>
      <c r="AJ168" s="8" t="n"/>
      <c r="AK168" s="8" t="n"/>
      <c r="AL168" s="15" t="n"/>
      <c r="AM168" s="15" t="n"/>
      <c r="AN168" s="15" t="n"/>
      <c r="AO168" s="15" t="n"/>
      <c r="AP168" s="10" t="n"/>
      <c r="AQ168" s="15">
        <f>IF($B168="","",IF(OR(ISERROR(MATCH($B168,Community_Master!$A$2:$A$100,0)),$A168="",AND($H168&lt;&gt;"",$I168&gt;$H168),AND($H168&lt;&gt;"",$J168&gt;$H168),$I168&lt;0,$J168&lt;0,$K168&lt;0,$P168&lt;0,$Q168&lt;0,$Y168&lt;0,$Z168&lt;0,$AA168&lt;0,$AB168&lt;0,$AC168&lt;0),"ERROR","OK"))</f>
        <v/>
      </c>
      <c r="AR168" s="15">
        <f>IF($B168="","",TRIM(IF(ISERROR(MATCH($B168,Community_Master!$A$2:$A$100,0)),"Invalid Community_ID; ","")&amp;IF($A168="","Missing Report_Month; ","")&amp;IF(AND($H168&lt;&gt;"",$I168&gt;$H168),"Occupied_Units greater than Total_Units; ","")&amp;IF(AND($H168&lt;&gt;"",$J168&gt;$H168),"Leased_Units greater than Total_Units; ","")&amp;IF($I168&lt;0,"Occupied_Units negative; ","")&amp;IF($J168&lt;0,"Leased_Units negative; ","")&amp;IF($P168&lt;0,"Avg_Market_Rent negative; ","")))</f>
        <v/>
      </c>
    </row>
    <row r="169" ht="15" customHeight="1">
      <c r="A169" s="5" t="n"/>
      <c r="B169" s="15" t="n"/>
      <c r="C169" s="15">
        <f>IFERROR(VLOOKUP($B169,Community_Master!$A$2:$K$100,2,FALSE),"")</f>
        <v/>
      </c>
      <c r="D169" s="15">
        <f>IFERROR(VLOOKUP($B169,Community_Master!$A$2:$K$100,4,FALSE),"")</f>
        <v/>
      </c>
      <c r="E169" s="15">
        <f>IFERROR(VLOOKUP($B169,Community_Master!$A$2:$K$100,5,FALSE),"")</f>
        <v/>
      </c>
      <c r="F169" s="15">
        <f>IFERROR(VLOOKUP($B169,Community_Master!$A$2:$K$100,6,FALSE),"")</f>
        <v/>
      </c>
      <c r="G169" s="15">
        <f>IFERROR(VLOOKUP($B169,Community_Master!$A$2:$K$100,8,FALSE),"")</f>
        <v/>
      </c>
      <c r="H169" s="15">
        <f>IFERROR(VLOOKUP($B169,Community_Master!$A$2:$K$100,7,FALSE),"")</f>
        <v/>
      </c>
      <c r="I169" s="15" t="n"/>
      <c r="J169" s="15" t="n"/>
      <c r="K169" s="15" t="n"/>
      <c r="L169" s="15">
        <f>IF($H169="","",MAX($H169-$I169,0))</f>
        <v/>
      </c>
      <c r="M169" s="6">
        <f>IF($H169="","",IFERROR($I169/$H169,""))</f>
        <v/>
      </c>
      <c r="N169" s="6">
        <f>IF($H169="","",IFERROR($J169/$H169,""))</f>
        <v/>
      </c>
      <c r="O169" s="6" t="n"/>
      <c r="P169" s="7" t="n"/>
      <c r="Q169" s="7" t="n"/>
      <c r="R169" s="7" t="n"/>
      <c r="S169" s="7" t="n"/>
      <c r="T169" s="7">
        <f>IF($H169="","",IFERROR($H169*$P169,""))</f>
        <v/>
      </c>
      <c r="U169" s="7" t="n"/>
      <c r="V169" s="7" t="n"/>
      <c r="W169" s="7" t="n"/>
      <c r="X169" s="7">
        <f>IF(OR($U169="",$W169=""),"",($U169+$V169)-$W169)</f>
        <v/>
      </c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9" t="n"/>
      <c r="AJ169" s="8" t="n"/>
      <c r="AK169" s="8" t="n"/>
      <c r="AL169" s="15" t="n"/>
      <c r="AM169" s="15" t="n"/>
      <c r="AN169" s="15" t="n"/>
      <c r="AO169" s="15" t="n"/>
      <c r="AP169" s="10" t="n"/>
      <c r="AQ169" s="15">
        <f>IF($B169="","",IF(OR(ISERROR(MATCH($B169,Community_Master!$A$2:$A$100,0)),$A169="",AND($H169&lt;&gt;"",$I169&gt;$H169),AND($H169&lt;&gt;"",$J169&gt;$H169),$I169&lt;0,$J169&lt;0,$K169&lt;0,$P169&lt;0,$Q169&lt;0,$Y169&lt;0,$Z169&lt;0,$AA169&lt;0,$AB169&lt;0,$AC169&lt;0),"ERROR","OK"))</f>
        <v/>
      </c>
      <c r="AR169" s="15">
        <f>IF($B169="","",TRIM(IF(ISERROR(MATCH($B169,Community_Master!$A$2:$A$100,0)),"Invalid Community_ID; ","")&amp;IF($A169="","Missing Report_Month; ","")&amp;IF(AND($H169&lt;&gt;"",$I169&gt;$H169),"Occupied_Units greater than Total_Units; ","")&amp;IF(AND($H169&lt;&gt;"",$J169&gt;$H169),"Leased_Units greater than Total_Units; ","")&amp;IF($I169&lt;0,"Occupied_Units negative; ","")&amp;IF($J169&lt;0,"Leased_Units negative; ","")&amp;IF($P169&lt;0,"Avg_Market_Rent negative; ","")))</f>
        <v/>
      </c>
    </row>
    <row r="170" ht="15" customHeight="1">
      <c r="A170" s="5" t="n"/>
      <c r="B170" s="15" t="n"/>
      <c r="C170" s="15">
        <f>IFERROR(VLOOKUP($B170,Community_Master!$A$2:$K$100,2,FALSE),"")</f>
        <v/>
      </c>
      <c r="D170" s="15">
        <f>IFERROR(VLOOKUP($B170,Community_Master!$A$2:$K$100,4,FALSE),"")</f>
        <v/>
      </c>
      <c r="E170" s="15">
        <f>IFERROR(VLOOKUP($B170,Community_Master!$A$2:$K$100,5,FALSE),"")</f>
        <v/>
      </c>
      <c r="F170" s="15">
        <f>IFERROR(VLOOKUP($B170,Community_Master!$A$2:$K$100,6,FALSE),"")</f>
        <v/>
      </c>
      <c r="G170" s="15">
        <f>IFERROR(VLOOKUP($B170,Community_Master!$A$2:$K$100,8,FALSE),"")</f>
        <v/>
      </c>
      <c r="H170" s="15">
        <f>IFERROR(VLOOKUP($B170,Community_Master!$A$2:$K$100,7,FALSE),"")</f>
        <v/>
      </c>
      <c r="I170" s="15" t="n"/>
      <c r="J170" s="15" t="n"/>
      <c r="K170" s="15" t="n"/>
      <c r="L170" s="15">
        <f>IF($H170="","",MAX($H170-$I170,0))</f>
        <v/>
      </c>
      <c r="M170" s="6">
        <f>IF($H170="","",IFERROR($I170/$H170,""))</f>
        <v/>
      </c>
      <c r="N170" s="6">
        <f>IF($H170="","",IFERROR($J170/$H170,""))</f>
        <v/>
      </c>
      <c r="O170" s="6" t="n"/>
      <c r="P170" s="7" t="n"/>
      <c r="Q170" s="7" t="n"/>
      <c r="R170" s="7" t="n"/>
      <c r="S170" s="7" t="n"/>
      <c r="T170" s="7">
        <f>IF($H170="","",IFERROR($H170*$P170,""))</f>
        <v/>
      </c>
      <c r="U170" s="7" t="n"/>
      <c r="V170" s="7" t="n"/>
      <c r="W170" s="7" t="n"/>
      <c r="X170" s="7">
        <f>IF(OR($U170="",$W170=""),"",($U170+$V170)-$W170)</f>
        <v/>
      </c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9" t="n"/>
      <c r="AJ170" s="8" t="n"/>
      <c r="AK170" s="8" t="n"/>
      <c r="AL170" s="15" t="n"/>
      <c r="AM170" s="15" t="n"/>
      <c r="AN170" s="15" t="n"/>
      <c r="AO170" s="15" t="n"/>
      <c r="AP170" s="10" t="n"/>
      <c r="AQ170" s="15">
        <f>IF($B170="","",IF(OR(ISERROR(MATCH($B170,Community_Master!$A$2:$A$100,0)),$A170="",AND($H170&lt;&gt;"",$I170&gt;$H170),AND($H170&lt;&gt;"",$J170&gt;$H170),$I170&lt;0,$J170&lt;0,$K170&lt;0,$P170&lt;0,$Q170&lt;0,$Y170&lt;0,$Z170&lt;0,$AA170&lt;0,$AB170&lt;0,$AC170&lt;0),"ERROR","OK"))</f>
        <v/>
      </c>
      <c r="AR170" s="15">
        <f>IF($B170="","",TRIM(IF(ISERROR(MATCH($B170,Community_Master!$A$2:$A$100,0)),"Invalid Community_ID; ","")&amp;IF($A170="","Missing Report_Month; ","")&amp;IF(AND($H170&lt;&gt;"",$I170&gt;$H170),"Occupied_Units greater than Total_Units; ","")&amp;IF(AND($H170&lt;&gt;"",$J170&gt;$H170),"Leased_Units greater than Total_Units; ","")&amp;IF($I170&lt;0,"Occupied_Units negative; ","")&amp;IF($J170&lt;0,"Leased_Units negative; ","")&amp;IF($P170&lt;0,"Avg_Market_Rent negative; ","")))</f>
        <v/>
      </c>
    </row>
    <row r="171" ht="15" customHeight="1">
      <c r="A171" s="5" t="n"/>
      <c r="B171" s="15" t="n"/>
      <c r="C171" s="15">
        <f>IFERROR(VLOOKUP($B171,Community_Master!$A$2:$K$100,2,FALSE),"")</f>
        <v/>
      </c>
      <c r="D171" s="15">
        <f>IFERROR(VLOOKUP($B171,Community_Master!$A$2:$K$100,4,FALSE),"")</f>
        <v/>
      </c>
      <c r="E171" s="15">
        <f>IFERROR(VLOOKUP($B171,Community_Master!$A$2:$K$100,5,FALSE),"")</f>
        <v/>
      </c>
      <c r="F171" s="15">
        <f>IFERROR(VLOOKUP($B171,Community_Master!$A$2:$K$100,6,FALSE),"")</f>
        <v/>
      </c>
      <c r="G171" s="15">
        <f>IFERROR(VLOOKUP($B171,Community_Master!$A$2:$K$100,8,FALSE),"")</f>
        <v/>
      </c>
      <c r="H171" s="15">
        <f>IFERROR(VLOOKUP($B171,Community_Master!$A$2:$K$100,7,FALSE),"")</f>
        <v/>
      </c>
      <c r="I171" s="15" t="n"/>
      <c r="J171" s="15" t="n"/>
      <c r="K171" s="15" t="n"/>
      <c r="L171" s="15">
        <f>IF($H171="","",MAX($H171-$I171,0))</f>
        <v/>
      </c>
      <c r="M171" s="6">
        <f>IF($H171="","",IFERROR($I171/$H171,""))</f>
        <v/>
      </c>
      <c r="N171" s="6">
        <f>IF($H171="","",IFERROR($J171/$H171,""))</f>
        <v/>
      </c>
      <c r="O171" s="6" t="n"/>
      <c r="P171" s="7" t="n"/>
      <c r="Q171" s="7" t="n"/>
      <c r="R171" s="7" t="n"/>
      <c r="S171" s="7" t="n"/>
      <c r="T171" s="7">
        <f>IF($H171="","",IFERROR($H171*$P171,""))</f>
        <v/>
      </c>
      <c r="U171" s="7" t="n"/>
      <c r="V171" s="7" t="n"/>
      <c r="W171" s="7" t="n"/>
      <c r="X171" s="7">
        <f>IF(OR($U171="",$W171=""),"",($U171+$V171)-$W171)</f>
        <v/>
      </c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9" t="n"/>
      <c r="AJ171" s="8" t="n"/>
      <c r="AK171" s="8" t="n"/>
      <c r="AL171" s="15" t="n"/>
      <c r="AM171" s="15" t="n"/>
      <c r="AN171" s="15" t="n"/>
      <c r="AO171" s="15" t="n"/>
      <c r="AP171" s="10" t="n"/>
      <c r="AQ171" s="15">
        <f>IF($B171="","",IF(OR(ISERROR(MATCH($B171,Community_Master!$A$2:$A$100,0)),$A171="",AND($H171&lt;&gt;"",$I171&gt;$H171),AND($H171&lt;&gt;"",$J171&gt;$H171),$I171&lt;0,$J171&lt;0,$K171&lt;0,$P171&lt;0,$Q171&lt;0,$Y171&lt;0,$Z171&lt;0,$AA171&lt;0,$AB171&lt;0,$AC171&lt;0),"ERROR","OK"))</f>
        <v/>
      </c>
      <c r="AR171" s="15">
        <f>IF($B171="","",TRIM(IF(ISERROR(MATCH($B171,Community_Master!$A$2:$A$100,0)),"Invalid Community_ID; ","")&amp;IF($A171="","Missing Report_Month; ","")&amp;IF(AND($H171&lt;&gt;"",$I171&gt;$H171),"Occupied_Units greater than Total_Units; ","")&amp;IF(AND($H171&lt;&gt;"",$J171&gt;$H171),"Leased_Units greater than Total_Units; ","")&amp;IF($I171&lt;0,"Occupied_Units negative; ","")&amp;IF($J171&lt;0,"Leased_Units negative; ","")&amp;IF($P171&lt;0,"Avg_Market_Rent negative; ","")))</f>
        <v/>
      </c>
    </row>
    <row r="172" ht="15" customHeight="1">
      <c r="A172" s="5" t="n"/>
      <c r="B172" s="15" t="n"/>
      <c r="C172" s="15">
        <f>IFERROR(VLOOKUP($B172,Community_Master!$A$2:$K$100,2,FALSE),"")</f>
        <v/>
      </c>
      <c r="D172" s="15">
        <f>IFERROR(VLOOKUP($B172,Community_Master!$A$2:$K$100,4,FALSE),"")</f>
        <v/>
      </c>
      <c r="E172" s="15">
        <f>IFERROR(VLOOKUP($B172,Community_Master!$A$2:$K$100,5,FALSE),"")</f>
        <v/>
      </c>
      <c r="F172" s="15">
        <f>IFERROR(VLOOKUP($B172,Community_Master!$A$2:$K$100,6,FALSE),"")</f>
        <v/>
      </c>
      <c r="G172" s="15">
        <f>IFERROR(VLOOKUP($B172,Community_Master!$A$2:$K$100,8,FALSE),"")</f>
        <v/>
      </c>
      <c r="H172" s="15">
        <f>IFERROR(VLOOKUP($B172,Community_Master!$A$2:$K$100,7,FALSE),"")</f>
        <v/>
      </c>
      <c r="I172" s="15" t="n"/>
      <c r="J172" s="15" t="n"/>
      <c r="K172" s="15" t="n"/>
      <c r="L172" s="15">
        <f>IF($H172="","",MAX($H172-$I172,0))</f>
        <v/>
      </c>
      <c r="M172" s="6">
        <f>IF($H172="","",IFERROR($I172/$H172,""))</f>
        <v/>
      </c>
      <c r="N172" s="6">
        <f>IF($H172="","",IFERROR($J172/$H172,""))</f>
        <v/>
      </c>
      <c r="O172" s="6" t="n"/>
      <c r="P172" s="7" t="n"/>
      <c r="Q172" s="7" t="n"/>
      <c r="R172" s="7" t="n"/>
      <c r="S172" s="7" t="n"/>
      <c r="T172" s="7">
        <f>IF($H172="","",IFERROR($H172*$P172,""))</f>
        <v/>
      </c>
      <c r="U172" s="7" t="n"/>
      <c r="V172" s="7" t="n"/>
      <c r="W172" s="7" t="n"/>
      <c r="X172" s="7">
        <f>IF(OR($U172="",$W172=""),"",($U172+$V172)-$W172)</f>
        <v/>
      </c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9" t="n"/>
      <c r="AJ172" s="8" t="n"/>
      <c r="AK172" s="8" t="n"/>
      <c r="AL172" s="15" t="n"/>
      <c r="AM172" s="15" t="n"/>
      <c r="AN172" s="15" t="n"/>
      <c r="AO172" s="15" t="n"/>
      <c r="AP172" s="10" t="n"/>
      <c r="AQ172" s="15">
        <f>IF($B172="","",IF(OR(ISERROR(MATCH($B172,Community_Master!$A$2:$A$100,0)),$A172="",AND($H172&lt;&gt;"",$I172&gt;$H172),AND($H172&lt;&gt;"",$J172&gt;$H172),$I172&lt;0,$J172&lt;0,$K172&lt;0,$P172&lt;0,$Q172&lt;0,$Y172&lt;0,$Z172&lt;0,$AA172&lt;0,$AB172&lt;0,$AC172&lt;0),"ERROR","OK"))</f>
        <v/>
      </c>
      <c r="AR172" s="15">
        <f>IF($B172="","",TRIM(IF(ISERROR(MATCH($B172,Community_Master!$A$2:$A$100,0)),"Invalid Community_ID; ","")&amp;IF($A172="","Missing Report_Month; ","")&amp;IF(AND($H172&lt;&gt;"",$I172&gt;$H172),"Occupied_Units greater than Total_Units; ","")&amp;IF(AND($H172&lt;&gt;"",$J172&gt;$H172),"Leased_Units greater than Total_Units; ","")&amp;IF($I172&lt;0,"Occupied_Units negative; ","")&amp;IF($J172&lt;0,"Leased_Units negative; ","")&amp;IF($P172&lt;0,"Avg_Market_Rent negative; ","")))</f>
        <v/>
      </c>
    </row>
    <row r="173" ht="15" customHeight="1">
      <c r="A173" s="5" t="n"/>
      <c r="B173" s="15" t="n"/>
      <c r="C173" s="15">
        <f>IFERROR(VLOOKUP($B173,Community_Master!$A$2:$K$100,2,FALSE),"")</f>
        <v/>
      </c>
      <c r="D173" s="15">
        <f>IFERROR(VLOOKUP($B173,Community_Master!$A$2:$K$100,4,FALSE),"")</f>
        <v/>
      </c>
      <c r="E173" s="15">
        <f>IFERROR(VLOOKUP($B173,Community_Master!$A$2:$K$100,5,FALSE),"")</f>
        <v/>
      </c>
      <c r="F173" s="15">
        <f>IFERROR(VLOOKUP($B173,Community_Master!$A$2:$K$100,6,FALSE),"")</f>
        <v/>
      </c>
      <c r="G173" s="15">
        <f>IFERROR(VLOOKUP($B173,Community_Master!$A$2:$K$100,8,FALSE),"")</f>
        <v/>
      </c>
      <c r="H173" s="15">
        <f>IFERROR(VLOOKUP($B173,Community_Master!$A$2:$K$100,7,FALSE),"")</f>
        <v/>
      </c>
      <c r="I173" s="15" t="n"/>
      <c r="J173" s="15" t="n"/>
      <c r="K173" s="15" t="n"/>
      <c r="L173" s="15">
        <f>IF($H173="","",MAX($H173-$I173,0))</f>
        <v/>
      </c>
      <c r="M173" s="6">
        <f>IF($H173="","",IFERROR($I173/$H173,""))</f>
        <v/>
      </c>
      <c r="N173" s="6">
        <f>IF($H173="","",IFERROR($J173/$H173,""))</f>
        <v/>
      </c>
      <c r="O173" s="6" t="n"/>
      <c r="P173" s="7" t="n"/>
      <c r="Q173" s="7" t="n"/>
      <c r="R173" s="7" t="n"/>
      <c r="S173" s="7" t="n"/>
      <c r="T173" s="7">
        <f>IF($H173="","",IFERROR($H173*$P173,""))</f>
        <v/>
      </c>
      <c r="U173" s="7" t="n"/>
      <c r="V173" s="7" t="n"/>
      <c r="W173" s="7" t="n"/>
      <c r="X173" s="7">
        <f>IF(OR($U173="",$W173=""),"",($U173+$V173)-$W173)</f>
        <v/>
      </c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9" t="n"/>
      <c r="AJ173" s="8" t="n"/>
      <c r="AK173" s="8" t="n"/>
      <c r="AL173" s="15" t="n"/>
      <c r="AM173" s="15" t="n"/>
      <c r="AN173" s="15" t="n"/>
      <c r="AO173" s="15" t="n"/>
      <c r="AP173" s="10" t="n"/>
      <c r="AQ173" s="15">
        <f>IF($B173="","",IF(OR(ISERROR(MATCH($B173,Community_Master!$A$2:$A$100,0)),$A173="",AND($H173&lt;&gt;"",$I173&gt;$H173),AND($H173&lt;&gt;"",$J173&gt;$H173),$I173&lt;0,$J173&lt;0,$K173&lt;0,$P173&lt;0,$Q173&lt;0,$Y173&lt;0,$Z173&lt;0,$AA173&lt;0,$AB173&lt;0,$AC173&lt;0),"ERROR","OK"))</f>
        <v/>
      </c>
      <c r="AR173" s="15">
        <f>IF($B173="","",TRIM(IF(ISERROR(MATCH($B173,Community_Master!$A$2:$A$100,0)),"Invalid Community_ID; ","")&amp;IF($A173="","Missing Report_Month; ","")&amp;IF(AND($H173&lt;&gt;"",$I173&gt;$H173),"Occupied_Units greater than Total_Units; ","")&amp;IF(AND($H173&lt;&gt;"",$J173&gt;$H173),"Leased_Units greater than Total_Units; ","")&amp;IF($I173&lt;0,"Occupied_Units negative; ","")&amp;IF($J173&lt;0,"Leased_Units negative; ","")&amp;IF($P173&lt;0,"Avg_Market_Rent negative; ","")))</f>
        <v/>
      </c>
    </row>
    <row r="174" ht="15" customHeight="1">
      <c r="A174" s="5" t="n"/>
      <c r="B174" s="15" t="n"/>
      <c r="C174" s="15">
        <f>IFERROR(VLOOKUP($B174,Community_Master!$A$2:$K$100,2,FALSE),"")</f>
        <v/>
      </c>
      <c r="D174" s="15">
        <f>IFERROR(VLOOKUP($B174,Community_Master!$A$2:$K$100,4,FALSE),"")</f>
        <v/>
      </c>
      <c r="E174" s="15">
        <f>IFERROR(VLOOKUP($B174,Community_Master!$A$2:$K$100,5,FALSE),"")</f>
        <v/>
      </c>
      <c r="F174" s="15">
        <f>IFERROR(VLOOKUP($B174,Community_Master!$A$2:$K$100,6,FALSE),"")</f>
        <v/>
      </c>
      <c r="G174" s="15">
        <f>IFERROR(VLOOKUP($B174,Community_Master!$A$2:$K$100,8,FALSE),"")</f>
        <v/>
      </c>
      <c r="H174" s="15">
        <f>IFERROR(VLOOKUP($B174,Community_Master!$A$2:$K$100,7,FALSE),"")</f>
        <v/>
      </c>
      <c r="I174" s="15" t="n"/>
      <c r="J174" s="15" t="n"/>
      <c r="K174" s="15" t="n"/>
      <c r="L174" s="15">
        <f>IF($H174="","",MAX($H174-$I174,0))</f>
        <v/>
      </c>
      <c r="M174" s="6">
        <f>IF($H174="","",IFERROR($I174/$H174,""))</f>
        <v/>
      </c>
      <c r="N174" s="6">
        <f>IF($H174="","",IFERROR($J174/$H174,""))</f>
        <v/>
      </c>
      <c r="O174" s="6" t="n"/>
      <c r="P174" s="7" t="n"/>
      <c r="Q174" s="7" t="n"/>
      <c r="R174" s="7" t="n"/>
      <c r="S174" s="7" t="n"/>
      <c r="T174" s="7">
        <f>IF($H174="","",IFERROR($H174*$P174,""))</f>
        <v/>
      </c>
      <c r="U174" s="7" t="n"/>
      <c r="V174" s="7" t="n"/>
      <c r="W174" s="7" t="n"/>
      <c r="X174" s="7">
        <f>IF(OR($U174="",$W174=""),"",($U174+$V174)-$W174)</f>
        <v/>
      </c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9" t="n"/>
      <c r="AJ174" s="8" t="n"/>
      <c r="AK174" s="8" t="n"/>
      <c r="AL174" s="15" t="n"/>
      <c r="AM174" s="15" t="n"/>
      <c r="AN174" s="15" t="n"/>
      <c r="AO174" s="15" t="n"/>
      <c r="AP174" s="10" t="n"/>
      <c r="AQ174" s="15">
        <f>IF($B174="","",IF(OR(ISERROR(MATCH($B174,Community_Master!$A$2:$A$100,0)),$A174="",AND($H174&lt;&gt;"",$I174&gt;$H174),AND($H174&lt;&gt;"",$J174&gt;$H174),$I174&lt;0,$J174&lt;0,$K174&lt;0,$P174&lt;0,$Q174&lt;0,$Y174&lt;0,$Z174&lt;0,$AA174&lt;0,$AB174&lt;0,$AC174&lt;0),"ERROR","OK"))</f>
        <v/>
      </c>
      <c r="AR174" s="15">
        <f>IF($B174="","",TRIM(IF(ISERROR(MATCH($B174,Community_Master!$A$2:$A$100,0)),"Invalid Community_ID; ","")&amp;IF($A174="","Missing Report_Month; ","")&amp;IF(AND($H174&lt;&gt;"",$I174&gt;$H174),"Occupied_Units greater than Total_Units; ","")&amp;IF(AND($H174&lt;&gt;"",$J174&gt;$H174),"Leased_Units greater than Total_Units; ","")&amp;IF($I174&lt;0,"Occupied_Units negative; ","")&amp;IF($J174&lt;0,"Leased_Units negative; ","")&amp;IF($P174&lt;0,"Avg_Market_Rent negative; ","")))</f>
        <v/>
      </c>
    </row>
    <row r="175" ht="15" customHeight="1">
      <c r="A175" s="5" t="n"/>
      <c r="B175" s="15" t="n"/>
      <c r="C175" s="15">
        <f>IFERROR(VLOOKUP($B175,Community_Master!$A$2:$K$100,2,FALSE),"")</f>
        <v/>
      </c>
      <c r="D175" s="15">
        <f>IFERROR(VLOOKUP($B175,Community_Master!$A$2:$K$100,4,FALSE),"")</f>
        <v/>
      </c>
      <c r="E175" s="15">
        <f>IFERROR(VLOOKUP($B175,Community_Master!$A$2:$K$100,5,FALSE),"")</f>
        <v/>
      </c>
      <c r="F175" s="15">
        <f>IFERROR(VLOOKUP($B175,Community_Master!$A$2:$K$100,6,FALSE),"")</f>
        <v/>
      </c>
      <c r="G175" s="15">
        <f>IFERROR(VLOOKUP($B175,Community_Master!$A$2:$K$100,8,FALSE),"")</f>
        <v/>
      </c>
      <c r="H175" s="15">
        <f>IFERROR(VLOOKUP($B175,Community_Master!$A$2:$K$100,7,FALSE),"")</f>
        <v/>
      </c>
      <c r="I175" s="15" t="n"/>
      <c r="J175" s="15" t="n"/>
      <c r="K175" s="15" t="n"/>
      <c r="L175" s="15">
        <f>IF($H175="","",MAX($H175-$I175,0))</f>
        <v/>
      </c>
      <c r="M175" s="6">
        <f>IF($H175="","",IFERROR($I175/$H175,""))</f>
        <v/>
      </c>
      <c r="N175" s="6">
        <f>IF($H175="","",IFERROR($J175/$H175,""))</f>
        <v/>
      </c>
      <c r="O175" s="6" t="n"/>
      <c r="P175" s="7" t="n"/>
      <c r="Q175" s="7" t="n"/>
      <c r="R175" s="7" t="n"/>
      <c r="S175" s="7" t="n"/>
      <c r="T175" s="7">
        <f>IF($H175="","",IFERROR($H175*$P175,""))</f>
        <v/>
      </c>
      <c r="U175" s="7" t="n"/>
      <c r="V175" s="7" t="n"/>
      <c r="W175" s="7" t="n"/>
      <c r="X175" s="7">
        <f>IF(OR($U175="",$W175=""),"",($U175+$V175)-$W175)</f>
        <v/>
      </c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9" t="n"/>
      <c r="AJ175" s="8" t="n"/>
      <c r="AK175" s="8" t="n"/>
      <c r="AL175" s="15" t="n"/>
      <c r="AM175" s="15" t="n"/>
      <c r="AN175" s="15" t="n"/>
      <c r="AO175" s="15" t="n"/>
      <c r="AP175" s="10" t="n"/>
      <c r="AQ175" s="15">
        <f>IF($B175="","",IF(OR(ISERROR(MATCH($B175,Community_Master!$A$2:$A$100,0)),$A175="",AND($H175&lt;&gt;"",$I175&gt;$H175),AND($H175&lt;&gt;"",$J175&gt;$H175),$I175&lt;0,$J175&lt;0,$K175&lt;0,$P175&lt;0,$Q175&lt;0,$Y175&lt;0,$Z175&lt;0,$AA175&lt;0,$AB175&lt;0,$AC175&lt;0),"ERROR","OK"))</f>
        <v/>
      </c>
      <c r="AR175" s="15">
        <f>IF($B175="","",TRIM(IF(ISERROR(MATCH($B175,Community_Master!$A$2:$A$100,0)),"Invalid Community_ID; ","")&amp;IF($A175="","Missing Report_Month; ","")&amp;IF(AND($H175&lt;&gt;"",$I175&gt;$H175),"Occupied_Units greater than Total_Units; ","")&amp;IF(AND($H175&lt;&gt;"",$J175&gt;$H175),"Leased_Units greater than Total_Units; ","")&amp;IF($I175&lt;0,"Occupied_Units negative; ","")&amp;IF($J175&lt;0,"Leased_Units negative; ","")&amp;IF($P175&lt;0,"Avg_Market_Rent negative; ","")))</f>
        <v/>
      </c>
    </row>
    <row r="176" ht="15" customHeight="1">
      <c r="A176" s="5" t="n"/>
      <c r="B176" s="15" t="n"/>
      <c r="C176" s="15">
        <f>IFERROR(VLOOKUP($B176,Community_Master!$A$2:$K$100,2,FALSE),"")</f>
        <v/>
      </c>
      <c r="D176" s="15">
        <f>IFERROR(VLOOKUP($B176,Community_Master!$A$2:$K$100,4,FALSE),"")</f>
        <v/>
      </c>
      <c r="E176" s="15">
        <f>IFERROR(VLOOKUP($B176,Community_Master!$A$2:$K$100,5,FALSE),"")</f>
        <v/>
      </c>
      <c r="F176" s="15">
        <f>IFERROR(VLOOKUP($B176,Community_Master!$A$2:$K$100,6,FALSE),"")</f>
        <v/>
      </c>
      <c r="G176" s="15">
        <f>IFERROR(VLOOKUP($B176,Community_Master!$A$2:$K$100,8,FALSE),"")</f>
        <v/>
      </c>
      <c r="H176" s="15">
        <f>IFERROR(VLOOKUP($B176,Community_Master!$A$2:$K$100,7,FALSE),"")</f>
        <v/>
      </c>
      <c r="I176" s="15" t="n"/>
      <c r="J176" s="15" t="n"/>
      <c r="K176" s="15" t="n"/>
      <c r="L176" s="15">
        <f>IF($H176="","",MAX($H176-$I176,0))</f>
        <v/>
      </c>
      <c r="M176" s="6">
        <f>IF($H176="","",IFERROR($I176/$H176,""))</f>
        <v/>
      </c>
      <c r="N176" s="6">
        <f>IF($H176="","",IFERROR($J176/$H176,""))</f>
        <v/>
      </c>
      <c r="O176" s="6" t="n"/>
      <c r="P176" s="7" t="n"/>
      <c r="Q176" s="7" t="n"/>
      <c r="R176" s="7" t="n"/>
      <c r="S176" s="7" t="n"/>
      <c r="T176" s="7">
        <f>IF($H176="","",IFERROR($H176*$P176,""))</f>
        <v/>
      </c>
      <c r="U176" s="7" t="n"/>
      <c r="V176" s="7" t="n"/>
      <c r="W176" s="7" t="n"/>
      <c r="X176" s="7">
        <f>IF(OR($U176="",$W176=""),"",($U176+$V176)-$W176)</f>
        <v/>
      </c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9" t="n"/>
      <c r="AJ176" s="8" t="n"/>
      <c r="AK176" s="8" t="n"/>
      <c r="AL176" s="15" t="n"/>
      <c r="AM176" s="15" t="n"/>
      <c r="AN176" s="15" t="n"/>
      <c r="AO176" s="15" t="n"/>
      <c r="AP176" s="10" t="n"/>
      <c r="AQ176" s="15">
        <f>IF($B176="","",IF(OR(ISERROR(MATCH($B176,Community_Master!$A$2:$A$100,0)),$A176="",AND($H176&lt;&gt;"",$I176&gt;$H176),AND($H176&lt;&gt;"",$J176&gt;$H176),$I176&lt;0,$J176&lt;0,$K176&lt;0,$P176&lt;0,$Q176&lt;0,$Y176&lt;0,$Z176&lt;0,$AA176&lt;0,$AB176&lt;0,$AC176&lt;0),"ERROR","OK"))</f>
        <v/>
      </c>
      <c r="AR176" s="15">
        <f>IF($B176="","",TRIM(IF(ISERROR(MATCH($B176,Community_Master!$A$2:$A$100,0)),"Invalid Community_ID; ","")&amp;IF($A176="","Missing Report_Month; ","")&amp;IF(AND($H176&lt;&gt;"",$I176&gt;$H176),"Occupied_Units greater than Total_Units; ","")&amp;IF(AND($H176&lt;&gt;"",$J176&gt;$H176),"Leased_Units greater than Total_Units; ","")&amp;IF($I176&lt;0,"Occupied_Units negative; ","")&amp;IF($J176&lt;0,"Leased_Units negative; ","")&amp;IF($P176&lt;0,"Avg_Market_Rent negative; ","")))</f>
        <v/>
      </c>
    </row>
    <row r="177" ht="15" customHeight="1">
      <c r="A177" s="5" t="n"/>
      <c r="B177" s="15" t="n"/>
      <c r="C177" s="15">
        <f>IFERROR(VLOOKUP($B177,Community_Master!$A$2:$K$100,2,FALSE),"")</f>
        <v/>
      </c>
      <c r="D177" s="15">
        <f>IFERROR(VLOOKUP($B177,Community_Master!$A$2:$K$100,4,FALSE),"")</f>
        <v/>
      </c>
      <c r="E177" s="15">
        <f>IFERROR(VLOOKUP($B177,Community_Master!$A$2:$K$100,5,FALSE),"")</f>
        <v/>
      </c>
      <c r="F177" s="15">
        <f>IFERROR(VLOOKUP($B177,Community_Master!$A$2:$K$100,6,FALSE),"")</f>
        <v/>
      </c>
      <c r="G177" s="15">
        <f>IFERROR(VLOOKUP($B177,Community_Master!$A$2:$K$100,8,FALSE),"")</f>
        <v/>
      </c>
      <c r="H177" s="15">
        <f>IFERROR(VLOOKUP($B177,Community_Master!$A$2:$K$100,7,FALSE),"")</f>
        <v/>
      </c>
      <c r="I177" s="15" t="n"/>
      <c r="J177" s="15" t="n"/>
      <c r="K177" s="15" t="n"/>
      <c r="L177" s="15">
        <f>IF($H177="","",MAX($H177-$I177,0))</f>
        <v/>
      </c>
      <c r="M177" s="6">
        <f>IF($H177="","",IFERROR($I177/$H177,""))</f>
        <v/>
      </c>
      <c r="N177" s="6">
        <f>IF($H177="","",IFERROR($J177/$H177,""))</f>
        <v/>
      </c>
      <c r="O177" s="6" t="n"/>
      <c r="P177" s="7" t="n"/>
      <c r="Q177" s="7" t="n"/>
      <c r="R177" s="7" t="n"/>
      <c r="S177" s="7" t="n"/>
      <c r="T177" s="7">
        <f>IF($H177="","",IFERROR($H177*$P177,""))</f>
        <v/>
      </c>
      <c r="U177" s="7" t="n"/>
      <c r="V177" s="7" t="n"/>
      <c r="W177" s="7" t="n"/>
      <c r="X177" s="7">
        <f>IF(OR($U177="",$W177=""),"",($U177+$V177)-$W177)</f>
        <v/>
      </c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9" t="n"/>
      <c r="AJ177" s="8" t="n"/>
      <c r="AK177" s="8" t="n"/>
      <c r="AL177" s="15" t="n"/>
      <c r="AM177" s="15" t="n"/>
      <c r="AN177" s="15" t="n"/>
      <c r="AO177" s="15" t="n"/>
      <c r="AP177" s="10" t="n"/>
      <c r="AQ177" s="15">
        <f>IF($B177="","",IF(OR(ISERROR(MATCH($B177,Community_Master!$A$2:$A$100,0)),$A177="",AND($H177&lt;&gt;"",$I177&gt;$H177),AND($H177&lt;&gt;"",$J177&gt;$H177),$I177&lt;0,$J177&lt;0,$K177&lt;0,$P177&lt;0,$Q177&lt;0,$Y177&lt;0,$Z177&lt;0,$AA177&lt;0,$AB177&lt;0,$AC177&lt;0),"ERROR","OK"))</f>
        <v/>
      </c>
      <c r="AR177" s="15">
        <f>IF($B177="","",TRIM(IF(ISERROR(MATCH($B177,Community_Master!$A$2:$A$100,0)),"Invalid Community_ID; ","")&amp;IF($A177="","Missing Report_Month; ","")&amp;IF(AND($H177&lt;&gt;"",$I177&gt;$H177),"Occupied_Units greater than Total_Units; ","")&amp;IF(AND($H177&lt;&gt;"",$J177&gt;$H177),"Leased_Units greater than Total_Units; ","")&amp;IF($I177&lt;0,"Occupied_Units negative; ","")&amp;IF($J177&lt;0,"Leased_Units negative; ","")&amp;IF($P177&lt;0,"Avg_Market_Rent negative; ","")))</f>
        <v/>
      </c>
    </row>
    <row r="178" ht="15" customHeight="1">
      <c r="A178" s="5" t="n"/>
      <c r="B178" s="15" t="n"/>
      <c r="C178" s="15">
        <f>IFERROR(VLOOKUP($B178,Community_Master!$A$2:$K$100,2,FALSE),"")</f>
        <v/>
      </c>
      <c r="D178" s="15">
        <f>IFERROR(VLOOKUP($B178,Community_Master!$A$2:$K$100,4,FALSE),"")</f>
        <v/>
      </c>
      <c r="E178" s="15">
        <f>IFERROR(VLOOKUP($B178,Community_Master!$A$2:$K$100,5,FALSE),"")</f>
        <v/>
      </c>
      <c r="F178" s="15">
        <f>IFERROR(VLOOKUP($B178,Community_Master!$A$2:$K$100,6,FALSE),"")</f>
        <v/>
      </c>
      <c r="G178" s="15">
        <f>IFERROR(VLOOKUP($B178,Community_Master!$A$2:$K$100,8,FALSE),"")</f>
        <v/>
      </c>
      <c r="H178" s="15">
        <f>IFERROR(VLOOKUP($B178,Community_Master!$A$2:$K$100,7,FALSE),"")</f>
        <v/>
      </c>
      <c r="I178" s="15" t="n"/>
      <c r="J178" s="15" t="n"/>
      <c r="K178" s="15" t="n"/>
      <c r="L178" s="15">
        <f>IF($H178="","",MAX($H178-$I178,0))</f>
        <v/>
      </c>
      <c r="M178" s="6">
        <f>IF($H178="","",IFERROR($I178/$H178,""))</f>
        <v/>
      </c>
      <c r="N178" s="6">
        <f>IF($H178="","",IFERROR($J178/$H178,""))</f>
        <v/>
      </c>
      <c r="O178" s="6" t="n"/>
      <c r="P178" s="7" t="n"/>
      <c r="Q178" s="7" t="n"/>
      <c r="R178" s="7" t="n"/>
      <c r="S178" s="7" t="n"/>
      <c r="T178" s="7">
        <f>IF($H178="","",IFERROR($H178*$P178,""))</f>
        <v/>
      </c>
      <c r="U178" s="7" t="n"/>
      <c r="V178" s="7" t="n"/>
      <c r="W178" s="7" t="n"/>
      <c r="X178" s="7">
        <f>IF(OR($U178="",$W178=""),"",($U178+$V178)-$W178)</f>
        <v/>
      </c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9" t="n"/>
      <c r="AJ178" s="8" t="n"/>
      <c r="AK178" s="8" t="n"/>
      <c r="AL178" s="15" t="n"/>
      <c r="AM178" s="15" t="n"/>
      <c r="AN178" s="15" t="n"/>
      <c r="AO178" s="15" t="n"/>
      <c r="AP178" s="10" t="n"/>
      <c r="AQ178" s="15">
        <f>IF($B178="","",IF(OR(ISERROR(MATCH($B178,Community_Master!$A$2:$A$100,0)),$A178="",AND($H178&lt;&gt;"",$I178&gt;$H178),AND($H178&lt;&gt;"",$J178&gt;$H178),$I178&lt;0,$J178&lt;0,$K178&lt;0,$P178&lt;0,$Q178&lt;0,$Y178&lt;0,$Z178&lt;0,$AA178&lt;0,$AB178&lt;0,$AC178&lt;0),"ERROR","OK"))</f>
        <v/>
      </c>
      <c r="AR178" s="15">
        <f>IF($B178="","",TRIM(IF(ISERROR(MATCH($B178,Community_Master!$A$2:$A$100,0)),"Invalid Community_ID; ","")&amp;IF($A178="","Missing Report_Month; ","")&amp;IF(AND($H178&lt;&gt;"",$I178&gt;$H178),"Occupied_Units greater than Total_Units; ","")&amp;IF(AND($H178&lt;&gt;"",$J178&gt;$H178),"Leased_Units greater than Total_Units; ","")&amp;IF($I178&lt;0,"Occupied_Units negative; ","")&amp;IF($J178&lt;0,"Leased_Units negative; ","")&amp;IF($P178&lt;0,"Avg_Market_Rent negative; ","")))</f>
        <v/>
      </c>
    </row>
    <row r="179" ht="15" customHeight="1">
      <c r="A179" s="5" t="n"/>
      <c r="B179" s="15" t="n"/>
      <c r="C179" s="15">
        <f>IFERROR(VLOOKUP($B179,Community_Master!$A$2:$K$100,2,FALSE),"")</f>
        <v/>
      </c>
      <c r="D179" s="15">
        <f>IFERROR(VLOOKUP($B179,Community_Master!$A$2:$K$100,4,FALSE),"")</f>
        <v/>
      </c>
      <c r="E179" s="15">
        <f>IFERROR(VLOOKUP($B179,Community_Master!$A$2:$K$100,5,FALSE),"")</f>
        <v/>
      </c>
      <c r="F179" s="15">
        <f>IFERROR(VLOOKUP($B179,Community_Master!$A$2:$K$100,6,FALSE),"")</f>
        <v/>
      </c>
      <c r="G179" s="15">
        <f>IFERROR(VLOOKUP($B179,Community_Master!$A$2:$K$100,8,FALSE),"")</f>
        <v/>
      </c>
      <c r="H179" s="15">
        <f>IFERROR(VLOOKUP($B179,Community_Master!$A$2:$K$100,7,FALSE),"")</f>
        <v/>
      </c>
      <c r="I179" s="15" t="n"/>
      <c r="J179" s="15" t="n"/>
      <c r="K179" s="15" t="n"/>
      <c r="L179" s="15">
        <f>IF($H179="","",MAX($H179-$I179,0))</f>
        <v/>
      </c>
      <c r="M179" s="6">
        <f>IF($H179="","",IFERROR($I179/$H179,""))</f>
        <v/>
      </c>
      <c r="N179" s="6">
        <f>IF($H179="","",IFERROR($J179/$H179,""))</f>
        <v/>
      </c>
      <c r="O179" s="6" t="n"/>
      <c r="P179" s="7" t="n"/>
      <c r="Q179" s="7" t="n"/>
      <c r="R179" s="7" t="n"/>
      <c r="S179" s="7" t="n"/>
      <c r="T179" s="7">
        <f>IF($H179="","",IFERROR($H179*$P179,""))</f>
        <v/>
      </c>
      <c r="U179" s="7" t="n"/>
      <c r="V179" s="7" t="n"/>
      <c r="W179" s="7" t="n"/>
      <c r="X179" s="7">
        <f>IF(OR($U179="",$W179=""),"",($U179+$V179)-$W179)</f>
        <v/>
      </c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9" t="n"/>
      <c r="AJ179" s="8" t="n"/>
      <c r="AK179" s="8" t="n"/>
      <c r="AL179" s="15" t="n"/>
      <c r="AM179" s="15" t="n"/>
      <c r="AN179" s="15" t="n"/>
      <c r="AO179" s="15" t="n"/>
      <c r="AP179" s="10" t="n"/>
      <c r="AQ179" s="15">
        <f>IF($B179="","",IF(OR(ISERROR(MATCH($B179,Community_Master!$A$2:$A$100,0)),$A179="",AND($H179&lt;&gt;"",$I179&gt;$H179),AND($H179&lt;&gt;"",$J179&gt;$H179),$I179&lt;0,$J179&lt;0,$K179&lt;0,$P179&lt;0,$Q179&lt;0,$Y179&lt;0,$Z179&lt;0,$AA179&lt;0,$AB179&lt;0,$AC179&lt;0),"ERROR","OK"))</f>
        <v/>
      </c>
      <c r="AR179" s="15">
        <f>IF($B179="","",TRIM(IF(ISERROR(MATCH($B179,Community_Master!$A$2:$A$100,0)),"Invalid Community_ID; ","")&amp;IF($A179="","Missing Report_Month; ","")&amp;IF(AND($H179&lt;&gt;"",$I179&gt;$H179),"Occupied_Units greater than Total_Units; ","")&amp;IF(AND($H179&lt;&gt;"",$J179&gt;$H179),"Leased_Units greater than Total_Units; ","")&amp;IF($I179&lt;0,"Occupied_Units negative; ","")&amp;IF($J179&lt;0,"Leased_Units negative; ","")&amp;IF($P179&lt;0,"Avg_Market_Rent negative; ","")))</f>
        <v/>
      </c>
    </row>
    <row r="180" ht="15" customHeight="1">
      <c r="A180" s="5" t="n"/>
      <c r="B180" s="15" t="n"/>
      <c r="C180" s="15">
        <f>IFERROR(VLOOKUP($B180,Community_Master!$A$2:$K$100,2,FALSE),"")</f>
        <v/>
      </c>
      <c r="D180" s="15">
        <f>IFERROR(VLOOKUP($B180,Community_Master!$A$2:$K$100,4,FALSE),"")</f>
        <v/>
      </c>
      <c r="E180" s="15">
        <f>IFERROR(VLOOKUP($B180,Community_Master!$A$2:$K$100,5,FALSE),"")</f>
        <v/>
      </c>
      <c r="F180" s="15">
        <f>IFERROR(VLOOKUP($B180,Community_Master!$A$2:$K$100,6,FALSE),"")</f>
        <v/>
      </c>
      <c r="G180" s="15">
        <f>IFERROR(VLOOKUP($B180,Community_Master!$A$2:$K$100,8,FALSE),"")</f>
        <v/>
      </c>
      <c r="H180" s="15">
        <f>IFERROR(VLOOKUP($B180,Community_Master!$A$2:$K$100,7,FALSE),"")</f>
        <v/>
      </c>
      <c r="I180" s="15" t="n"/>
      <c r="J180" s="15" t="n"/>
      <c r="K180" s="15" t="n"/>
      <c r="L180" s="15">
        <f>IF($H180="","",MAX($H180-$I180,0))</f>
        <v/>
      </c>
      <c r="M180" s="6">
        <f>IF($H180="","",IFERROR($I180/$H180,""))</f>
        <v/>
      </c>
      <c r="N180" s="6">
        <f>IF($H180="","",IFERROR($J180/$H180,""))</f>
        <v/>
      </c>
      <c r="O180" s="6" t="n"/>
      <c r="P180" s="7" t="n"/>
      <c r="Q180" s="7" t="n"/>
      <c r="R180" s="7" t="n"/>
      <c r="S180" s="7" t="n"/>
      <c r="T180" s="7">
        <f>IF($H180="","",IFERROR($H180*$P180,""))</f>
        <v/>
      </c>
      <c r="U180" s="7" t="n"/>
      <c r="V180" s="7" t="n"/>
      <c r="W180" s="7" t="n"/>
      <c r="X180" s="7">
        <f>IF(OR($U180="",$W180=""),"",($U180+$V180)-$W180)</f>
        <v/>
      </c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9" t="n"/>
      <c r="AJ180" s="8" t="n"/>
      <c r="AK180" s="8" t="n"/>
      <c r="AL180" s="15" t="n"/>
      <c r="AM180" s="15" t="n"/>
      <c r="AN180" s="15" t="n"/>
      <c r="AO180" s="15" t="n"/>
      <c r="AP180" s="10" t="n"/>
      <c r="AQ180" s="15">
        <f>IF($B180="","",IF(OR(ISERROR(MATCH($B180,Community_Master!$A$2:$A$100,0)),$A180="",AND($H180&lt;&gt;"",$I180&gt;$H180),AND($H180&lt;&gt;"",$J180&gt;$H180),$I180&lt;0,$J180&lt;0,$K180&lt;0,$P180&lt;0,$Q180&lt;0,$Y180&lt;0,$Z180&lt;0,$AA180&lt;0,$AB180&lt;0,$AC180&lt;0),"ERROR","OK"))</f>
        <v/>
      </c>
      <c r="AR180" s="15">
        <f>IF($B180="","",TRIM(IF(ISERROR(MATCH($B180,Community_Master!$A$2:$A$100,0)),"Invalid Community_ID; ","")&amp;IF($A180="","Missing Report_Month; ","")&amp;IF(AND($H180&lt;&gt;"",$I180&gt;$H180),"Occupied_Units greater than Total_Units; ","")&amp;IF(AND($H180&lt;&gt;"",$J180&gt;$H180),"Leased_Units greater than Total_Units; ","")&amp;IF($I180&lt;0,"Occupied_Units negative; ","")&amp;IF($J180&lt;0,"Leased_Units negative; ","")&amp;IF($P180&lt;0,"Avg_Market_Rent negative; ","")))</f>
        <v/>
      </c>
    </row>
    <row r="181" ht="15" customHeight="1">
      <c r="A181" s="5" t="n"/>
      <c r="B181" s="15" t="n"/>
      <c r="C181" s="15">
        <f>IFERROR(VLOOKUP($B181,Community_Master!$A$2:$K$100,2,FALSE),"")</f>
        <v/>
      </c>
      <c r="D181" s="15">
        <f>IFERROR(VLOOKUP($B181,Community_Master!$A$2:$K$100,4,FALSE),"")</f>
        <v/>
      </c>
      <c r="E181" s="15">
        <f>IFERROR(VLOOKUP($B181,Community_Master!$A$2:$K$100,5,FALSE),"")</f>
        <v/>
      </c>
      <c r="F181" s="15">
        <f>IFERROR(VLOOKUP($B181,Community_Master!$A$2:$K$100,6,FALSE),"")</f>
        <v/>
      </c>
      <c r="G181" s="15">
        <f>IFERROR(VLOOKUP($B181,Community_Master!$A$2:$K$100,8,FALSE),"")</f>
        <v/>
      </c>
      <c r="H181" s="15">
        <f>IFERROR(VLOOKUP($B181,Community_Master!$A$2:$K$100,7,FALSE),"")</f>
        <v/>
      </c>
      <c r="I181" s="15" t="n"/>
      <c r="J181" s="15" t="n"/>
      <c r="K181" s="15" t="n"/>
      <c r="L181" s="15">
        <f>IF($H181="","",MAX($H181-$I181,0))</f>
        <v/>
      </c>
      <c r="M181" s="6">
        <f>IF($H181="","",IFERROR($I181/$H181,""))</f>
        <v/>
      </c>
      <c r="N181" s="6">
        <f>IF($H181="","",IFERROR($J181/$H181,""))</f>
        <v/>
      </c>
      <c r="O181" s="6" t="n"/>
      <c r="P181" s="7" t="n"/>
      <c r="Q181" s="7" t="n"/>
      <c r="R181" s="7" t="n"/>
      <c r="S181" s="7" t="n"/>
      <c r="T181" s="7">
        <f>IF($H181="","",IFERROR($H181*$P181,""))</f>
        <v/>
      </c>
      <c r="U181" s="7" t="n"/>
      <c r="V181" s="7" t="n"/>
      <c r="W181" s="7" t="n"/>
      <c r="X181" s="7">
        <f>IF(OR($U181="",$W181=""),"",($U181+$V181)-$W181)</f>
        <v/>
      </c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9" t="n"/>
      <c r="AJ181" s="8" t="n"/>
      <c r="AK181" s="8" t="n"/>
      <c r="AL181" s="15" t="n"/>
      <c r="AM181" s="15" t="n"/>
      <c r="AN181" s="15" t="n"/>
      <c r="AO181" s="15" t="n"/>
      <c r="AP181" s="10" t="n"/>
      <c r="AQ181" s="15">
        <f>IF($B181="","",IF(OR(ISERROR(MATCH($B181,Community_Master!$A$2:$A$100,0)),$A181="",AND($H181&lt;&gt;"",$I181&gt;$H181),AND($H181&lt;&gt;"",$J181&gt;$H181),$I181&lt;0,$J181&lt;0,$K181&lt;0,$P181&lt;0,$Q181&lt;0,$Y181&lt;0,$Z181&lt;0,$AA181&lt;0,$AB181&lt;0,$AC181&lt;0),"ERROR","OK"))</f>
        <v/>
      </c>
      <c r="AR181" s="15">
        <f>IF($B181="","",TRIM(IF(ISERROR(MATCH($B181,Community_Master!$A$2:$A$100,0)),"Invalid Community_ID; ","")&amp;IF($A181="","Missing Report_Month; ","")&amp;IF(AND($H181&lt;&gt;"",$I181&gt;$H181),"Occupied_Units greater than Total_Units; ","")&amp;IF(AND($H181&lt;&gt;"",$J181&gt;$H181),"Leased_Units greater than Total_Units; ","")&amp;IF($I181&lt;0,"Occupied_Units negative; ","")&amp;IF($J181&lt;0,"Leased_Units negative; ","")&amp;IF($P181&lt;0,"Avg_Market_Rent negative; ","")))</f>
        <v/>
      </c>
    </row>
    <row r="182" ht="15" customHeight="1">
      <c r="A182" s="5" t="n"/>
      <c r="B182" s="15" t="n"/>
      <c r="C182" s="15">
        <f>IFERROR(VLOOKUP($B182,Community_Master!$A$2:$K$100,2,FALSE),"")</f>
        <v/>
      </c>
      <c r="D182" s="15">
        <f>IFERROR(VLOOKUP($B182,Community_Master!$A$2:$K$100,4,FALSE),"")</f>
        <v/>
      </c>
      <c r="E182" s="15">
        <f>IFERROR(VLOOKUP($B182,Community_Master!$A$2:$K$100,5,FALSE),"")</f>
        <v/>
      </c>
      <c r="F182" s="15">
        <f>IFERROR(VLOOKUP($B182,Community_Master!$A$2:$K$100,6,FALSE),"")</f>
        <v/>
      </c>
      <c r="G182" s="15">
        <f>IFERROR(VLOOKUP($B182,Community_Master!$A$2:$K$100,8,FALSE),"")</f>
        <v/>
      </c>
      <c r="H182" s="15">
        <f>IFERROR(VLOOKUP($B182,Community_Master!$A$2:$K$100,7,FALSE),"")</f>
        <v/>
      </c>
      <c r="I182" s="15" t="n"/>
      <c r="J182" s="15" t="n"/>
      <c r="K182" s="15" t="n"/>
      <c r="L182" s="15">
        <f>IF($H182="","",MAX($H182-$I182,0))</f>
        <v/>
      </c>
      <c r="M182" s="6">
        <f>IF($H182="","",IFERROR($I182/$H182,""))</f>
        <v/>
      </c>
      <c r="N182" s="6">
        <f>IF($H182="","",IFERROR($J182/$H182,""))</f>
        <v/>
      </c>
      <c r="O182" s="6" t="n"/>
      <c r="P182" s="7" t="n"/>
      <c r="Q182" s="7" t="n"/>
      <c r="R182" s="7" t="n"/>
      <c r="S182" s="7" t="n"/>
      <c r="T182" s="7">
        <f>IF($H182="","",IFERROR($H182*$P182,""))</f>
        <v/>
      </c>
      <c r="U182" s="7" t="n"/>
      <c r="V182" s="7" t="n"/>
      <c r="W182" s="7" t="n"/>
      <c r="X182" s="7">
        <f>IF(OR($U182="",$W182=""),"",($U182+$V182)-$W182)</f>
        <v/>
      </c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9" t="n"/>
      <c r="AJ182" s="8" t="n"/>
      <c r="AK182" s="8" t="n"/>
      <c r="AL182" s="15" t="n"/>
      <c r="AM182" s="15" t="n"/>
      <c r="AN182" s="15" t="n"/>
      <c r="AO182" s="15" t="n"/>
      <c r="AP182" s="10" t="n"/>
      <c r="AQ182" s="15">
        <f>IF($B182="","",IF(OR(ISERROR(MATCH($B182,Community_Master!$A$2:$A$100,0)),$A182="",AND($H182&lt;&gt;"",$I182&gt;$H182),AND($H182&lt;&gt;"",$J182&gt;$H182),$I182&lt;0,$J182&lt;0,$K182&lt;0,$P182&lt;0,$Q182&lt;0,$Y182&lt;0,$Z182&lt;0,$AA182&lt;0,$AB182&lt;0,$AC182&lt;0),"ERROR","OK"))</f>
        <v/>
      </c>
      <c r="AR182" s="15">
        <f>IF($B182="","",TRIM(IF(ISERROR(MATCH($B182,Community_Master!$A$2:$A$100,0)),"Invalid Community_ID; ","")&amp;IF($A182="","Missing Report_Month; ","")&amp;IF(AND($H182&lt;&gt;"",$I182&gt;$H182),"Occupied_Units greater than Total_Units; ","")&amp;IF(AND($H182&lt;&gt;"",$J182&gt;$H182),"Leased_Units greater than Total_Units; ","")&amp;IF($I182&lt;0,"Occupied_Units negative; ","")&amp;IF($J182&lt;0,"Leased_Units negative; ","")&amp;IF($P182&lt;0,"Avg_Market_Rent negative; ","")))</f>
        <v/>
      </c>
    </row>
    <row r="183" ht="15" customHeight="1">
      <c r="A183" s="5" t="n"/>
      <c r="B183" s="15" t="n"/>
      <c r="C183" s="15">
        <f>IFERROR(VLOOKUP($B183,Community_Master!$A$2:$K$100,2,FALSE),"")</f>
        <v/>
      </c>
      <c r="D183" s="15">
        <f>IFERROR(VLOOKUP($B183,Community_Master!$A$2:$K$100,4,FALSE),"")</f>
        <v/>
      </c>
      <c r="E183" s="15">
        <f>IFERROR(VLOOKUP($B183,Community_Master!$A$2:$K$100,5,FALSE),"")</f>
        <v/>
      </c>
      <c r="F183" s="15">
        <f>IFERROR(VLOOKUP($B183,Community_Master!$A$2:$K$100,6,FALSE),"")</f>
        <v/>
      </c>
      <c r="G183" s="15">
        <f>IFERROR(VLOOKUP($B183,Community_Master!$A$2:$K$100,8,FALSE),"")</f>
        <v/>
      </c>
      <c r="H183" s="15">
        <f>IFERROR(VLOOKUP($B183,Community_Master!$A$2:$K$100,7,FALSE),"")</f>
        <v/>
      </c>
      <c r="I183" s="15" t="n"/>
      <c r="J183" s="15" t="n"/>
      <c r="K183" s="15" t="n"/>
      <c r="L183" s="15">
        <f>IF($H183="","",MAX($H183-$I183,0))</f>
        <v/>
      </c>
      <c r="M183" s="6">
        <f>IF($H183="","",IFERROR($I183/$H183,""))</f>
        <v/>
      </c>
      <c r="N183" s="6">
        <f>IF($H183="","",IFERROR($J183/$H183,""))</f>
        <v/>
      </c>
      <c r="O183" s="6" t="n"/>
      <c r="P183" s="7" t="n"/>
      <c r="Q183" s="7" t="n"/>
      <c r="R183" s="7" t="n"/>
      <c r="S183" s="7" t="n"/>
      <c r="T183" s="7">
        <f>IF($H183="","",IFERROR($H183*$P183,""))</f>
        <v/>
      </c>
      <c r="U183" s="7" t="n"/>
      <c r="V183" s="7" t="n"/>
      <c r="W183" s="7" t="n"/>
      <c r="X183" s="7">
        <f>IF(OR($U183="",$W183=""),"",($U183+$V183)-$W183)</f>
        <v/>
      </c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9" t="n"/>
      <c r="AJ183" s="8" t="n"/>
      <c r="AK183" s="8" t="n"/>
      <c r="AL183" s="15" t="n"/>
      <c r="AM183" s="15" t="n"/>
      <c r="AN183" s="15" t="n"/>
      <c r="AO183" s="15" t="n"/>
      <c r="AP183" s="10" t="n"/>
      <c r="AQ183" s="15">
        <f>IF($B183="","",IF(OR(ISERROR(MATCH($B183,Community_Master!$A$2:$A$100,0)),$A183="",AND($H183&lt;&gt;"",$I183&gt;$H183),AND($H183&lt;&gt;"",$J183&gt;$H183),$I183&lt;0,$J183&lt;0,$K183&lt;0,$P183&lt;0,$Q183&lt;0,$Y183&lt;0,$Z183&lt;0,$AA183&lt;0,$AB183&lt;0,$AC183&lt;0),"ERROR","OK"))</f>
        <v/>
      </c>
      <c r="AR183" s="15">
        <f>IF($B183="","",TRIM(IF(ISERROR(MATCH($B183,Community_Master!$A$2:$A$100,0)),"Invalid Community_ID; ","")&amp;IF($A183="","Missing Report_Month; ","")&amp;IF(AND($H183&lt;&gt;"",$I183&gt;$H183),"Occupied_Units greater than Total_Units; ","")&amp;IF(AND($H183&lt;&gt;"",$J183&gt;$H183),"Leased_Units greater than Total_Units; ","")&amp;IF($I183&lt;0,"Occupied_Units negative; ","")&amp;IF($J183&lt;0,"Leased_Units negative; ","")&amp;IF($P183&lt;0,"Avg_Market_Rent negative; ","")))</f>
        <v/>
      </c>
    </row>
    <row r="184" ht="15" customHeight="1">
      <c r="A184" s="5" t="n"/>
      <c r="B184" s="15" t="n"/>
      <c r="C184" s="15">
        <f>IFERROR(VLOOKUP($B184,Community_Master!$A$2:$K$100,2,FALSE),"")</f>
        <v/>
      </c>
      <c r="D184" s="15">
        <f>IFERROR(VLOOKUP($B184,Community_Master!$A$2:$K$100,4,FALSE),"")</f>
        <v/>
      </c>
      <c r="E184" s="15">
        <f>IFERROR(VLOOKUP($B184,Community_Master!$A$2:$K$100,5,FALSE),"")</f>
        <v/>
      </c>
      <c r="F184" s="15">
        <f>IFERROR(VLOOKUP($B184,Community_Master!$A$2:$K$100,6,FALSE),"")</f>
        <v/>
      </c>
      <c r="G184" s="15">
        <f>IFERROR(VLOOKUP($B184,Community_Master!$A$2:$K$100,8,FALSE),"")</f>
        <v/>
      </c>
      <c r="H184" s="15">
        <f>IFERROR(VLOOKUP($B184,Community_Master!$A$2:$K$100,7,FALSE),"")</f>
        <v/>
      </c>
      <c r="I184" s="15" t="n"/>
      <c r="J184" s="15" t="n"/>
      <c r="K184" s="15" t="n"/>
      <c r="L184" s="15">
        <f>IF($H184="","",MAX($H184-$I184,0))</f>
        <v/>
      </c>
      <c r="M184" s="6">
        <f>IF($H184="","",IFERROR($I184/$H184,""))</f>
        <v/>
      </c>
      <c r="N184" s="6">
        <f>IF($H184="","",IFERROR($J184/$H184,""))</f>
        <v/>
      </c>
      <c r="O184" s="6" t="n"/>
      <c r="P184" s="7" t="n"/>
      <c r="Q184" s="7" t="n"/>
      <c r="R184" s="7" t="n"/>
      <c r="S184" s="7" t="n"/>
      <c r="T184" s="7">
        <f>IF($H184="","",IFERROR($H184*$P184,""))</f>
        <v/>
      </c>
      <c r="U184" s="7" t="n"/>
      <c r="V184" s="7" t="n"/>
      <c r="W184" s="7" t="n"/>
      <c r="X184" s="7">
        <f>IF(OR($U184="",$W184=""),"",($U184+$V184)-$W184)</f>
        <v/>
      </c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9" t="n"/>
      <c r="AJ184" s="8" t="n"/>
      <c r="AK184" s="8" t="n"/>
      <c r="AL184" s="15" t="n"/>
      <c r="AM184" s="15" t="n"/>
      <c r="AN184" s="15" t="n"/>
      <c r="AO184" s="15" t="n"/>
      <c r="AP184" s="10" t="n"/>
      <c r="AQ184" s="15">
        <f>IF($B184="","",IF(OR(ISERROR(MATCH($B184,Community_Master!$A$2:$A$100,0)),$A184="",AND($H184&lt;&gt;"",$I184&gt;$H184),AND($H184&lt;&gt;"",$J184&gt;$H184),$I184&lt;0,$J184&lt;0,$K184&lt;0,$P184&lt;0,$Q184&lt;0,$Y184&lt;0,$Z184&lt;0,$AA184&lt;0,$AB184&lt;0,$AC184&lt;0),"ERROR","OK"))</f>
        <v/>
      </c>
      <c r="AR184" s="15">
        <f>IF($B184="","",TRIM(IF(ISERROR(MATCH($B184,Community_Master!$A$2:$A$100,0)),"Invalid Community_ID; ","")&amp;IF($A184="","Missing Report_Month; ","")&amp;IF(AND($H184&lt;&gt;"",$I184&gt;$H184),"Occupied_Units greater than Total_Units; ","")&amp;IF(AND($H184&lt;&gt;"",$J184&gt;$H184),"Leased_Units greater than Total_Units; ","")&amp;IF($I184&lt;0,"Occupied_Units negative; ","")&amp;IF($J184&lt;0,"Leased_Units negative; ","")&amp;IF($P184&lt;0,"Avg_Market_Rent negative; ","")))</f>
        <v/>
      </c>
    </row>
    <row r="185" ht="15" customHeight="1">
      <c r="A185" s="5" t="n"/>
      <c r="B185" s="15" t="n"/>
      <c r="C185" s="15">
        <f>IFERROR(VLOOKUP($B185,Community_Master!$A$2:$K$100,2,FALSE),"")</f>
        <v/>
      </c>
      <c r="D185" s="15">
        <f>IFERROR(VLOOKUP($B185,Community_Master!$A$2:$K$100,4,FALSE),"")</f>
        <v/>
      </c>
      <c r="E185" s="15">
        <f>IFERROR(VLOOKUP($B185,Community_Master!$A$2:$K$100,5,FALSE),"")</f>
        <v/>
      </c>
      <c r="F185" s="15">
        <f>IFERROR(VLOOKUP($B185,Community_Master!$A$2:$K$100,6,FALSE),"")</f>
        <v/>
      </c>
      <c r="G185" s="15">
        <f>IFERROR(VLOOKUP($B185,Community_Master!$A$2:$K$100,8,FALSE),"")</f>
        <v/>
      </c>
      <c r="H185" s="15">
        <f>IFERROR(VLOOKUP($B185,Community_Master!$A$2:$K$100,7,FALSE),"")</f>
        <v/>
      </c>
      <c r="I185" s="15" t="n"/>
      <c r="J185" s="15" t="n"/>
      <c r="K185" s="15" t="n"/>
      <c r="L185" s="15">
        <f>IF($H185="","",MAX($H185-$I185,0))</f>
        <v/>
      </c>
      <c r="M185" s="6">
        <f>IF($H185="","",IFERROR($I185/$H185,""))</f>
        <v/>
      </c>
      <c r="N185" s="6">
        <f>IF($H185="","",IFERROR($J185/$H185,""))</f>
        <v/>
      </c>
      <c r="O185" s="6" t="n"/>
      <c r="P185" s="7" t="n"/>
      <c r="Q185" s="7" t="n"/>
      <c r="R185" s="7" t="n"/>
      <c r="S185" s="7" t="n"/>
      <c r="T185" s="7">
        <f>IF($H185="","",IFERROR($H185*$P185,""))</f>
        <v/>
      </c>
      <c r="U185" s="7" t="n"/>
      <c r="V185" s="7" t="n"/>
      <c r="W185" s="7" t="n"/>
      <c r="X185" s="7">
        <f>IF(OR($U185="",$W185=""),"",($U185+$V185)-$W185)</f>
        <v/>
      </c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9" t="n"/>
      <c r="AJ185" s="8" t="n"/>
      <c r="AK185" s="8" t="n"/>
      <c r="AL185" s="15" t="n"/>
      <c r="AM185" s="15" t="n"/>
      <c r="AN185" s="15" t="n"/>
      <c r="AO185" s="15" t="n"/>
      <c r="AP185" s="10" t="n"/>
      <c r="AQ185" s="15">
        <f>IF($B185="","",IF(OR(ISERROR(MATCH($B185,Community_Master!$A$2:$A$100,0)),$A185="",AND($H185&lt;&gt;"",$I185&gt;$H185),AND($H185&lt;&gt;"",$J185&gt;$H185),$I185&lt;0,$J185&lt;0,$K185&lt;0,$P185&lt;0,$Q185&lt;0,$Y185&lt;0,$Z185&lt;0,$AA185&lt;0,$AB185&lt;0,$AC185&lt;0),"ERROR","OK"))</f>
        <v/>
      </c>
      <c r="AR185" s="15">
        <f>IF($B185="","",TRIM(IF(ISERROR(MATCH($B185,Community_Master!$A$2:$A$100,0)),"Invalid Community_ID; ","")&amp;IF($A185="","Missing Report_Month; ","")&amp;IF(AND($H185&lt;&gt;"",$I185&gt;$H185),"Occupied_Units greater than Total_Units; ","")&amp;IF(AND($H185&lt;&gt;"",$J185&gt;$H185),"Leased_Units greater than Total_Units; ","")&amp;IF($I185&lt;0,"Occupied_Units negative; ","")&amp;IF($J185&lt;0,"Leased_Units negative; ","")&amp;IF($P185&lt;0,"Avg_Market_Rent negative; ","")))</f>
        <v/>
      </c>
    </row>
    <row r="186" ht="15" customHeight="1">
      <c r="A186" s="5" t="n"/>
      <c r="B186" s="15" t="n"/>
      <c r="C186" s="15">
        <f>IFERROR(VLOOKUP($B186,Community_Master!$A$2:$K$100,2,FALSE),"")</f>
        <v/>
      </c>
      <c r="D186" s="15">
        <f>IFERROR(VLOOKUP($B186,Community_Master!$A$2:$K$100,4,FALSE),"")</f>
        <v/>
      </c>
      <c r="E186" s="15">
        <f>IFERROR(VLOOKUP($B186,Community_Master!$A$2:$K$100,5,FALSE),"")</f>
        <v/>
      </c>
      <c r="F186" s="15">
        <f>IFERROR(VLOOKUP($B186,Community_Master!$A$2:$K$100,6,FALSE),"")</f>
        <v/>
      </c>
      <c r="G186" s="15">
        <f>IFERROR(VLOOKUP($B186,Community_Master!$A$2:$K$100,8,FALSE),"")</f>
        <v/>
      </c>
      <c r="H186" s="15">
        <f>IFERROR(VLOOKUP($B186,Community_Master!$A$2:$K$100,7,FALSE),"")</f>
        <v/>
      </c>
      <c r="I186" s="15" t="n"/>
      <c r="J186" s="15" t="n"/>
      <c r="K186" s="15" t="n"/>
      <c r="L186" s="15">
        <f>IF($H186="","",MAX($H186-$I186,0))</f>
        <v/>
      </c>
      <c r="M186" s="6">
        <f>IF($H186="","",IFERROR($I186/$H186,""))</f>
        <v/>
      </c>
      <c r="N186" s="6">
        <f>IF($H186="","",IFERROR($J186/$H186,""))</f>
        <v/>
      </c>
      <c r="O186" s="6" t="n"/>
      <c r="P186" s="7" t="n"/>
      <c r="Q186" s="7" t="n"/>
      <c r="R186" s="7" t="n"/>
      <c r="S186" s="7" t="n"/>
      <c r="T186" s="7">
        <f>IF($H186="","",IFERROR($H186*$P186,""))</f>
        <v/>
      </c>
      <c r="U186" s="7" t="n"/>
      <c r="V186" s="7" t="n"/>
      <c r="W186" s="7" t="n"/>
      <c r="X186" s="7">
        <f>IF(OR($U186="",$W186=""),"",($U186+$V186)-$W186)</f>
        <v/>
      </c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9" t="n"/>
      <c r="AJ186" s="8" t="n"/>
      <c r="AK186" s="8" t="n"/>
      <c r="AL186" s="15" t="n"/>
      <c r="AM186" s="15" t="n"/>
      <c r="AN186" s="15" t="n"/>
      <c r="AO186" s="15" t="n"/>
      <c r="AP186" s="10" t="n"/>
      <c r="AQ186" s="15">
        <f>IF($B186="","",IF(OR(ISERROR(MATCH($B186,Community_Master!$A$2:$A$100,0)),$A186="",AND($H186&lt;&gt;"",$I186&gt;$H186),AND($H186&lt;&gt;"",$J186&gt;$H186),$I186&lt;0,$J186&lt;0,$K186&lt;0,$P186&lt;0,$Q186&lt;0,$Y186&lt;0,$Z186&lt;0,$AA186&lt;0,$AB186&lt;0,$AC186&lt;0),"ERROR","OK"))</f>
        <v/>
      </c>
      <c r="AR186" s="15">
        <f>IF($B186="","",TRIM(IF(ISERROR(MATCH($B186,Community_Master!$A$2:$A$100,0)),"Invalid Community_ID; ","")&amp;IF($A186="","Missing Report_Month; ","")&amp;IF(AND($H186&lt;&gt;"",$I186&gt;$H186),"Occupied_Units greater than Total_Units; ","")&amp;IF(AND($H186&lt;&gt;"",$J186&gt;$H186),"Leased_Units greater than Total_Units; ","")&amp;IF($I186&lt;0,"Occupied_Units negative; ","")&amp;IF($J186&lt;0,"Leased_Units negative; ","")&amp;IF($P186&lt;0,"Avg_Market_Rent negative; ","")))</f>
        <v/>
      </c>
    </row>
    <row r="187" ht="15" customHeight="1">
      <c r="A187" s="5" t="n"/>
      <c r="B187" s="15" t="n"/>
      <c r="C187" s="15">
        <f>IFERROR(VLOOKUP($B187,Community_Master!$A$2:$K$100,2,FALSE),"")</f>
        <v/>
      </c>
      <c r="D187" s="15">
        <f>IFERROR(VLOOKUP($B187,Community_Master!$A$2:$K$100,4,FALSE),"")</f>
        <v/>
      </c>
      <c r="E187" s="15">
        <f>IFERROR(VLOOKUP($B187,Community_Master!$A$2:$K$100,5,FALSE),"")</f>
        <v/>
      </c>
      <c r="F187" s="15">
        <f>IFERROR(VLOOKUP($B187,Community_Master!$A$2:$K$100,6,FALSE),"")</f>
        <v/>
      </c>
      <c r="G187" s="15">
        <f>IFERROR(VLOOKUP($B187,Community_Master!$A$2:$K$100,8,FALSE),"")</f>
        <v/>
      </c>
      <c r="H187" s="15">
        <f>IFERROR(VLOOKUP($B187,Community_Master!$A$2:$K$100,7,FALSE),"")</f>
        <v/>
      </c>
      <c r="I187" s="15" t="n"/>
      <c r="J187" s="15" t="n"/>
      <c r="K187" s="15" t="n"/>
      <c r="L187" s="15">
        <f>IF($H187="","",MAX($H187-$I187,0))</f>
        <v/>
      </c>
      <c r="M187" s="6">
        <f>IF($H187="","",IFERROR($I187/$H187,""))</f>
        <v/>
      </c>
      <c r="N187" s="6">
        <f>IF($H187="","",IFERROR($J187/$H187,""))</f>
        <v/>
      </c>
      <c r="O187" s="6" t="n"/>
      <c r="P187" s="7" t="n"/>
      <c r="Q187" s="7" t="n"/>
      <c r="R187" s="7" t="n"/>
      <c r="S187" s="7" t="n"/>
      <c r="T187" s="7">
        <f>IF($H187="","",IFERROR($H187*$P187,""))</f>
        <v/>
      </c>
      <c r="U187" s="7" t="n"/>
      <c r="V187" s="7" t="n"/>
      <c r="W187" s="7" t="n"/>
      <c r="X187" s="7">
        <f>IF(OR($U187="",$W187=""),"",($U187+$V187)-$W187)</f>
        <v/>
      </c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9" t="n"/>
      <c r="AJ187" s="8" t="n"/>
      <c r="AK187" s="8" t="n"/>
      <c r="AL187" s="15" t="n"/>
      <c r="AM187" s="15" t="n"/>
      <c r="AN187" s="15" t="n"/>
      <c r="AO187" s="15" t="n"/>
      <c r="AP187" s="10" t="n"/>
      <c r="AQ187" s="15">
        <f>IF($B187="","",IF(OR(ISERROR(MATCH($B187,Community_Master!$A$2:$A$100,0)),$A187="",AND($H187&lt;&gt;"",$I187&gt;$H187),AND($H187&lt;&gt;"",$J187&gt;$H187),$I187&lt;0,$J187&lt;0,$K187&lt;0,$P187&lt;0,$Q187&lt;0,$Y187&lt;0,$Z187&lt;0,$AA187&lt;0,$AB187&lt;0,$AC187&lt;0),"ERROR","OK"))</f>
        <v/>
      </c>
      <c r="AR187" s="15">
        <f>IF($B187="","",TRIM(IF(ISERROR(MATCH($B187,Community_Master!$A$2:$A$100,0)),"Invalid Community_ID; ","")&amp;IF($A187="","Missing Report_Month; ","")&amp;IF(AND($H187&lt;&gt;"",$I187&gt;$H187),"Occupied_Units greater than Total_Units; ","")&amp;IF(AND($H187&lt;&gt;"",$J187&gt;$H187),"Leased_Units greater than Total_Units; ","")&amp;IF($I187&lt;0,"Occupied_Units negative; ","")&amp;IF($J187&lt;0,"Leased_Units negative; ","")&amp;IF($P187&lt;0,"Avg_Market_Rent negative; ","")))</f>
        <v/>
      </c>
    </row>
    <row r="188" ht="15" customHeight="1">
      <c r="A188" s="5" t="n"/>
      <c r="B188" s="15" t="n"/>
      <c r="C188" s="15">
        <f>IFERROR(VLOOKUP($B188,Community_Master!$A$2:$K$100,2,FALSE),"")</f>
        <v/>
      </c>
      <c r="D188" s="15">
        <f>IFERROR(VLOOKUP($B188,Community_Master!$A$2:$K$100,4,FALSE),"")</f>
        <v/>
      </c>
      <c r="E188" s="15">
        <f>IFERROR(VLOOKUP($B188,Community_Master!$A$2:$K$100,5,FALSE),"")</f>
        <v/>
      </c>
      <c r="F188" s="15">
        <f>IFERROR(VLOOKUP($B188,Community_Master!$A$2:$K$100,6,FALSE),"")</f>
        <v/>
      </c>
      <c r="G188" s="15">
        <f>IFERROR(VLOOKUP($B188,Community_Master!$A$2:$K$100,8,FALSE),"")</f>
        <v/>
      </c>
      <c r="H188" s="15">
        <f>IFERROR(VLOOKUP($B188,Community_Master!$A$2:$K$100,7,FALSE),"")</f>
        <v/>
      </c>
      <c r="I188" s="15" t="n"/>
      <c r="J188" s="15" t="n"/>
      <c r="K188" s="15" t="n"/>
      <c r="L188" s="15">
        <f>IF($H188="","",MAX($H188-$I188,0))</f>
        <v/>
      </c>
      <c r="M188" s="6">
        <f>IF($H188="","",IFERROR($I188/$H188,""))</f>
        <v/>
      </c>
      <c r="N188" s="6">
        <f>IF($H188="","",IFERROR($J188/$H188,""))</f>
        <v/>
      </c>
      <c r="O188" s="6" t="n"/>
      <c r="P188" s="7" t="n"/>
      <c r="Q188" s="7" t="n"/>
      <c r="R188" s="7" t="n"/>
      <c r="S188" s="7" t="n"/>
      <c r="T188" s="7">
        <f>IF($H188="","",IFERROR($H188*$P188,""))</f>
        <v/>
      </c>
      <c r="U188" s="7" t="n"/>
      <c r="V188" s="7" t="n"/>
      <c r="W188" s="7" t="n"/>
      <c r="X188" s="7">
        <f>IF(OR($U188="",$W188=""),"",($U188+$V188)-$W188)</f>
        <v/>
      </c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9" t="n"/>
      <c r="AJ188" s="8" t="n"/>
      <c r="AK188" s="8" t="n"/>
      <c r="AL188" s="15" t="n"/>
      <c r="AM188" s="15" t="n"/>
      <c r="AN188" s="15" t="n"/>
      <c r="AO188" s="15" t="n"/>
      <c r="AP188" s="10" t="n"/>
      <c r="AQ188" s="15">
        <f>IF($B188="","",IF(OR(ISERROR(MATCH($B188,Community_Master!$A$2:$A$100,0)),$A188="",AND($H188&lt;&gt;"",$I188&gt;$H188),AND($H188&lt;&gt;"",$J188&gt;$H188),$I188&lt;0,$J188&lt;0,$K188&lt;0,$P188&lt;0,$Q188&lt;0,$Y188&lt;0,$Z188&lt;0,$AA188&lt;0,$AB188&lt;0,$AC188&lt;0),"ERROR","OK"))</f>
        <v/>
      </c>
      <c r="AR188" s="15">
        <f>IF($B188="","",TRIM(IF(ISERROR(MATCH($B188,Community_Master!$A$2:$A$100,0)),"Invalid Community_ID; ","")&amp;IF($A188="","Missing Report_Month; ","")&amp;IF(AND($H188&lt;&gt;"",$I188&gt;$H188),"Occupied_Units greater than Total_Units; ","")&amp;IF(AND($H188&lt;&gt;"",$J188&gt;$H188),"Leased_Units greater than Total_Units; ","")&amp;IF($I188&lt;0,"Occupied_Units negative; ","")&amp;IF($J188&lt;0,"Leased_Units negative; ","")&amp;IF($P188&lt;0,"Avg_Market_Rent negative; ","")))</f>
        <v/>
      </c>
    </row>
    <row r="189" ht="15" customHeight="1">
      <c r="A189" s="5" t="n"/>
      <c r="B189" s="15" t="n"/>
      <c r="C189" s="15">
        <f>IFERROR(VLOOKUP($B189,Community_Master!$A$2:$K$100,2,FALSE),"")</f>
        <v/>
      </c>
      <c r="D189" s="15">
        <f>IFERROR(VLOOKUP($B189,Community_Master!$A$2:$K$100,4,FALSE),"")</f>
        <v/>
      </c>
      <c r="E189" s="15">
        <f>IFERROR(VLOOKUP($B189,Community_Master!$A$2:$K$100,5,FALSE),"")</f>
        <v/>
      </c>
      <c r="F189" s="15">
        <f>IFERROR(VLOOKUP($B189,Community_Master!$A$2:$K$100,6,FALSE),"")</f>
        <v/>
      </c>
      <c r="G189" s="15">
        <f>IFERROR(VLOOKUP($B189,Community_Master!$A$2:$K$100,8,FALSE),"")</f>
        <v/>
      </c>
      <c r="H189" s="15">
        <f>IFERROR(VLOOKUP($B189,Community_Master!$A$2:$K$100,7,FALSE),"")</f>
        <v/>
      </c>
      <c r="I189" s="15" t="n"/>
      <c r="J189" s="15" t="n"/>
      <c r="K189" s="15" t="n"/>
      <c r="L189" s="15">
        <f>IF($H189="","",MAX($H189-$I189,0))</f>
        <v/>
      </c>
      <c r="M189" s="6">
        <f>IF($H189="","",IFERROR($I189/$H189,""))</f>
        <v/>
      </c>
      <c r="N189" s="6">
        <f>IF($H189="","",IFERROR($J189/$H189,""))</f>
        <v/>
      </c>
      <c r="O189" s="6" t="n"/>
      <c r="P189" s="7" t="n"/>
      <c r="Q189" s="7" t="n"/>
      <c r="R189" s="7" t="n"/>
      <c r="S189" s="7" t="n"/>
      <c r="T189" s="7">
        <f>IF($H189="","",IFERROR($H189*$P189,""))</f>
        <v/>
      </c>
      <c r="U189" s="7" t="n"/>
      <c r="V189" s="7" t="n"/>
      <c r="W189" s="7" t="n"/>
      <c r="X189" s="7">
        <f>IF(OR($U189="",$W189=""),"",($U189+$V189)-$W189)</f>
        <v/>
      </c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9" t="n"/>
      <c r="AJ189" s="8" t="n"/>
      <c r="AK189" s="8" t="n"/>
      <c r="AL189" s="15" t="n"/>
      <c r="AM189" s="15" t="n"/>
      <c r="AN189" s="15" t="n"/>
      <c r="AO189" s="15" t="n"/>
      <c r="AP189" s="10" t="n"/>
      <c r="AQ189" s="15">
        <f>IF($B189="","",IF(OR(ISERROR(MATCH($B189,Community_Master!$A$2:$A$100,0)),$A189="",AND($H189&lt;&gt;"",$I189&gt;$H189),AND($H189&lt;&gt;"",$J189&gt;$H189),$I189&lt;0,$J189&lt;0,$K189&lt;0,$P189&lt;0,$Q189&lt;0,$Y189&lt;0,$Z189&lt;0,$AA189&lt;0,$AB189&lt;0,$AC189&lt;0),"ERROR","OK"))</f>
        <v/>
      </c>
      <c r="AR189" s="15">
        <f>IF($B189="","",TRIM(IF(ISERROR(MATCH($B189,Community_Master!$A$2:$A$100,0)),"Invalid Community_ID; ","")&amp;IF($A189="","Missing Report_Month; ","")&amp;IF(AND($H189&lt;&gt;"",$I189&gt;$H189),"Occupied_Units greater than Total_Units; ","")&amp;IF(AND($H189&lt;&gt;"",$J189&gt;$H189),"Leased_Units greater than Total_Units; ","")&amp;IF($I189&lt;0,"Occupied_Units negative; ","")&amp;IF($J189&lt;0,"Leased_Units negative; ","")&amp;IF($P189&lt;0,"Avg_Market_Rent negative; ","")))</f>
        <v/>
      </c>
    </row>
    <row r="190" ht="15" customHeight="1">
      <c r="A190" s="5" t="n"/>
      <c r="B190" s="15" t="n"/>
      <c r="C190" s="15">
        <f>IFERROR(VLOOKUP($B190,Community_Master!$A$2:$K$100,2,FALSE),"")</f>
        <v/>
      </c>
      <c r="D190" s="15">
        <f>IFERROR(VLOOKUP($B190,Community_Master!$A$2:$K$100,4,FALSE),"")</f>
        <v/>
      </c>
      <c r="E190" s="15">
        <f>IFERROR(VLOOKUP($B190,Community_Master!$A$2:$K$100,5,FALSE),"")</f>
        <v/>
      </c>
      <c r="F190" s="15">
        <f>IFERROR(VLOOKUP($B190,Community_Master!$A$2:$K$100,6,FALSE),"")</f>
        <v/>
      </c>
      <c r="G190" s="15">
        <f>IFERROR(VLOOKUP($B190,Community_Master!$A$2:$K$100,8,FALSE),"")</f>
        <v/>
      </c>
      <c r="H190" s="15">
        <f>IFERROR(VLOOKUP($B190,Community_Master!$A$2:$K$100,7,FALSE),"")</f>
        <v/>
      </c>
      <c r="I190" s="15" t="n"/>
      <c r="J190" s="15" t="n"/>
      <c r="K190" s="15" t="n"/>
      <c r="L190" s="15">
        <f>IF($H190="","",MAX($H190-$I190,0))</f>
        <v/>
      </c>
      <c r="M190" s="6">
        <f>IF($H190="","",IFERROR($I190/$H190,""))</f>
        <v/>
      </c>
      <c r="N190" s="6">
        <f>IF($H190="","",IFERROR($J190/$H190,""))</f>
        <v/>
      </c>
      <c r="O190" s="6" t="n"/>
      <c r="P190" s="7" t="n"/>
      <c r="Q190" s="7" t="n"/>
      <c r="R190" s="7" t="n"/>
      <c r="S190" s="7" t="n"/>
      <c r="T190" s="7">
        <f>IF($H190="","",IFERROR($H190*$P190,""))</f>
        <v/>
      </c>
      <c r="U190" s="7" t="n"/>
      <c r="V190" s="7" t="n"/>
      <c r="W190" s="7" t="n"/>
      <c r="X190" s="7">
        <f>IF(OR($U190="",$W190=""),"",($U190+$V190)-$W190)</f>
        <v/>
      </c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9" t="n"/>
      <c r="AJ190" s="8" t="n"/>
      <c r="AK190" s="8" t="n"/>
      <c r="AL190" s="15" t="n"/>
      <c r="AM190" s="15" t="n"/>
      <c r="AN190" s="15" t="n"/>
      <c r="AO190" s="15" t="n"/>
      <c r="AP190" s="10" t="n"/>
      <c r="AQ190" s="15">
        <f>IF($B190="","",IF(OR(ISERROR(MATCH($B190,Community_Master!$A$2:$A$100,0)),$A190="",AND($H190&lt;&gt;"",$I190&gt;$H190),AND($H190&lt;&gt;"",$J190&gt;$H190),$I190&lt;0,$J190&lt;0,$K190&lt;0,$P190&lt;0,$Q190&lt;0,$Y190&lt;0,$Z190&lt;0,$AA190&lt;0,$AB190&lt;0,$AC190&lt;0),"ERROR","OK"))</f>
        <v/>
      </c>
      <c r="AR190" s="15">
        <f>IF($B190="","",TRIM(IF(ISERROR(MATCH($B190,Community_Master!$A$2:$A$100,0)),"Invalid Community_ID; ","")&amp;IF($A190="","Missing Report_Month; ","")&amp;IF(AND($H190&lt;&gt;"",$I190&gt;$H190),"Occupied_Units greater than Total_Units; ","")&amp;IF(AND($H190&lt;&gt;"",$J190&gt;$H190),"Leased_Units greater than Total_Units; ","")&amp;IF($I190&lt;0,"Occupied_Units negative; ","")&amp;IF($J190&lt;0,"Leased_Units negative; ","")&amp;IF($P190&lt;0,"Avg_Market_Rent negative; ","")))</f>
        <v/>
      </c>
    </row>
    <row r="191" ht="15" customHeight="1">
      <c r="A191" s="5" t="n"/>
      <c r="B191" s="15" t="n"/>
      <c r="C191" s="15">
        <f>IFERROR(VLOOKUP($B191,Community_Master!$A$2:$K$100,2,FALSE),"")</f>
        <v/>
      </c>
      <c r="D191" s="15">
        <f>IFERROR(VLOOKUP($B191,Community_Master!$A$2:$K$100,4,FALSE),"")</f>
        <v/>
      </c>
      <c r="E191" s="15">
        <f>IFERROR(VLOOKUP($B191,Community_Master!$A$2:$K$100,5,FALSE),"")</f>
        <v/>
      </c>
      <c r="F191" s="15">
        <f>IFERROR(VLOOKUP($B191,Community_Master!$A$2:$K$100,6,FALSE),"")</f>
        <v/>
      </c>
      <c r="G191" s="15">
        <f>IFERROR(VLOOKUP($B191,Community_Master!$A$2:$K$100,8,FALSE),"")</f>
        <v/>
      </c>
      <c r="H191" s="15">
        <f>IFERROR(VLOOKUP($B191,Community_Master!$A$2:$K$100,7,FALSE),"")</f>
        <v/>
      </c>
      <c r="I191" s="15" t="n"/>
      <c r="J191" s="15" t="n"/>
      <c r="K191" s="15" t="n"/>
      <c r="L191" s="15">
        <f>IF($H191="","",MAX($H191-$I191,0))</f>
        <v/>
      </c>
      <c r="M191" s="6">
        <f>IF($H191="","",IFERROR($I191/$H191,""))</f>
        <v/>
      </c>
      <c r="N191" s="6">
        <f>IF($H191="","",IFERROR($J191/$H191,""))</f>
        <v/>
      </c>
      <c r="O191" s="6" t="n"/>
      <c r="P191" s="7" t="n"/>
      <c r="Q191" s="7" t="n"/>
      <c r="R191" s="7" t="n"/>
      <c r="S191" s="7" t="n"/>
      <c r="T191" s="7">
        <f>IF($H191="","",IFERROR($H191*$P191,""))</f>
        <v/>
      </c>
      <c r="U191" s="7" t="n"/>
      <c r="V191" s="7" t="n"/>
      <c r="W191" s="7" t="n"/>
      <c r="X191" s="7">
        <f>IF(OR($U191="",$W191=""),"",($U191+$V191)-$W191)</f>
        <v/>
      </c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9" t="n"/>
      <c r="AJ191" s="8" t="n"/>
      <c r="AK191" s="8" t="n"/>
      <c r="AL191" s="15" t="n"/>
      <c r="AM191" s="15" t="n"/>
      <c r="AN191" s="15" t="n"/>
      <c r="AO191" s="15" t="n"/>
      <c r="AP191" s="10" t="n"/>
      <c r="AQ191" s="15">
        <f>IF($B191="","",IF(OR(ISERROR(MATCH($B191,Community_Master!$A$2:$A$100,0)),$A191="",AND($H191&lt;&gt;"",$I191&gt;$H191),AND($H191&lt;&gt;"",$J191&gt;$H191),$I191&lt;0,$J191&lt;0,$K191&lt;0,$P191&lt;0,$Q191&lt;0,$Y191&lt;0,$Z191&lt;0,$AA191&lt;0,$AB191&lt;0,$AC191&lt;0),"ERROR","OK"))</f>
        <v/>
      </c>
      <c r="AR191" s="15">
        <f>IF($B191="","",TRIM(IF(ISERROR(MATCH($B191,Community_Master!$A$2:$A$100,0)),"Invalid Community_ID; ","")&amp;IF($A191="","Missing Report_Month; ","")&amp;IF(AND($H191&lt;&gt;"",$I191&gt;$H191),"Occupied_Units greater than Total_Units; ","")&amp;IF(AND($H191&lt;&gt;"",$J191&gt;$H191),"Leased_Units greater than Total_Units; ","")&amp;IF($I191&lt;0,"Occupied_Units negative; ","")&amp;IF($J191&lt;0,"Leased_Units negative; ","")&amp;IF($P191&lt;0,"Avg_Market_Rent negative; ","")))</f>
        <v/>
      </c>
    </row>
    <row r="192" ht="15" customHeight="1">
      <c r="A192" s="5" t="n"/>
      <c r="B192" s="15" t="n"/>
      <c r="C192" s="15">
        <f>IFERROR(VLOOKUP($B192,Community_Master!$A$2:$K$100,2,FALSE),"")</f>
        <v/>
      </c>
      <c r="D192" s="15">
        <f>IFERROR(VLOOKUP($B192,Community_Master!$A$2:$K$100,4,FALSE),"")</f>
        <v/>
      </c>
      <c r="E192" s="15">
        <f>IFERROR(VLOOKUP($B192,Community_Master!$A$2:$K$100,5,FALSE),"")</f>
        <v/>
      </c>
      <c r="F192" s="15">
        <f>IFERROR(VLOOKUP($B192,Community_Master!$A$2:$K$100,6,FALSE),"")</f>
        <v/>
      </c>
      <c r="G192" s="15">
        <f>IFERROR(VLOOKUP($B192,Community_Master!$A$2:$K$100,8,FALSE),"")</f>
        <v/>
      </c>
      <c r="H192" s="15">
        <f>IFERROR(VLOOKUP($B192,Community_Master!$A$2:$K$100,7,FALSE),"")</f>
        <v/>
      </c>
      <c r="I192" s="15" t="n"/>
      <c r="J192" s="15" t="n"/>
      <c r="K192" s="15" t="n"/>
      <c r="L192" s="15">
        <f>IF($H192="","",MAX($H192-$I192,0))</f>
        <v/>
      </c>
      <c r="M192" s="6">
        <f>IF($H192="","",IFERROR($I192/$H192,""))</f>
        <v/>
      </c>
      <c r="N192" s="6">
        <f>IF($H192="","",IFERROR($J192/$H192,""))</f>
        <v/>
      </c>
      <c r="O192" s="6" t="n"/>
      <c r="P192" s="7" t="n"/>
      <c r="Q192" s="7" t="n"/>
      <c r="R192" s="7" t="n"/>
      <c r="S192" s="7" t="n"/>
      <c r="T192" s="7">
        <f>IF($H192="","",IFERROR($H192*$P192,""))</f>
        <v/>
      </c>
      <c r="U192" s="7" t="n"/>
      <c r="V192" s="7" t="n"/>
      <c r="W192" s="7" t="n"/>
      <c r="X192" s="7">
        <f>IF(OR($U192="",$W192=""),"",($U192+$V192)-$W192)</f>
        <v/>
      </c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9" t="n"/>
      <c r="AJ192" s="8" t="n"/>
      <c r="AK192" s="8" t="n"/>
      <c r="AL192" s="15" t="n"/>
      <c r="AM192" s="15" t="n"/>
      <c r="AN192" s="15" t="n"/>
      <c r="AO192" s="15" t="n"/>
      <c r="AP192" s="10" t="n"/>
      <c r="AQ192" s="15">
        <f>IF($B192="","",IF(OR(ISERROR(MATCH($B192,Community_Master!$A$2:$A$100,0)),$A192="",AND($H192&lt;&gt;"",$I192&gt;$H192),AND($H192&lt;&gt;"",$J192&gt;$H192),$I192&lt;0,$J192&lt;0,$K192&lt;0,$P192&lt;0,$Q192&lt;0,$Y192&lt;0,$Z192&lt;0,$AA192&lt;0,$AB192&lt;0,$AC192&lt;0),"ERROR","OK"))</f>
        <v/>
      </c>
      <c r="AR192" s="15">
        <f>IF($B192="","",TRIM(IF(ISERROR(MATCH($B192,Community_Master!$A$2:$A$100,0)),"Invalid Community_ID; ","")&amp;IF($A192="","Missing Report_Month; ","")&amp;IF(AND($H192&lt;&gt;"",$I192&gt;$H192),"Occupied_Units greater than Total_Units; ","")&amp;IF(AND($H192&lt;&gt;"",$J192&gt;$H192),"Leased_Units greater than Total_Units; ","")&amp;IF($I192&lt;0,"Occupied_Units negative; ","")&amp;IF($J192&lt;0,"Leased_Units negative; ","")&amp;IF($P192&lt;0,"Avg_Market_Rent negative; ","")))</f>
        <v/>
      </c>
    </row>
    <row r="193" ht="15" customHeight="1">
      <c r="A193" s="5" t="n"/>
      <c r="B193" s="15" t="n"/>
      <c r="C193" s="15">
        <f>IFERROR(VLOOKUP($B193,Community_Master!$A$2:$K$100,2,FALSE),"")</f>
        <v/>
      </c>
      <c r="D193" s="15">
        <f>IFERROR(VLOOKUP($B193,Community_Master!$A$2:$K$100,4,FALSE),"")</f>
        <v/>
      </c>
      <c r="E193" s="15">
        <f>IFERROR(VLOOKUP($B193,Community_Master!$A$2:$K$100,5,FALSE),"")</f>
        <v/>
      </c>
      <c r="F193" s="15">
        <f>IFERROR(VLOOKUP($B193,Community_Master!$A$2:$K$100,6,FALSE),"")</f>
        <v/>
      </c>
      <c r="G193" s="15">
        <f>IFERROR(VLOOKUP($B193,Community_Master!$A$2:$K$100,8,FALSE),"")</f>
        <v/>
      </c>
      <c r="H193" s="15">
        <f>IFERROR(VLOOKUP($B193,Community_Master!$A$2:$K$100,7,FALSE),"")</f>
        <v/>
      </c>
      <c r="I193" s="15" t="n"/>
      <c r="J193" s="15" t="n"/>
      <c r="K193" s="15" t="n"/>
      <c r="L193" s="15">
        <f>IF($H193="","",MAX($H193-$I193,0))</f>
        <v/>
      </c>
      <c r="M193" s="6">
        <f>IF($H193="","",IFERROR($I193/$H193,""))</f>
        <v/>
      </c>
      <c r="N193" s="6">
        <f>IF($H193="","",IFERROR($J193/$H193,""))</f>
        <v/>
      </c>
      <c r="O193" s="6" t="n"/>
      <c r="P193" s="7" t="n"/>
      <c r="Q193" s="7" t="n"/>
      <c r="R193" s="7" t="n"/>
      <c r="S193" s="7" t="n"/>
      <c r="T193" s="7">
        <f>IF($H193="","",IFERROR($H193*$P193,""))</f>
        <v/>
      </c>
      <c r="U193" s="7" t="n"/>
      <c r="V193" s="7" t="n"/>
      <c r="W193" s="7" t="n"/>
      <c r="X193" s="7">
        <f>IF(OR($U193="",$W193=""),"",($U193+$V193)-$W193)</f>
        <v/>
      </c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9" t="n"/>
      <c r="AJ193" s="8" t="n"/>
      <c r="AK193" s="8" t="n"/>
      <c r="AL193" s="15" t="n"/>
      <c r="AM193" s="15" t="n"/>
      <c r="AN193" s="15" t="n"/>
      <c r="AO193" s="15" t="n"/>
      <c r="AP193" s="10" t="n"/>
      <c r="AQ193" s="15">
        <f>IF($B193="","",IF(OR(ISERROR(MATCH($B193,Community_Master!$A$2:$A$100,0)),$A193="",AND($H193&lt;&gt;"",$I193&gt;$H193),AND($H193&lt;&gt;"",$J193&gt;$H193),$I193&lt;0,$J193&lt;0,$K193&lt;0,$P193&lt;0,$Q193&lt;0,$Y193&lt;0,$Z193&lt;0,$AA193&lt;0,$AB193&lt;0,$AC193&lt;0),"ERROR","OK"))</f>
        <v/>
      </c>
      <c r="AR193" s="15">
        <f>IF($B193="","",TRIM(IF(ISERROR(MATCH($B193,Community_Master!$A$2:$A$100,0)),"Invalid Community_ID; ","")&amp;IF($A193="","Missing Report_Month; ","")&amp;IF(AND($H193&lt;&gt;"",$I193&gt;$H193),"Occupied_Units greater than Total_Units; ","")&amp;IF(AND($H193&lt;&gt;"",$J193&gt;$H193),"Leased_Units greater than Total_Units; ","")&amp;IF($I193&lt;0,"Occupied_Units negative; ","")&amp;IF($J193&lt;0,"Leased_Units negative; ","")&amp;IF($P193&lt;0,"Avg_Market_Rent negative; ","")))</f>
        <v/>
      </c>
    </row>
    <row r="194" ht="15" customHeight="1">
      <c r="A194" s="5" t="n"/>
      <c r="B194" s="15" t="n"/>
      <c r="C194" s="15">
        <f>IFERROR(VLOOKUP($B194,Community_Master!$A$2:$K$100,2,FALSE),"")</f>
        <v/>
      </c>
      <c r="D194" s="15">
        <f>IFERROR(VLOOKUP($B194,Community_Master!$A$2:$K$100,4,FALSE),"")</f>
        <v/>
      </c>
      <c r="E194" s="15">
        <f>IFERROR(VLOOKUP($B194,Community_Master!$A$2:$K$100,5,FALSE),"")</f>
        <v/>
      </c>
      <c r="F194" s="15">
        <f>IFERROR(VLOOKUP($B194,Community_Master!$A$2:$K$100,6,FALSE),"")</f>
        <v/>
      </c>
      <c r="G194" s="15">
        <f>IFERROR(VLOOKUP($B194,Community_Master!$A$2:$K$100,8,FALSE),"")</f>
        <v/>
      </c>
      <c r="H194" s="15">
        <f>IFERROR(VLOOKUP($B194,Community_Master!$A$2:$K$100,7,FALSE),"")</f>
        <v/>
      </c>
      <c r="I194" s="15" t="n"/>
      <c r="J194" s="15" t="n"/>
      <c r="K194" s="15" t="n"/>
      <c r="L194" s="15">
        <f>IF($H194="","",MAX($H194-$I194,0))</f>
        <v/>
      </c>
      <c r="M194" s="6">
        <f>IF($H194="","",IFERROR($I194/$H194,""))</f>
        <v/>
      </c>
      <c r="N194" s="6">
        <f>IF($H194="","",IFERROR($J194/$H194,""))</f>
        <v/>
      </c>
      <c r="O194" s="6" t="n"/>
      <c r="P194" s="7" t="n"/>
      <c r="Q194" s="7" t="n"/>
      <c r="R194" s="7" t="n"/>
      <c r="S194" s="7" t="n"/>
      <c r="T194" s="7">
        <f>IF($H194="","",IFERROR($H194*$P194,""))</f>
        <v/>
      </c>
      <c r="U194" s="7" t="n"/>
      <c r="V194" s="7" t="n"/>
      <c r="W194" s="7" t="n"/>
      <c r="X194" s="7">
        <f>IF(OR($U194="",$W194=""),"",($U194+$V194)-$W194)</f>
        <v/>
      </c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9" t="n"/>
      <c r="AJ194" s="8" t="n"/>
      <c r="AK194" s="8" t="n"/>
      <c r="AL194" s="15" t="n"/>
      <c r="AM194" s="15" t="n"/>
      <c r="AN194" s="15" t="n"/>
      <c r="AO194" s="15" t="n"/>
      <c r="AP194" s="10" t="n"/>
      <c r="AQ194" s="15">
        <f>IF($B194="","",IF(OR(ISERROR(MATCH($B194,Community_Master!$A$2:$A$100,0)),$A194="",AND($H194&lt;&gt;"",$I194&gt;$H194),AND($H194&lt;&gt;"",$J194&gt;$H194),$I194&lt;0,$J194&lt;0,$K194&lt;0,$P194&lt;0,$Q194&lt;0,$Y194&lt;0,$Z194&lt;0,$AA194&lt;0,$AB194&lt;0,$AC194&lt;0),"ERROR","OK"))</f>
        <v/>
      </c>
      <c r="AR194" s="15">
        <f>IF($B194="","",TRIM(IF(ISERROR(MATCH($B194,Community_Master!$A$2:$A$100,0)),"Invalid Community_ID; ","")&amp;IF($A194="","Missing Report_Month; ","")&amp;IF(AND($H194&lt;&gt;"",$I194&gt;$H194),"Occupied_Units greater than Total_Units; ","")&amp;IF(AND($H194&lt;&gt;"",$J194&gt;$H194),"Leased_Units greater than Total_Units; ","")&amp;IF($I194&lt;0,"Occupied_Units negative; ","")&amp;IF($J194&lt;0,"Leased_Units negative; ","")&amp;IF($P194&lt;0,"Avg_Market_Rent negative; ","")))</f>
        <v/>
      </c>
    </row>
    <row r="195" ht="15" customHeight="1">
      <c r="A195" s="5" t="n"/>
      <c r="B195" s="15" t="n"/>
      <c r="C195" s="15">
        <f>IFERROR(VLOOKUP($B195,Community_Master!$A$2:$K$100,2,FALSE),"")</f>
        <v/>
      </c>
      <c r="D195" s="15">
        <f>IFERROR(VLOOKUP($B195,Community_Master!$A$2:$K$100,4,FALSE),"")</f>
        <v/>
      </c>
      <c r="E195" s="15">
        <f>IFERROR(VLOOKUP($B195,Community_Master!$A$2:$K$100,5,FALSE),"")</f>
        <v/>
      </c>
      <c r="F195" s="15">
        <f>IFERROR(VLOOKUP($B195,Community_Master!$A$2:$K$100,6,FALSE),"")</f>
        <v/>
      </c>
      <c r="G195" s="15">
        <f>IFERROR(VLOOKUP($B195,Community_Master!$A$2:$K$100,8,FALSE),"")</f>
        <v/>
      </c>
      <c r="H195" s="15">
        <f>IFERROR(VLOOKUP($B195,Community_Master!$A$2:$K$100,7,FALSE),"")</f>
        <v/>
      </c>
      <c r="I195" s="15" t="n"/>
      <c r="J195" s="15" t="n"/>
      <c r="K195" s="15" t="n"/>
      <c r="L195" s="15">
        <f>IF($H195="","",MAX($H195-$I195,0))</f>
        <v/>
      </c>
      <c r="M195" s="6">
        <f>IF($H195="","",IFERROR($I195/$H195,""))</f>
        <v/>
      </c>
      <c r="N195" s="6">
        <f>IF($H195="","",IFERROR($J195/$H195,""))</f>
        <v/>
      </c>
      <c r="O195" s="6" t="n"/>
      <c r="P195" s="7" t="n"/>
      <c r="Q195" s="7" t="n"/>
      <c r="R195" s="7" t="n"/>
      <c r="S195" s="7" t="n"/>
      <c r="T195" s="7">
        <f>IF($H195="","",IFERROR($H195*$P195,""))</f>
        <v/>
      </c>
      <c r="U195" s="7" t="n"/>
      <c r="V195" s="7" t="n"/>
      <c r="W195" s="7" t="n"/>
      <c r="X195" s="7">
        <f>IF(OR($U195="",$W195=""),"",($U195+$V195)-$W195)</f>
        <v/>
      </c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9" t="n"/>
      <c r="AJ195" s="8" t="n"/>
      <c r="AK195" s="8" t="n"/>
      <c r="AL195" s="15" t="n"/>
      <c r="AM195" s="15" t="n"/>
      <c r="AN195" s="15" t="n"/>
      <c r="AO195" s="15" t="n"/>
      <c r="AP195" s="10" t="n"/>
      <c r="AQ195" s="15">
        <f>IF($B195="","",IF(OR(ISERROR(MATCH($B195,Community_Master!$A$2:$A$100,0)),$A195="",AND($H195&lt;&gt;"",$I195&gt;$H195),AND($H195&lt;&gt;"",$J195&gt;$H195),$I195&lt;0,$J195&lt;0,$K195&lt;0,$P195&lt;0,$Q195&lt;0,$Y195&lt;0,$Z195&lt;0,$AA195&lt;0,$AB195&lt;0,$AC195&lt;0),"ERROR","OK"))</f>
        <v/>
      </c>
      <c r="AR195" s="15">
        <f>IF($B195="","",TRIM(IF(ISERROR(MATCH($B195,Community_Master!$A$2:$A$100,0)),"Invalid Community_ID; ","")&amp;IF($A195="","Missing Report_Month; ","")&amp;IF(AND($H195&lt;&gt;"",$I195&gt;$H195),"Occupied_Units greater than Total_Units; ","")&amp;IF(AND($H195&lt;&gt;"",$J195&gt;$H195),"Leased_Units greater than Total_Units; ","")&amp;IF($I195&lt;0,"Occupied_Units negative; ","")&amp;IF($J195&lt;0,"Leased_Units negative; ","")&amp;IF($P195&lt;0,"Avg_Market_Rent negative; ","")))</f>
        <v/>
      </c>
    </row>
    <row r="196" ht="15" customHeight="1">
      <c r="A196" s="5" t="n"/>
      <c r="B196" s="15" t="n"/>
      <c r="C196" s="15">
        <f>IFERROR(VLOOKUP($B196,Community_Master!$A$2:$K$100,2,FALSE),"")</f>
        <v/>
      </c>
      <c r="D196" s="15">
        <f>IFERROR(VLOOKUP($B196,Community_Master!$A$2:$K$100,4,FALSE),"")</f>
        <v/>
      </c>
      <c r="E196" s="15">
        <f>IFERROR(VLOOKUP($B196,Community_Master!$A$2:$K$100,5,FALSE),"")</f>
        <v/>
      </c>
      <c r="F196" s="15">
        <f>IFERROR(VLOOKUP($B196,Community_Master!$A$2:$K$100,6,FALSE),"")</f>
        <v/>
      </c>
      <c r="G196" s="15">
        <f>IFERROR(VLOOKUP($B196,Community_Master!$A$2:$K$100,8,FALSE),"")</f>
        <v/>
      </c>
      <c r="H196" s="15">
        <f>IFERROR(VLOOKUP($B196,Community_Master!$A$2:$K$100,7,FALSE),"")</f>
        <v/>
      </c>
      <c r="I196" s="15" t="n"/>
      <c r="J196" s="15" t="n"/>
      <c r="K196" s="15" t="n"/>
      <c r="L196" s="15">
        <f>IF($H196="","",MAX($H196-$I196,0))</f>
        <v/>
      </c>
      <c r="M196" s="6">
        <f>IF($H196="","",IFERROR($I196/$H196,""))</f>
        <v/>
      </c>
      <c r="N196" s="6">
        <f>IF($H196="","",IFERROR($J196/$H196,""))</f>
        <v/>
      </c>
      <c r="O196" s="6" t="n"/>
      <c r="P196" s="7" t="n"/>
      <c r="Q196" s="7" t="n"/>
      <c r="R196" s="7" t="n"/>
      <c r="S196" s="7" t="n"/>
      <c r="T196" s="7">
        <f>IF($H196="","",IFERROR($H196*$P196,""))</f>
        <v/>
      </c>
      <c r="U196" s="7" t="n"/>
      <c r="V196" s="7" t="n"/>
      <c r="W196" s="7" t="n"/>
      <c r="X196" s="7">
        <f>IF(OR($U196="",$W196=""),"",($U196+$V196)-$W196)</f>
        <v/>
      </c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9" t="n"/>
      <c r="AJ196" s="8" t="n"/>
      <c r="AK196" s="8" t="n"/>
      <c r="AL196" s="15" t="n"/>
      <c r="AM196" s="15" t="n"/>
      <c r="AN196" s="15" t="n"/>
      <c r="AO196" s="15" t="n"/>
      <c r="AP196" s="10" t="n"/>
      <c r="AQ196" s="15">
        <f>IF($B196="","",IF(OR(ISERROR(MATCH($B196,Community_Master!$A$2:$A$100,0)),$A196="",AND($H196&lt;&gt;"",$I196&gt;$H196),AND($H196&lt;&gt;"",$J196&gt;$H196),$I196&lt;0,$J196&lt;0,$K196&lt;0,$P196&lt;0,$Q196&lt;0,$Y196&lt;0,$Z196&lt;0,$AA196&lt;0,$AB196&lt;0,$AC196&lt;0),"ERROR","OK"))</f>
        <v/>
      </c>
      <c r="AR196" s="15">
        <f>IF($B196="","",TRIM(IF(ISERROR(MATCH($B196,Community_Master!$A$2:$A$100,0)),"Invalid Community_ID; ","")&amp;IF($A196="","Missing Report_Month; ","")&amp;IF(AND($H196&lt;&gt;"",$I196&gt;$H196),"Occupied_Units greater than Total_Units; ","")&amp;IF(AND($H196&lt;&gt;"",$J196&gt;$H196),"Leased_Units greater than Total_Units; ","")&amp;IF($I196&lt;0,"Occupied_Units negative; ","")&amp;IF($J196&lt;0,"Leased_Units negative; ","")&amp;IF($P196&lt;0,"Avg_Market_Rent negative; ","")))</f>
        <v/>
      </c>
    </row>
    <row r="197" ht="15" customHeight="1">
      <c r="A197" s="5" t="n"/>
      <c r="B197" s="15" t="n"/>
      <c r="C197" s="15">
        <f>IFERROR(VLOOKUP($B197,Community_Master!$A$2:$K$100,2,FALSE),"")</f>
        <v/>
      </c>
      <c r="D197" s="15">
        <f>IFERROR(VLOOKUP($B197,Community_Master!$A$2:$K$100,4,FALSE),"")</f>
        <v/>
      </c>
      <c r="E197" s="15">
        <f>IFERROR(VLOOKUP($B197,Community_Master!$A$2:$K$100,5,FALSE),"")</f>
        <v/>
      </c>
      <c r="F197" s="15">
        <f>IFERROR(VLOOKUP($B197,Community_Master!$A$2:$K$100,6,FALSE),"")</f>
        <v/>
      </c>
      <c r="G197" s="15">
        <f>IFERROR(VLOOKUP($B197,Community_Master!$A$2:$K$100,8,FALSE),"")</f>
        <v/>
      </c>
      <c r="H197" s="15">
        <f>IFERROR(VLOOKUP($B197,Community_Master!$A$2:$K$100,7,FALSE),"")</f>
        <v/>
      </c>
      <c r="I197" s="15" t="n"/>
      <c r="J197" s="15" t="n"/>
      <c r="K197" s="15" t="n"/>
      <c r="L197" s="15">
        <f>IF($H197="","",MAX($H197-$I197,0))</f>
        <v/>
      </c>
      <c r="M197" s="6">
        <f>IF($H197="","",IFERROR($I197/$H197,""))</f>
        <v/>
      </c>
      <c r="N197" s="6">
        <f>IF($H197="","",IFERROR($J197/$H197,""))</f>
        <v/>
      </c>
      <c r="O197" s="6" t="n"/>
      <c r="P197" s="7" t="n"/>
      <c r="Q197" s="7" t="n"/>
      <c r="R197" s="7" t="n"/>
      <c r="S197" s="7" t="n"/>
      <c r="T197" s="7">
        <f>IF($H197="","",IFERROR($H197*$P197,""))</f>
        <v/>
      </c>
      <c r="U197" s="7" t="n"/>
      <c r="V197" s="7" t="n"/>
      <c r="W197" s="7" t="n"/>
      <c r="X197" s="7">
        <f>IF(OR($U197="",$W197=""),"",($U197+$V197)-$W197)</f>
        <v/>
      </c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9" t="n"/>
      <c r="AJ197" s="8" t="n"/>
      <c r="AK197" s="8" t="n"/>
      <c r="AL197" s="15" t="n"/>
      <c r="AM197" s="15" t="n"/>
      <c r="AN197" s="15" t="n"/>
      <c r="AO197" s="15" t="n"/>
      <c r="AP197" s="10" t="n"/>
      <c r="AQ197" s="15">
        <f>IF($B197="","",IF(OR(ISERROR(MATCH($B197,Community_Master!$A$2:$A$100,0)),$A197="",AND($H197&lt;&gt;"",$I197&gt;$H197),AND($H197&lt;&gt;"",$J197&gt;$H197),$I197&lt;0,$J197&lt;0,$K197&lt;0,$P197&lt;0,$Q197&lt;0,$Y197&lt;0,$Z197&lt;0,$AA197&lt;0,$AB197&lt;0,$AC197&lt;0),"ERROR","OK"))</f>
        <v/>
      </c>
      <c r="AR197" s="15">
        <f>IF($B197="","",TRIM(IF(ISERROR(MATCH($B197,Community_Master!$A$2:$A$100,0)),"Invalid Community_ID; ","")&amp;IF($A197="","Missing Report_Month; ","")&amp;IF(AND($H197&lt;&gt;"",$I197&gt;$H197),"Occupied_Units greater than Total_Units; ","")&amp;IF(AND($H197&lt;&gt;"",$J197&gt;$H197),"Leased_Units greater than Total_Units; ","")&amp;IF($I197&lt;0,"Occupied_Units negative; ","")&amp;IF($J197&lt;0,"Leased_Units negative; ","")&amp;IF($P197&lt;0,"Avg_Market_Rent negative; ","")))</f>
        <v/>
      </c>
    </row>
    <row r="198" ht="15" customHeight="1">
      <c r="A198" s="5" t="n"/>
      <c r="B198" s="15" t="n"/>
      <c r="C198" s="15">
        <f>IFERROR(VLOOKUP($B198,Community_Master!$A$2:$K$100,2,FALSE),"")</f>
        <v/>
      </c>
      <c r="D198" s="15">
        <f>IFERROR(VLOOKUP($B198,Community_Master!$A$2:$K$100,4,FALSE),"")</f>
        <v/>
      </c>
      <c r="E198" s="15">
        <f>IFERROR(VLOOKUP($B198,Community_Master!$A$2:$K$100,5,FALSE),"")</f>
        <v/>
      </c>
      <c r="F198" s="15">
        <f>IFERROR(VLOOKUP($B198,Community_Master!$A$2:$K$100,6,FALSE),"")</f>
        <v/>
      </c>
      <c r="G198" s="15">
        <f>IFERROR(VLOOKUP($B198,Community_Master!$A$2:$K$100,8,FALSE),"")</f>
        <v/>
      </c>
      <c r="H198" s="15">
        <f>IFERROR(VLOOKUP($B198,Community_Master!$A$2:$K$100,7,FALSE),"")</f>
        <v/>
      </c>
      <c r="I198" s="15" t="n"/>
      <c r="J198" s="15" t="n"/>
      <c r="K198" s="15" t="n"/>
      <c r="L198" s="15">
        <f>IF($H198="","",MAX($H198-$I198,0))</f>
        <v/>
      </c>
      <c r="M198" s="6">
        <f>IF($H198="","",IFERROR($I198/$H198,""))</f>
        <v/>
      </c>
      <c r="N198" s="6">
        <f>IF($H198="","",IFERROR($J198/$H198,""))</f>
        <v/>
      </c>
      <c r="O198" s="6" t="n"/>
      <c r="P198" s="7" t="n"/>
      <c r="Q198" s="7" t="n"/>
      <c r="R198" s="7" t="n"/>
      <c r="S198" s="7" t="n"/>
      <c r="T198" s="7">
        <f>IF($H198="","",IFERROR($H198*$P198,""))</f>
        <v/>
      </c>
      <c r="U198" s="7" t="n"/>
      <c r="V198" s="7" t="n"/>
      <c r="W198" s="7" t="n"/>
      <c r="X198" s="7">
        <f>IF(OR($U198="",$W198=""),"",($U198+$V198)-$W198)</f>
        <v/>
      </c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9" t="n"/>
      <c r="AJ198" s="8" t="n"/>
      <c r="AK198" s="8" t="n"/>
      <c r="AL198" s="15" t="n"/>
      <c r="AM198" s="15" t="n"/>
      <c r="AN198" s="15" t="n"/>
      <c r="AO198" s="15" t="n"/>
      <c r="AP198" s="10" t="n"/>
      <c r="AQ198" s="15">
        <f>IF($B198="","",IF(OR(ISERROR(MATCH($B198,Community_Master!$A$2:$A$100,0)),$A198="",AND($H198&lt;&gt;"",$I198&gt;$H198),AND($H198&lt;&gt;"",$J198&gt;$H198),$I198&lt;0,$J198&lt;0,$K198&lt;0,$P198&lt;0,$Q198&lt;0,$Y198&lt;0,$Z198&lt;0,$AA198&lt;0,$AB198&lt;0,$AC198&lt;0),"ERROR","OK"))</f>
        <v/>
      </c>
      <c r="AR198" s="15">
        <f>IF($B198="","",TRIM(IF(ISERROR(MATCH($B198,Community_Master!$A$2:$A$100,0)),"Invalid Community_ID; ","")&amp;IF($A198="","Missing Report_Month; ","")&amp;IF(AND($H198&lt;&gt;"",$I198&gt;$H198),"Occupied_Units greater than Total_Units; ","")&amp;IF(AND($H198&lt;&gt;"",$J198&gt;$H198),"Leased_Units greater than Total_Units; ","")&amp;IF($I198&lt;0,"Occupied_Units negative; ","")&amp;IF($J198&lt;0,"Leased_Units negative; ","")&amp;IF($P198&lt;0,"Avg_Market_Rent negative; ","")))</f>
        <v/>
      </c>
    </row>
    <row r="199" ht="15" customHeight="1">
      <c r="A199" s="5" t="n"/>
      <c r="B199" s="15" t="n"/>
      <c r="C199" s="15">
        <f>IFERROR(VLOOKUP($B199,Community_Master!$A$2:$K$100,2,FALSE),"")</f>
        <v/>
      </c>
      <c r="D199" s="15">
        <f>IFERROR(VLOOKUP($B199,Community_Master!$A$2:$K$100,4,FALSE),"")</f>
        <v/>
      </c>
      <c r="E199" s="15">
        <f>IFERROR(VLOOKUP($B199,Community_Master!$A$2:$K$100,5,FALSE),"")</f>
        <v/>
      </c>
      <c r="F199" s="15">
        <f>IFERROR(VLOOKUP($B199,Community_Master!$A$2:$K$100,6,FALSE),"")</f>
        <v/>
      </c>
      <c r="G199" s="15">
        <f>IFERROR(VLOOKUP($B199,Community_Master!$A$2:$K$100,8,FALSE),"")</f>
        <v/>
      </c>
      <c r="H199" s="15">
        <f>IFERROR(VLOOKUP($B199,Community_Master!$A$2:$K$100,7,FALSE),"")</f>
        <v/>
      </c>
      <c r="I199" s="15" t="n"/>
      <c r="J199" s="15" t="n"/>
      <c r="K199" s="15" t="n"/>
      <c r="L199" s="15">
        <f>IF($H199="","",MAX($H199-$I199,0))</f>
        <v/>
      </c>
      <c r="M199" s="6">
        <f>IF($H199="","",IFERROR($I199/$H199,""))</f>
        <v/>
      </c>
      <c r="N199" s="6">
        <f>IF($H199="","",IFERROR($J199/$H199,""))</f>
        <v/>
      </c>
      <c r="O199" s="6" t="n"/>
      <c r="P199" s="7" t="n"/>
      <c r="Q199" s="7" t="n"/>
      <c r="R199" s="7" t="n"/>
      <c r="S199" s="7" t="n"/>
      <c r="T199" s="7">
        <f>IF($H199="","",IFERROR($H199*$P199,""))</f>
        <v/>
      </c>
      <c r="U199" s="7" t="n"/>
      <c r="V199" s="7" t="n"/>
      <c r="W199" s="7" t="n"/>
      <c r="X199" s="7">
        <f>IF(OR($U199="",$W199=""),"",($U199+$V199)-$W199)</f>
        <v/>
      </c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9" t="n"/>
      <c r="AJ199" s="8" t="n"/>
      <c r="AK199" s="8" t="n"/>
      <c r="AL199" s="15" t="n"/>
      <c r="AM199" s="15" t="n"/>
      <c r="AN199" s="15" t="n"/>
      <c r="AO199" s="15" t="n"/>
      <c r="AP199" s="10" t="n"/>
      <c r="AQ199" s="15">
        <f>IF($B199="","",IF(OR(ISERROR(MATCH($B199,Community_Master!$A$2:$A$100,0)),$A199="",AND($H199&lt;&gt;"",$I199&gt;$H199),AND($H199&lt;&gt;"",$J199&gt;$H199),$I199&lt;0,$J199&lt;0,$K199&lt;0,$P199&lt;0,$Q199&lt;0,$Y199&lt;0,$Z199&lt;0,$AA199&lt;0,$AB199&lt;0,$AC199&lt;0),"ERROR","OK"))</f>
        <v/>
      </c>
      <c r="AR199" s="15">
        <f>IF($B199="","",TRIM(IF(ISERROR(MATCH($B199,Community_Master!$A$2:$A$100,0)),"Invalid Community_ID; ","")&amp;IF($A199="","Missing Report_Month; ","")&amp;IF(AND($H199&lt;&gt;"",$I199&gt;$H199),"Occupied_Units greater than Total_Units; ","")&amp;IF(AND($H199&lt;&gt;"",$J199&gt;$H199),"Leased_Units greater than Total_Units; ","")&amp;IF($I199&lt;0,"Occupied_Units negative; ","")&amp;IF($J199&lt;0,"Leased_Units negative; ","")&amp;IF($P199&lt;0,"Avg_Market_Rent negative; ","")))</f>
        <v/>
      </c>
    </row>
    <row r="200" ht="15" customHeight="1">
      <c r="A200" s="5" t="n"/>
      <c r="B200" s="15" t="n"/>
      <c r="C200" s="15">
        <f>IFERROR(VLOOKUP($B200,Community_Master!$A$2:$K$100,2,FALSE),"")</f>
        <v/>
      </c>
      <c r="D200" s="15">
        <f>IFERROR(VLOOKUP($B200,Community_Master!$A$2:$K$100,4,FALSE),"")</f>
        <v/>
      </c>
      <c r="E200" s="15">
        <f>IFERROR(VLOOKUP($B200,Community_Master!$A$2:$K$100,5,FALSE),"")</f>
        <v/>
      </c>
      <c r="F200" s="15">
        <f>IFERROR(VLOOKUP($B200,Community_Master!$A$2:$K$100,6,FALSE),"")</f>
        <v/>
      </c>
      <c r="G200" s="15">
        <f>IFERROR(VLOOKUP($B200,Community_Master!$A$2:$K$100,8,FALSE),"")</f>
        <v/>
      </c>
      <c r="H200" s="15">
        <f>IFERROR(VLOOKUP($B200,Community_Master!$A$2:$K$100,7,FALSE),"")</f>
        <v/>
      </c>
      <c r="I200" s="15" t="n"/>
      <c r="J200" s="15" t="n"/>
      <c r="K200" s="15" t="n"/>
      <c r="L200" s="15">
        <f>IF($H200="","",MAX($H200-$I200,0))</f>
        <v/>
      </c>
      <c r="M200" s="6">
        <f>IF($H200="","",IFERROR($I200/$H200,""))</f>
        <v/>
      </c>
      <c r="N200" s="6">
        <f>IF($H200="","",IFERROR($J200/$H200,""))</f>
        <v/>
      </c>
      <c r="O200" s="6" t="n"/>
      <c r="P200" s="7" t="n"/>
      <c r="Q200" s="7" t="n"/>
      <c r="R200" s="7" t="n"/>
      <c r="S200" s="7" t="n"/>
      <c r="T200" s="7">
        <f>IF($H200="","",IFERROR($H200*$P200,""))</f>
        <v/>
      </c>
      <c r="U200" s="7" t="n"/>
      <c r="V200" s="7" t="n"/>
      <c r="W200" s="7" t="n"/>
      <c r="X200" s="7">
        <f>IF(OR($U200="",$W200=""),"",($U200+$V200)-$W200)</f>
        <v/>
      </c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9" t="n"/>
      <c r="AJ200" s="8" t="n"/>
      <c r="AK200" s="8" t="n"/>
      <c r="AL200" s="15" t="n"/>
      <c r="AM200" s="15" t="n"/>
      <c r="AN200" s="15" t="n"/>
      <c r="AO200" s="15" t="n"/>
      <c r="AP200" s="10" t="n"/>
      <c r="AQ200" s="15">
        <f>IF($B200="","",IF(OR(ISERROR(MATCH($B200,Community_Master!$A$2:$A$100,0)),$A200="",AND($H200&lt;&gt;"",$I200&gt;$H200),AND($H200&lt;&gt;"",$J200&gt;$H200),$I200&lt;0,$J200&lt;0,$K200&lt;0,$P200&lt;0,$Q200&lt;0,$Y200&lt;0,$Z200&lt;0,$AA200&lt;0,$AB200&lt;0,$AC200&lt;0),"ERROR","OK"))</f>
        <v/>
      </c>
      <c r="AR200" s="15">
        <f>IF($B200="","",TRIM(IF(ISERROR(MATCH($B200,Community_Master!$A$2:$A$100,0)),"Invalid Community_ID; ","")&amp;IF($A200="","Missing Report_Month; ","")&amp;IF(AND($H200&lt;&gt;"",$I200&gt;$H200),"Occupied_Units greater than Total_Units; ","")&amp;IF(AND($H200&lt;&gt;"",$J200&gt;$H200),"Leased_Units greater than Total_Units; ","")&amp;IF($I200&lt;0,"Occupied_Units negative; ","")&amp;IF($J200&lt;0,"Leased_Units negative; ","")&amp;IF($P200&lt;0,"Avg_Market_Rent negative; ","")))</f>
        <v/>
      </c>
    </row>
    <row r="201" ht="15" customHeight="1">
      <c r="A201" s="5" t="n"/>
      <c r="B201" s="15" t="n"/>
      <c r="C201" s="15">
        <f>IFERROR(VLOOKUP($B201,Community_Master!$A$2:$K$100,2,FALSE),"")</f>
        <v/>
      </c>
      <c r="D201" s="15">
        <f>IFERROR(VLOOKUP($B201,Community_Master!$A$2:$K$100,4,FALSE),"")</f>
        <v/>
      </c>
      <c r="E201" s="15">
        <f>IFERROR(VLOOKUP($B201,Community_Master!$A$2:$K$100,5,FALSE),"")</f>
        <v/>
      </c>
      <c r="F201" s="15">
        <f>IFERROR(VLOOKUP($B201,Community_Master!$A$2:$K$100,6,FALSE),"")</f>
        <v/>
      </c>
      <c r="G201" s="15">
        <f>IFERROR(VLOOKUP($B201,Community_Master!$A$2:$K$100,8,FALSE),"")</f>
        <v/>
      </c>
      <c r="H201" s="15">
        <f>IFERROR(VLOOKUP($B201,Community_Master!$A$2:$K$100,7,FALSE),"")</f>
        <v/>
      </c>
      <c r="I201" s="15" t="n"/>
      <c r="J201" s="15" t="n"/>
      <c r="K201" s="15" t="n"/>
      <c r="L201" s="15">
        <f>IF($H201="","",MAX($H201-$I201,0))</f>
        <v/>
      </c>
      <c r="M201" s="6">
        <f>IF($H201="","",IFERROR($I201/$H201,""))</f>
        <v/>
      </c>
      <c r="N201" s="6">
        <f>IF($H201="","",IFERROR($J201/$H201,""))</f>
        <v/>
      </c>
      <c r="O201" s="6" t="n"/>
      <c r="P201" s="7" t="n"/>
      <c r="Q201" s="7" t="n"/>
      <c r="R201" s="7" t="n"/>
      <c r="S201" s="7" t="n"/>
      <c r="T201" s="7">
        <f>IF($H201="","",IFERROR($H201*$P201,""))</f>
        <v/>
      </c>
      <c r="U201" s="7" t="n"/>
      <c r="V201" s="7" t="n"/>
      <c r="W201" s="7" t="n"/>
      <c r="X201" s="7">
        <f>IF(OR($U201="",$W201=""),"",($U201+$V201)-$W201)</f>
        <v/>
      </c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9" t="n"/>
      <c r="AJ201" s="8" t="n"/>
      <c r="AK201" s="8" t="n"/>
      <c r="AL201" s="15" t="n"/>
      <c r="AM201" s="15" t="n"/>
      <c r="AN201" s="15" t="n"/>
      <c r="AO201" s="15" t="n"/>
      <c r="AP201" s="10" t="n"/>
      <c r="AQ201" s="15">
        <f>IF($B201="","",IF(OR(ISERROR(MATCH($B201,Community_Master!$A$2:$A$100,0)),$A201="",AND($H201&lt;&gt;"",$I201&gt;$H201),AND($H201&lt;&gt;"",$J201&gt;$H201),$I201&lt;0,$J201&lt;0,$K201&lt;0,$P201&lt;0,$Q201&lt;0,$Y201&lt;0,$Z201&lt;0,$AA201&lt;0,$AB201&lt;0,$AC201&lt;0),"ERROR","OK"))</f>
        <v/>
      </c>
      <c r="AR201" s="15">
        <f>IF($B201="","",TRIM(IF(ISERROR(MATCH($B201,Community_Master!$A$2:$A$100,0)),"Invalid Community_ID; ","")&amp;IF($A201="","Missing Report_Month; ","")&amp;IF(AND($H201&lt;&gt;"",$I201&gt;$H201),"Occupied_Units greater than Total_Units; ","")&amp;IF(AND($H201&lt;&gt;"",$J201&gt;$H201),"Leased_Units greater than Total_Units; ","")&amp;IF($I201&lt;0,"Occupied_Units negative; ","")&amp;IF($J201&lt;0,"Leased_Units negative; ","")&amp;IF($P201&lt;0,"Avg_Market_Rent negative; ","")))</f>
        <v/>
      </c>
    </row>
    <row r="202" ht="15" customHeight="1">
      <c r="A202" s="5" t="n"/>
      <c r="B202" s="15" t="n"/>
      <c r="C202" s="15">
        <f>IFERROR(VLOOKUP($B202,Community_Master!$A$2:$K$100,2,FALSE),"")</f>
        <v/>
      </c>
      <c r="D202" s="15">
        <f>IFERROR(VLOOKUP($B202,Community_Master!$A$2:$K$100,4,FALSE),"")</f>
        <v/>
      </c>
      <c r="E202" s="15">
        <f>IFERROR(VLOOKUP($B202,Community_Master!$A$2:$K$100,5,FALSE),"")</f>
        <v/>
      </c>
      <c r="F202" s="15">
        <f>IFERROR(VLOOKUP($B202,Community_Master!$A$2:$K$100,6,FALSE),"")</f>
        <v/>
      </c>
      <c r="G202" s="15">
        <f>IFERROR(VLOOKUP($B202,Community_Master!$A$2:$K$100,8,FALSE),"")</f>
        <v/>
      </c>
      <c r="H202" s="15">
        <f>IFERROR(VLOOKUP($B202,Community_Master!$A$2:$K$100,7,FALSE),"")</f>
        <v/>
      </c>
      <c r="I202" s="15" t="n"/>
      <c r="J202" s="15" t="n"/>
      <c r="K202" s="15" t="n"/>
      <c r="L202" s="15">
        <f>IF($H202="","",MAX($H202-$I202,0))</f>
        <v/>
      </c>
      <c r="M202" s="6">
        <f>IF($H202="","",IFERROR($I202/$H202,""))</f>
        <v/>
      </c>
      <c r="N202" s="6">
        <f>IF($H202="","",IFERROR($J202/$H202,""))</f>
        <v/>
      </c>
      <c r="O202" s="6" t="n"/>
      <c r="P202" s="7" t="n"/>
      <c r="Q202" s="7" t="n"/>
      <c r="R202" s="7" t="n"/>
      <c r="S202" s="7" t="n"/>
      <c r="T202" s="7">
        <f>IF($H202="","",IFERROR($H202*$P202,""))</f>
        <v/>
      </c>
      <c r="U202" s="7" t="n"/>
      <c r="V202" s="7" t="n"/>
      <c r="W202" s="7" t="n"/>
      <c r="X202" s="7">
        <f>IF(OR($U202="",$W202=""),"",($U202+$V202)-$W202)</f>
        <v/>
      </c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9" t="n"/>
      <c r="AJ202" s="8" t="n"/>
      <c r="AK202" s="8" t="n"/>
      <c r="AL202" s="15" t="n"/>
      <c r="AM202" s="15" t="n"/>
      <c r="AN202" s="15" t="n"/>
      <c r="AO202" s="15" t="n"/>
      <c r="AP202" s="10" t="n"/>
      <c r="AQ202" s="15">
        <f>IF($B202="","",IF(OR(ISERROR(MATCH($B202,Community_Master!$A$2:$A$100,0)),$A202="",AND($H202&lt;&gt;"",$I202&gt;$H202),AND($H202&lt;&gt;"",$J202&gt;$H202),$I202&lt;0,$J202&lt;0,$K202&lt;0,$P202&lt;0,$Q202&lt;0,$Y202&lt;0,$Z202&lt;0,$AA202&lt;0,$AB202&lt;0,$AC202&lt;0),"ERROR","OK"))</f>
        <v/>
      </c>
      <c r="AR202" s="15">
        <f>IF($B202="","",TRIM(IF(ISERROR(MATCH($B202,Community_Master!$A$2:$A$100,0)),"Invalid Community_ID; ","")&amp;IF($A202="","Missing Report_Month; ","")&amp;IF(AND($H202&lt;&gt;"",$I202&gt;$H202),"Occupied_Units greater than Total_Units; ","")&amp;IF(AND($H202&lt;&gt;"",$J202&gt;$H202),"Leased_Units greater than Total_Units; ","")&amp;IF($I202&lt;0,"Occupied_Units negative; ","")&amp;IF($J202&lt;0,"Leased_Units negative; ","")&amp;IF($P202&lt;0,"Avg_Market_Rent negative; ","")))</f>
        <v/>
      </c>
    </row>
    <row r="203" ht="15" customHeight="1">
      <c r="A203" s="5" t="n"/>
      <c r="B203" s="15" t="n"/>
      <c r="C203" s="15">
        <f>IFERROR(VLOOKUP($B203,Community_Master!$A$2:$K$100,2,FALSE),"")</f>
        <v/>
      </c>
      <c r="D203" s="15">
        <f>IFERROR(VLOOKUP($B203,Community_Master!$A$2:$K$100,4,FALSE),"")</f>
        <v/>
      </c>
      <c r="E203" s="15">
        <f>IFERROR(VLOOKUP($B203,Community_Master!$A$2:$K$100,5,FALSE),"")</f>
        <v/>
      </c>
      <c r="F203" s="15">
        <f>IFERROR(VLOOKUP($B203,Community_Master!$A$2:$K$100,6,FALSE),"")</f>
        <v/>
      </c>
      <c r="G203" s="15">
        <f>IFERROR(VLOOKUP($B203,Community_Master!$A$2:$K$100,8,FALSE),"")</f>
        <v/>
      </c>
      <c r="H203" s="15">
        <f>IFERROR(VLOOKUP($B203,Community_Master!$A$2:$K$100,7,FALSE),"")</f>
        <v/>
      </c>
      <c r="I203" s="15" t="n"/>
      <c r="J203" s="15" t="n"/>
      <c r="K203" s="15" t="n"/>
      <c r="L203" s="15">
        <f>IF($H203="","",MAX($H203-$I203,0))</f>
        <v/>
      </c>
      <c r="M203" s="6">
        <f>IF($H203="","",IFERROR($I203/$H203,""))</f>
        <v/>
      </c>
      <c r="N203" s="6">
        <f>IF($H203="","",IFERROR($J203/$H203,""))</f>
        <v/>
      </c>
      <c r="O203" s="6" t="n"/>
      <c r="P203" s="7" t="n"/>
      <c r="Q203" s="7" t="n"/>
      <c r="R203" s="7" t="n"/>
      <c r="S203" s="7" t="n"/>
      <c r="T203" s="7">
        <f>IF($H203="","",IFERROR($H203*$P203,""))</f>
        <v/>
      </c>
      <c r="U203" s="7" t="n"/>
      <c r="V203" s="7" t="n"/>
      <c r="W203" s="7" t="n"/>
      <c r="X203" s="7">
        <f>IF(OR($U203="",$W203=""),"",($U203+$V203)-$W203)</f>
        <v/>
      </c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9" t="n"/>
      <c r="AJ203" s="8" t="n"/>
      <c r="AK203" s="8" t="n"/>
      <c r="AL203" s="15" t="n"/>
      <c r="AM203" s="15" t="n"/>
      <c r="AN203" s="15" t="n"/>
      <c r="AO203" s="15" t="n"/>
      <c r="AP203" s="10" t="n"/>
      <c r="AQ203" s="15">
        <f>IF($B203="","",IF(OR(ISERROR(MATCH($B203,Community_Master!$A$2:$A$100,0)),$A203="",AND($H203&lt;&gt;"",$I203&gt;$H203),AND($H203&lt;&gt;"",$J203&gt;$H203),$I203&lt;0,$J203&lt;0,$K203&lt;0,$P203&lt;0,$Q203&lt;0,$Y203&lt;0,$Z203&lt;0,$AA203&lt;0,$AB203&lt;0,$AC203&lt;0),"ERROR","OK"))</f>
        <v/>
      </c>
      <c r="AR203" s="15">
        <f>IF($B203="","",TRIM(IF(ISERROR(MATCH($B203,Community_Master!$A$2:$A$100,0)),"Invalid Community_ID; ","")&amp;IF($A203="","Missing Report_Month; ","")&amp;IF(AND($H203&lt;&gt;"",$I203&gt;$H203),"Occupied_Units greater than Total_Units; ","")&amp;IF(AND($H203&lt;&gt;"",$J203&gt;$H203),"Leased_Units greater than Total_Units; ","")&amp;IF($I203&lt;0,"Occupied_Units negative; ","")&amp;IF($J203&lt;0,"Leased_Units negative; ","")&amp;IF($P203&lt;0,"Avg_Market_Rent negative; ","")))</f>
        <v/>
      </c>
    </row>
    <row r="204" ht="15" customHeight="1">
      <c r="A204" s="5" t="n"/>
      <c r="B204" s="15" t="n"/>
      <c r="C204" s="15">
        <f>IFERROR(VLOOKUP($B204,Community_Master!$A$2:$K$100,2,FALSE),"")</f>
        <v/>
      </c>
      <c r="D204" s="15">
        <f>IFERROR(VLOOKUP($B204,Community_Master!$A$2:$K$100,4,FALSE),"")</f>
        <v/>
      </c>
      <c r="E204" s="15">
        <f>IFERROR(VLOOKUP($B204,Community_Master!$A$2:$K$100,5,FALSE),"")</f>
        <v/>
      </c>
      <c r="F204" s="15">
        <f>IFERROR(VLOOKUP($B204,Community_Master!$A$2:$K$100,6,FALSE),"")</f>
        <v/>
      </c>
      <c r="G204" s="15">
        <f>IFERROR(VLOOKUP($B204,Community_Master!$A$2:$K$100,8,FALSE),"")</f>
        <v/>
      </c>
      <c r="H204" s="15">
        <f>IFERROR(VLOOKUP($B204,Community_Master!$A$2:$K$100,7,FALSE),"")</f>
        <v/>
      </c>
      <c r="I204" s="15" t="n"/>
      <c r="J204" s="15" t="n"/>
      <c r="K204" s="15" t="n"/>
      <c r="L204" s="15">
        <f>IF($H204="","",MAX($H204-$I204,0))</f>
        <v/>
      </c>
      <c r="M204" s="6">
        <f>IF($H204="","",IFERROR($I204/$H204,""))</f>
        <v/>
      </c>
      <c r="N204" s="6">
        <f>IF($H204="","",IFERROR($J204/$H204,""))</f>
        <v/>
      </c>
      <c r="O204" s="6" t="n"/>
      <c r="P204" s="7" t="n"/>
      <c r="Q204" s="7" t="n"/>
      <c r="R204" s="7" t="n"/>
      <c r="S204" s="7" t="n"/>
      <c r="T204" s="7">
        <f>IF($H204="","",IFERROR($H204*$P204,""))</f>
        <v/>
      </c>
      <c r="U204" s="7" t="n"/>
      <c r="V204" s="7" t="n"/>
      <c r="W204" s="7" t="n"/>
      <c r="X204" s="7">
        <f>IF(OR($U204="",$W204=""),"",($U204+$V204)-$W204)</f>
        <v/>
      </c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9" t="n"/>
      <c r="AJ204" s="8" t="n"/>
      <c r="AK204" s="8" t="n"/>
      <c r="AL204" s="15" t="n"/>
      <c r="AM204" s="15" t="n"/>
      <c r="AN204" s="15" t="n"/>
      <c r="AO204" s="15" t="n"/>
      <c r="AP204" s="10" t="n"/>
      <c r="AQ204" s="15">
        <f>IF($B204="","",IF(OR(ISERROR(MATCH($B204,Community_Master!$A$2:$A$100,0)),$A204="",AND($H204&lt;&gt;"",$I204&gt;$H204),AND($H204&lt;&gt;"",$J204&gt;$H204),$I204&lt;0,$J204&lt;0,$K204&lt;0,$P204&lt;0,$Q204&lt;0,$Y204&lt;0,$Z204&lt;0,$AA204&lt;0,$AB204&lt;0,$AC204&lt;0),"ERROR","OK"))</f>
        <v/>
      </c>
      <c r="AR204" s="15">
        <f>IF($B204="","",TRIM(IF(ISERROR(MATCH($B204,Community_Master!$A$2:$A$100,0)),"Invalid Community_ID; ","")&amp;IF($A204="","Missing Report_Month; ","")&amp;IF(AND($H204&lt;&gt;"",$I204&gt;$H204),"Occupied_Units greater than Total_Units; ","")&amp;IF(AND($H204&lt;&gt;"",$J204&gt;$H204),"Leased_Units greater than Total_Units; ","")&amp;IF($I204&lt;0,"Occupied_Units negative; ","")&amp;IF($J204&lt;0,"Leased_Units negative; ","")&amp;IF($P204&lt;0,"Avg_Market_Rent negative; ","")))</f>
        <v/>
      </c>
    </row>
    <row r="205" ht="15" customHeight="1">
      <c r="A205" s="5" t="n"/>
      <c r="B205" s="15" t="n"/>
      <c r="C205" s="15">
        <f>IFERROR(VLOOKUP($B205,Community_Master!$A$2:$K$100,2,FALSE),"")</f>
        <v/>
      </c>
      <c r="D205" s="15">
        <f>IFERROR(VLOOKUP($B205,Community_Master!$A$2:$K$100,4,FALSE),"")</f>
        <v/>
      </c>
      <c r="E205" s="15">
        <f>IFERROR(VLOOKUP($B205,Community_Master!$A$2:$K$100,5,FALSE),"")</f>
        <v/>
      </c>
      <c r="F205" s="15">
        <f>IFERROR(VLOOKUP($B205,Community_Master!$A$2:$K$100,6,FALSE),"")</f>
        <v/>
      </c>
      <c r="G205" s="15">
        <f>IFERROR(VLOOKUP($B205,Community_Master!$A$2:$K$100,8,FALSE),"")</f>
        <v/>
      </c>
      <c r="H205" s="15">
        <f>IFERROR(VLOOKUP($B205,Community_Master!$A$2:$K$100,7,FALSE),"")</f>
        <v/>
      </c>
      <c r="I205" s="15" t="n"/>
      <c r="J205" s="15" t="n"/>
      <c r="K205" s="15" t="n"/>
      <c r="L205" s="15">
        <f>IF($H205="","",MAX($H205-$I205,0))</f>
        <v/>
      </c>
      <c r="M205" s="6">
        <f>IF($H205="","",IFERROR($I205/$H205,""))</f>
        <v/>
      </c>
      <c r="N205" s="6">
        <f>IF($H205="","",IFERROR($J205/$H205,""))</f>
        <v/>
      </c>
      <c r="O205" s="6" t="n"/>
      <c r="P205" s="7" t="n"/>
      <c r="Q205" s="7" t="n"/>
      <c r="R205" s="7" t="n"/>
      <c r="S205" s="7" t="n"/>
      <c r="T205" s="7">
        <f>IF($H205="","",IFERROR($H205*$P205,""))</f>
        <v/>
      </c>
      <c r="U205" s="7" t="n"/>
      <c r="V205" s="7" t="n"/>
      <c r="W205" s="7" t="n"/>
      <c r="X205" s="7">
        <f>IF(OR($U205="",$W205=""),"",($U205+$V205)-$W205)</f>
        <v/>
      </c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9" t="n"/>
      <c r="AJ205" s="8" t="n"/>
      <c r="AK205" s="8" t="n"/>
      <c r="AL205" s="15" t="n"/>
      <c r="AM205" s="15" t="n"/>
      <c r="AN205" s="15" t="n"/>
      <c r="AO205" s="15" t="n"/>
      <c r="AP205" s="10" t="n"/>
      <c r="AQ205" s="15">
        <f>IF($B205="","",IF(OR(ISERROR(MATCH($B205,Community_Master!$A$2:$A$100,0)),$A205="",AND($H205&lt;&gt;"",$I205&gt;$H205),AND($H205&lt;&gt;"",$J205&gt;$H205),$I205&lt;0,$J205&lt;0,$K205&lt;0,$P205&lt;0,$Q205&lt;0,$Y205&lt;0,$Z205&lt;0,$AA205&lt;0,$AB205&lt;0,$AC205&lt;0),"ERROR","OK"))</f>
        <v/>
      </c>
      <c r="AR205" s="15">
        <f>IF($B205="","",TRIM(IF(ISERROR(MATCH($B205,Community_Master!$A$2:$A$100,0)),"Invalid Community_ID; ","")&amp;IF($A205="","Missing Report_Month; ","")&amp;IF(AND($H205&lt;&gt;"",$I205&gt;$H205),"Occupied_Units greater than Total_Units; ","")&amp;IF(AND($H205&lt;&gt;"",$J205&gt;$H205),"Leased_Units greater than Total_Units; ","")&amp;IF($I205&lt;0,"Occupied_Units negative; ","")&amp;IF($J205&lt;0,"Leased_Units negative; ","")&amp;IF($P205&lt;0,"Avg_Market_Rent negative; ","")))</f>
        <v/>
      </c>
    </row>
    <row r="206" ht="15" customHeight="1">
      <c r="A206" s="5" t="n"/>
      <c r="B206" s="15" t="n"/>
      <c r="C206" s="15">
        <f>IFERROR(VLOOKUP($B206,Community_Master!$A$2:$K$100,2,FALSE),"")</f>
        <v/>
      </c>
      <c r="D206" s="15">
        <f>IFERROR(VLOOKUP($B206,Community_Master!$A$2:$K$100,4,FALSE),"")</f>
        <v/>
      </c>
      <c r="E206" s="15">
        <f>IFERROR(VLOOKUP($B206,Community_Master!$A$2:$K$100,5,FALSE),"")</f>
        <v/>
      </c>
      <c r="F206" s="15">
        <f>IFERROR(VLOOKUP($B206,Community_Master!$A$2:$K$100,6,FALSE),"")</f>
        <v/>
      </c>
      <c r="G206" s="15">
        <f>IFERROR(VLOOKUP($B206,Community_Master!$A$2:$K$100,8,FALSE),"")</f>
        <v/>
      </c>
      <c r="H206" s="15">
        <f>IFERROR(VLOOKUP($B206,Community_Master!$A$2:$K$100,7,FALSE),"")</f>
        <v/>
      </c>
      <c r="I206" s="15" t="n"/>
      <c r="J206" s="15" t="n"/>
      <c r="K206" s="15" t="n"/>
      <c r="L206" s="15">
        <f>IF($H206="","",MAX($H206-$I206,0))</f>
        <v/>
      </c>
      <c r="M206" s="6">
        <f>IF($H206="","",IFERROR($I206/$H206,""))</f>
        <v/>
      </c>
      <c r="N206" s="6">
        <f>IF($H206="","",IFERROR($J206/$H206,""))</f>
        <v/>
      </c>
      <c r="O206" s="6" t="n"/>
      <c r="P206" s="7" t="n"/>
      <c r="Q206" s="7" t="n"/>
      <c r="R206" s="7" t="n"/>
      <c r="S206" s="7" t="n"/>
      <c r="T206" s="7">
        <f>IF($H206="","",IFERROR($H206*$P206,""))</f>
        <v/>
      </c>
      <c r="U206" s="7" t="n"/>
      <c r="V206" s="7" t="n"/>
      <c r="W206" s="7" t="n"/>
      <c r="X206" s="7">
        <f>IF(OR($U206="",$W206=""),"",($U206+$V206)-$W206)</f>
        <v/>
      </c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9" t="n"/>
      <c r="AJ206" s="8" t="n"/>
      <c r="AK206" s="8" t="n"/>
      <c r="AL206" s="15" t="n"/>
      <c r="AM206" s="15" t="n"/>
      <c r="AN206" s="15" t="n"/>
      <c r="AO206" s="15" t="n"/>
      <c r="AP206" s="10" t="n"/>
      <c r="AQ206" s="15">
        <f>IF($B206="","",IF(OR(ISERROR(MATCH($B206,Community_Master!$A$2:$A$100,0)),$A206="",AND($H206&lt;&gt;"",$I206&gt;$H206),AND($H206&lt;&gt;"",$J206&gt;$H206),$I206&lt;0,$J206&lt;0,$K206&lt;0,$P206&lt;0,$Q206&lt;0,$Y206&lt;0,$Z206&lt;0,$AA206&lt;0,$AB206&lt;0,$AC206&lt;0),"ERROR","OK"))</f>
        <v/>
      </c>
      <c r="AR206" s="15">
        <f>IF($B206="","",TRIM(IF(ISERROR(MATCH($B206,Community_Master!$A$2:$A$100,0)),"Invalid Community_ID; ","")&amp;IF($A206="","Missing Report_Month; ","")&amp;IF(AND($H206&lt;&gt;"",$I206&gt;$H206),"Occupied_Units greater than Total_Units; ","")&amp;IF(AND($H206&lt;&gt;"",$J206&gt;$H206),"Leased_Units greater than Total_Units; ","")&amp;IF($I206&lt;0,"Occupied_Units negative; ","")&amp;IF($J206&lt;0,"Leased_Units negative; ","")&amp;IF($P206&lt;0,"Avg_Market_Rent negative; ","")))</f>
        <v/>
      </c>
    </row>
    <row r="207" ht="15" customHeight="1">
      <c r="A207" s="5" t="n"/>
      <c r="B207" s="15" t="n"/>
      <c r="C207" s="15">
        <f>IFERROR(VLOOKUP($B207,Community_Master!$A$2:$K$100,2,FALSE),"")</f>
        <v/>
      </c>
      <c r="D207" s="15">
        <f>IFERROR(VLOOKUP($B207,Community_Master!$A$2:$K$100,4,FALSE),"")</f>
        <v/>
      </c>
      <c r="E207" s="15">
        <f>IFERROR(VLOOKUP($B207,Community_Master!$A$2:$K$100,5,FALSE),"")</f>
        <v/>
      </c>
      <c r="F207" s="15">
        <f>IFERROR(VLOOKUP($B207,Community_Master!$A$2:$K$100,6,FALSE),"")</f>
        <v/>
      </c>
      <c r="G207" s="15">
        <f>IFERROR(VLOOKUP($B207,Community_Master!$A$2:$K$100,8,FALSE),"")</f>
        <v/>
      </c>
      <c r="H207" s="15">
        <f>IFERROR(VLOOKUP($B207,Community_Master!$A$2:$K$100,7,FALSE),"")</f>
        <v/>
      </c>
      <c r="I207" s="15" t="n"/>
      <c r="J207" s="15" t="n"/>
      <c r="K207" s="15" t="n"/>
      <c r="L207" s="15">
        <f>IF($H207="","",MAX($H207-$I207,0))</f>
        <v/>
      </c>
      <c r="M207" s="6">
        <f>IF($H207="","",IFERROR($I207/$H207,""))</f>
        <v/>
      </c>
      <c r="N207" s="6">
        <f>IF($H207="","",IFERROR($J207/$H207,""))</f>
        <v/>
      </c>
      <c r="O207" s="6" t="n"/>
      <c r="P207" s="7" t="n"/>
      <c r="Q207" s="7" t="n"/>
      <c r="R207" s="7" t="n"/>
      <c r="S207" s="7" t="n"/>
      <c r="T207" s="7">
        <f>IF($H207="","",IFERROR($H207*$P207,""))</f>
        <v/>
      </c>
      <c r="U207" s="7" t="n"/>
      <c r="V207" s="7" t="n"/>
      <c r="W207" s="7" t="n"/>
      <c r="X207" s="7">
        <f>IF(OR($U207="",$W207=""),"",($U207+$V207)-$W207)</f>
        <v/>
      </c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9" t="n"/>
      <c r="AJ207" s="8" t="n"/>
      <c r="AK207" s="8" t="n"/>
      <c r="AL207" s="15" t="n"/>
      <c r="AM207" s="15" t="n"/>
      <c r="AN207" s="15" t="n"/>
      <c r="AO207" s="15" t="n"/>
      <c r="AP207" s="10" t="n"/>
      <c r="AQ207" s="15">
        <f>IF($B207="","",IF(OR(ISERROR(MATCH($B207,Community_Master!$A$2:$A$100,0)),$A207="",AND($H207&lt;&gt;"",$I207&gt;$H207),AND($H207&lt;&gt;"",$J207&gt;$H207),$I207&lt;0,$J207&lt;0,$K207&lt;0,$P207&lt;0,$Q207&lt;0,$Y207&lt;0,$Z207&lt;0,$AA207&lt;0,$AB207&lt;0,$AC207&lt;0),"ERROR","OK"))</f>
        <v/>
      </c>
      <c r="AR207" s="15">
        <f>IF($B207="","",TRIM(IF(ISERROR(MATCH($B207,Community_Master!$A$2:$A$100,0)),"Invalid Community_ID; ","")&amp;IF($A207="","Missing Report_Month; ","")&amp;IF(AND($H207&lt;&gt;"",$I207&gt;$H207),"Occupied_Units greater than Total_Units; ","")&amp;IF(AND($H207&lt;&gt;"",$J207&gt;$H207),"Leased_Units greater than Total_Units; ","")&amp;IF($I207&lt;0,"Occupied_Units negative; ","")&amp;IF($J207&lt;0,"Leased_Units negative; ","")&amp;IF($P207&lt;0,"Avg_Market_Rent negative; ","")))</f>
        <v/>
      </c>
    </row>
    <row r="208" ht="15" customHeight="1">
      <c r="A208" s="5" t="n"/>
      <c r="B208" s="15" t="n"/>
      <c r="C208" s="15">
        <f>IFERROR(VLOOKUP($B208,Community_Master!$A$2:$K$100,2,FALSE),"")</f>
        <v/>
      </c>
      <c r="D208" s="15">
        <f>IFERROR(VLOOKUP($B208,Community_Master!$A$2:$K$100,4,FALSE),"")</f>
        <v/>
      </c>
      <c r="E208" s="15">
        <f>IFERROR(VLOOKUP($B208,Community_Master!$A$2:$K$100,5,FALSE),"")</f>
        <v/>
      </c>
      <c r="F208" s="15">
        <f>IFERROR(VLOOKUP($B208,Community_Master!$A$2:$K$100,6,FALSE),"")</f>
        <v/>
      </c>
      <c r="G208" s="15">
        <f>IFERROR(VLOOKUP($B208,Community_Master!$A$2:$K$100,8,FALSE),"")</f>
        <v/>
      </c>
      <c r="H208" s="15">
        <f>IFERROR(VLOOKUP($B208,Community_Master!$A$2:$K$100,7,FALSE),"")</f>
        <v/>
      </c>
      <c r="I208" s="15" t="n"/>
      <c r="J208" s="15" t="n"/>
      <c r="K208" s="15" t="n"/>
      <c r="L208" s="15">
        <f>IF($H208="","",MAX($H208-$I208,0))</f>
        <v/>
      </c>
      <c r="M208" s="6">
        <f>IF($H208="","",IFERROR($I208/$H208,""))</f>
        <v/>
      </c>
      <c r="N208" s="6">
        <f>IF($H208="","",IFERROR($J208/$H208,""))</f>
        <v/>
      </c>
      <c r="O208" s="6" t="n"/>
      <c r="P208" s="7" t="n"/>
      <c r="Q208" s="7" t="n"/>
      <c r="R208" s="7" t="n"/>
      <c r="S208" s="7" t="n"/>
      <c r="T208" s="7">
        <f>IF($H208="","",IFERROR($H208*$P208,""))</f>
        <v/>
      </c>
      <c r="U208" s="7" t="n"/>
      <c r="V208" s="7" t="n"/>
      <c r="W208" s="7" t="n"/>
      <c r="X208" s="7">
        <f>IF(OR($U208="",$W208=""),"",($U208+$V208)-$W208)</f>
        <v/>
      </c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9" t="n"/>
      <c r="AJ208" s="8" t="n"/>
      <c r="AK208" s="8" t="n"/>
      <c r="AL208" s="15" t="n"/>
      <c r="AM208" s="15" t="n"/>
      <c r="AN208" s="15" t="n"/>
      <c r="AO208" s="15" t="n"/>
      <c r="AP208" s="10" t="n"/>
      <c r="AQ208" s="15">
        <f>IF($B208="","",IF(OR(ISERROR(MATCH($B208,Community_Master!$A$2:$A$100,0)),$A208="",AND($H208&lt;&gt;"",$I208&gt;$H208),AND($H208&lt;&gt;"",$J208&gt;$H208),$I208&lt;0,$J208&lt;0,$K208&lt;0,$P208&lt;0,$Q208&lt;0,$Y208&lt;0,$Z208&lt;0,$AA208&lt;0,$AB208&lt;0,$AC208&lt;0),"ERROR","OK"))</f>
        <v/>
      </c>
      <c r="AR208" s="15">
        <f>IF($B208="","",TRIM(IF(ISERROR(MATCH($B208,Community_Master!$A$2:$A$100,0)),"Invalid Community_ID; ","")&amp;IF($A208="","Missing Report_Month; ","")&amp;IF(AND($H208&lt;&gt;"",$I208&gt;$H208),"Occupied_Units greater than Total_Units; ","")&amp;IF(AND($H208&lt;&gt;"",$J208&gt;$H208),"Leased_Units greater than Total_Units; ","")&amp;IF($I208&lt;0,"Occupied_Units negative; ","")&amp;IF($J208&lt;0,"Leased_Units negative; ","")&amp;IF($P208&lt;0,"Avg_Market_Rent negative; ","")))</f>
        <v/>
      </c>
    </row>
    <row r="209" ht="15" customHeight="1">
      <c r="A209" s="5" t="n"/>
      <c r="B209" s="15" t="n"/>
      <c r="C209" s="15">
        <f>IFERROR(VLOOKUP($B209,Community_Master!$A$2:$K$100,2,FALSE),"")</f>
        <v/>
      </c>
      <c r="D209" s="15">
        <f>IFERROR(VLOOKUP($B209,Community_Master!$A$2:$K$100,4,FALSE),"")</f>
        <v/>
      </c>
      <c r="E209" s="15">
        <f>IFERROR(VLOOKUP($B209,Community_Master!$A$2:$K$100,5,FALSE),"")</f>
        <v/>
      </c>
      <c r="F209" s="15">
        <f>IFERROR(VLOOKUP($B209,Community_Master!$A$2:$K$100,6,FALSE),"")</f>
        <v/>
      </c>
      <c r="G209" s="15">
        <f>IFERROR(VLOOKUP($B209,Community_Master!$A$2:$K$100,8,FALSE),"")</f>
        <v/>
      </c>
      <c r="H209" s="15">
        <f>IFERROR(VLOOKUP($B209,Community_Master!$A$2:$K$100,7,FALSE),"")</f>
        <v/>
      </c>
      <c r="I209" s="15" t="n"/>
      <c r="J209" s="15" t="n"/>
      <c r="K209" s="15" t="n"/>
      <c r="L209" s="15">
        <f>IF($H209="","",MAX($H209-$I209,0))</f>
        <v/>
      </c>
      <c r="M209" s="6">
        <f>IF($H209="","",IFERROR($I209/$H209,""))</f>
        <v/>
      </c>
      <c r="N209" s="6">
        <f>IF($H209="","",IFERROR($J209/$H209,""))</f>
        <v/>
      </c>
      <c r="O209" s="6" t="n"/>
      <c r="P209" s="7" t="n"/>
      <c r="Q209" s="7" t="n"/>
      <c r="R209" s="7" t="n"/>
      <c r="S209" s="7" t="n"/>
      <c r="T209" s="7">
        <f>IF($H209="","",IFERROR($H209*$P209,""))</f>
        <v/>
      </c>
      <c r="U209" s="7" t="n"/>
      <c r="V209" s="7" t="n"/>
      <c r="W209" s="7" t="n"/>
      <c r="X209" s="7">
        <f>IF(OR($U209="",$W209=""),"",($U209+$V209)-$W209)</f>
        <v/>
      </c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9" t="n"/>
      <c r="AJ209" s="8" t="n"/>
      <c r="AK209" s="8" t="n"/>
      <c r="AL209" s="15" t="n"/>
      <c r="AM209" s="15" t="n"/>
      <c r="AN209" s="15" t="n"/>
      <c r="AO209" s="15" t="n"/>
      <c r="AP209" s="10" t="n"/>
      <c r="AQ209" s="15">
        <f>IF($B209="","",IF(OR(ISERROR(MATCH($B209,Community_Master!$A$2:$A$100,0)),$A209="",AND($H209&lt;&gt;"",$I209&gt;$H209),AND($H209&lt;&gt;"",$J209&gt;$H209),$I209&lt;0,$J209&lt;0,$K209&lt;0,$P209&lt;0,$Q209&lt;0,$Y209&lt;0,$Z209&lt;0,$AA209&lt;0,$AB209&lt;0,$AC209&lt;0),"ERROR","OK"))</f>
        <v/>
      </c>
      <c r="AR209" s="15">
        <f>IF($B209="","",TRIM(IF(ISERROR(MATCH($B209,Community_Master!$A$2:$A$100,0)),"Invalid Community_ID; ","")&amp;IF($A209="","Missing Report_Month; ","")&amp;IF(AND($H209&lt;&gt;"",$I209&gt;$H209),"Occupied_Units greater than Total_Units; ","")&amp;IF(AND($H209&lt;&gt;"",$J209&gt;$H209),"Leased_Units greater than Total_Units; ","")&amp;IF($I209&lt;0,"Occupied_Units negative; ","")&amp;IF($J209&lt;0,"Leased_Units negative; ","")&amp;IF($P209&lt;0,"Avg_Market_Rent negative; ","")))</f>
        <v/>
      </c>
    </row>
    <row r="210" ht="15" customHeight="1">
      <c r="A210" s="5" t="n"/>
      <c r="B210" s="15" t="n"/>
      <c r="C210" s="15">
        <f>IFERROR(VLOOKUP($B210,Community_Master!$A$2:$K$100,2,FALSE),"")</f>
        <v/>
      </c>
      <c r="D210" s="15">
        <f>IFERROR(VLOOKUP($B210,Community_Master!$A$2:$K$100,4,FALSE),"")</f>
        <v/>
      </c>
      <c r="E210" s="15">
        <f>IFERROR(VLOOKUP($B210,Community_Master!$A$2:$K$100,5,FALSE),"")</f>
        <v/>
      </c>
      <c r="F210" s="15">
        <f>IFERROR(VLOOKUP($B210,Community_Master!$A$2:$K$100,6,FALSE),"")</f>
        <v/>
      </c>
      <c r="G210" s="15">
        <f>IFERROR(VLOOKUP($B210,Community_Master!$A$2:$K$100,8,FALSE),"")</f>
        <v/>
      </c>
      <c r="H210" s="15">
        <f>IFERROR(VLOOKUP($B210,Community_Master!$A$2:$K$100,7,FALSE),"")</f>
        <v/>
      </c>
      <c r="I210" s="15" t="n"/>
      <c r="J210" s="15" t="n"/>
      <c r="K210" s="15" t="n"/>
      <c r="L210" s="15">
        <f>IF($H210="","",MAX($H210-$I210,0))</f>
        <v/>
      </c>
      <c r="M210" s="6">
        <f>IF($H210="","",IFERROR($I210/$H210,""))</f>
        <v/>
      </c>
      <c r="N210" s="6">
        <f>IF($H210="","",IFERROR($J210/$H210,""))</f>
        <v/>
      </c>
      <c r="O210" s="6" t="n"/>
      <c r="P210" s="7" t="n"/>
      <c r="Q210" s="7" t="n"/>
      <c r="R210" s="7" t="n"/>
      <c r="S210" s="7" t="n"/>
      <c r="T210" s="7">
        <f>IF($H210="","",IFERROR($H210*$P210,""))</f>
        <v/>
      </c>
      <c r="U210" s="7" t="n"/>
      <c r="V210" s="7" t="n"/>
      <c r="W210" s="7" t="n"/>
      <c r="X210" s="7">
        <f>IF(OR($U210="",$W210=""),"",($U210+$V210)-$W210)</f>
        <v/>
      </c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9" t="n"/>
      <c r="AJ210" s="8" t="n"/>
      <c r="AK210" s="8" t="n"/>
      <c r="AL210" s="15" t="n"/>
      <c r="AM210" s="15" t="n"/>
      <c r="AN210" s="15" t="n"/>
      <c r="AO210" s="15" t="n"/>
      <c r="AP210" s="10" t="n"/>
      <c r="AQ210" s="15">
        <f>IF($B210="","",IF(OR(ISERROR(MATCH($B210,Community_Master!$A$2:$A$100,0)),$A210="",AND($H210&lt;&gt;"",$I210&gt;$H210),AND($H210&lt;&gt;"",$J210&gt;$H210),$I210&lt;0,$J210&lt;0,$K210&lt;0,$P210&lt;0,$Q210&lt;0,$Y210&lt;0,$Z210&lt;0,$AA210&lt;0,$AB210&lt;0,$AC210&lt;0),"ERROR","OK"))</f>
        <v/>
      </c>
      <c r="AR210" s="15">
        <f>IF($B210="","",TRIM(IF(ISERROR(MATCH($B210,Community_Master!$A$2:$A$100,0)),"Invalid Community_ID; ","")&amp;IF($A210="","Missing Report_Month; ","")&amp;IF(AND($H210&lt;&gt;"",$I210&gt;$H210),"Occupied_Units greater than Total_Units; ","")&amp;IF(AND($H210&lt;&gt;"",$J210&gt;$H210),"Leased_Units greater than Total_Units; ","")&amp;IF($I210&lt;0,"Occupied_Units negative; ","")&amp;IF($J210&lt;0,"Leased_Units negative; ","")&amp;IF($P210&lt;0,"Avg_Market_Rent negative; ","")))</f>
        <v/>
      </c>
    </row>
    <row r="211" ht="15" customHeight="1">
      <c r="A211" s="5" t="n"/>
      <c r="B211" s="15" t="n"/>
      <c r="C211" s="15">
        <f>IFERROR(VLOOKUP($B211,Community_Master!$A$2:$K$100,2,FALSE),"")</f>
        <v/>
      </c>
      <c r="D211" s="15">
        <f>IFERROR(VLOOKUP($B211,Community_Master!$A$2:$K$100,4,FALSE),"")</f>
        <v/>
      </c>
      <c r="E211" s="15">
        <f>IFERROR(VLOOKUP($B211,Community_Master!$A$2:$K$100,5,FALSE),"")</f>
        <v/>
      </c>
      <c r="F211" s="15">
        <f>IFERROR(VLOOKUP($B211,Community_Master!$A$2:$K$100,6,FALSE),"")</f>
        <v/>
      </c>
      <c r="G211" s="15">
        <f>IFERROR(VLOOKUP($B211,Community_Master!$A$2:$K$100,8,FALSE),"")</f>
        <v/>
      </c>
      <c r="H211" s="15">
        <f>IFERROR(VLOOKUP($B211,Community_Master!$A$2:$K$100,7,FALSE),"")</f>
        <v/>
      </c>
      <c r="I211" s="15" t="n"/>
      <c r="J211" s="15" t="n"/>
      <c r="K211" s="15" t="n"/>
      <c r="L211" s="15">
        <f>IF($H211="","",MAX($H211-$I211,0))</f>
        <v/>
      </c>
      <c r="M211" s="6">
        <f>IF($H211="","",IFERROR($I211/$H211,""))</f>
        <v/>
      </c>
      <c r="N211" s="6">
        <f>IF($H211="","",IFERROR($J211/$H211,""))</f>
        <v/>
      </c>
      <c r="O211" s="6" t="n"/>
      <c r="P211" s="7" t="n"/>
      <c r="Q211" s="7" t="n"/>
      <c r="R211" s="7" t="n"/>
      <c r="S211" s="7" t="n"/>
      <c r="T211" s="7">
        <f>IF($H211="","",IFERROR($H211*$P211,""))</f>
        <v/>
      </c>
      <c r="U211" s="7" t="n"/>
      <c r="V211" s="7" t="n"/>
      <c r="W211" s="7" t="n"/>
      <c r="X211" s="7">
        <f>IF(OR($U211="",$W211=""),"",($U211+$V211)-$W211)</f>
        <v/>
      </c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9" t="n"/>
      <c r="AJ211" s="8" t="n"/>
      <c r="AK211" s="8" t="n"/>
      <c r="AL211" s="15" t="n"/>
      <c r="AM211" s="15" t="n"/>
      <c r="AN211" s="15" t="n"/>
      <c r="AO211" s="15" t="n"/>
      <c r="AP211" s="10" t="n"/>
      <c r="AQ211" s="15">
        <f>IF($B211="","",IF(OR(ISERROR(MATCH($B211,Community_Master!$A$2:$A$100,0)),$A211="",AND($H211&lt;&gt;"",$I211&gt;$H211),AND($H211&lt;&gt;"",$J211&gt;$H211),$I211&lt;0,$J211&lt;0,$K211&lt;0,$P211&lt;0,$Q211&lt;0,$Y211&lt;0,$Z211&lt;0,$AA211&lt;0,$AB211&lt;0,$AC211&lt;0),"ERROR","OK"))</f>
        <v/>
      </c>
      <c r="AR211" s="15">
        <f>IF($B211="","",TRIM(IF(ISERROR(MATCH($B211,Community_Master!$A$2:$A$100,0)),"Invalid Community_ID; ","")&amp;IF($A211="","Missing Report_Month; ","")&amp;IF(AND($H211&lt;&gt;"",$I211&gt;$H211),"Occupied_Units greater than Total_Units; ","")&amp;IF(AND($H211&lt;&gt;"",$J211&gt;$H211),"Leased_Units greater than Total_Units; ","")&amp;IF($I211&lt;0,"Occupied_Units negative; ","")&amp;IF($J211&lt;0,"Leased_Units negative; ","")&amp;IF($P211&lt;0,"Avg_Market_Rent negative; ","")))</f>
        <v/>
      </c>
    </row>
    <row r="212" ht="15" customHeight="1">
      <c r="A212" s="5" t="n"/>
      <c r="B212" s="15" t="n"/>
      <c r="C212" s="15">
        <f>IFERROR(VLOOKUP($B212,Community_Master!$A$2:$K$100,2,FALSE),"")</f>
        <v/>
      </c>
      <c r="D212" s="15">
        <f>IFERROR(VLOOKUP($B212,Community_Master!$A$2:$K$100,4,FALSE),"")</f>
        <v/>
      </c>
      <c r="E212" s="15">
        <f>IFERROR(VLOOKUP($B212,Community_Master!$A$2:$K$100,5,FALSE),"")</f>
        <v/>
      </c>
      <c r="F212" s="15">
        <f>IFERROR(VLOOKUP($B212,Community_Master!$A$2:$K$100,6,FALSE),"")</f>
        <v/>
      </c>
      <c r="G212" s="15">
        <f>IFERROR(VLOOKUP($B212,Community_Master!$A$2:$K$100,8,FALSE),"")</f>
        <v/>
      </c>
      <c r="H212" s="15">
        <f>IFERROR(VLOOKUP($B212,Community_Master!$A$2:$K$100,7,FALSE),"")</f>
        <v/>
      </c>
      <c r="I212" s="15" t="n"/>
      <c r="J212" s="15" t="n"/>
      <c r="K212" s="15" t="n"/>
      <c r="L212" s="15">
        <f>IF($H212="","",MAX($H212-$I212,0))</f>
        <v/>
      </c>
      <c r="M212" s="6">
        <f>IF($H212="","",IFERROR($I212/$H212,""))</f>
        <v/>
      </c>
      <c r="N212" s="6">
        <f>IF($H212="","",IFERROR($J212/$H212,""))</f>
        <v/>
      </c>
      <c r="O212" s="6" t="n"/>
      <c r="P212" s="7" t="n"/>
      <c r="Q212" s="7" t="n"/>
      <c r="R212" s="7" t="n"/>
      <c r="S212" s="7" t="n"/>
      <c r="T212" s="7">
        <f>IF($H212="","",IFERROR($H212*$P212,""))</f>
        <v/>
      </c>
      <c r="U212" s="7" t="n"/>
      <c r="V212" s="7" t="n"/>
      <c r="W212" s="7" t="n"/>
      <c r="X212" s="7">
        <f>IF(OR($U212="",$W212=""),"",($U212+$V212)-$W212)</f>
        <v/>
      </c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9" t="n"/>
      <c r="AJ212" s="8" t="n"/>
      <c r="AK212" s="8" t="n"/>
      <c r="AL212" s="15" t="n"/>
      <c r="AM212" s="15" t="n"/>
      <c r="AN212" s="15" t="n"/>
      <c r="AO212" s="15" t="n"/>
      <c r="AP212" s="10" t="n"/>
      <c r="AQ212" s="15">
        <f>IF($B212="","",IF(OR(ISERROR(MATCH($B212,Community_Master!$A$2:$A$100,0)),$A212="",AND($H212&lt;&gt;"",$I212&gt;$H212),AND($H212&lt;&gt;"",$J212&gt;$H212),$I212&lt;0,$J212&lt;0,$K212&lt;0,$P212&lt;0,$Q212&lt;0,$Y212&lt;0,$Z212&lt;0,$AA212&lt;0,$AB212&lt;0,$AC212&lt;0),"ERROR","OK"))</f>
        <v/>
      </c>
      <c r="AR212" s="15">
        <f>IF($B212="","",TRIM(IF(ISERROR(MATCH($B212,Community_Master!$A$2:$A$100,0)),"Invalid Community_ID; ","")&amp;IF($A212="","Missing Report_Month; ","")&amp;IF(AND($H212&lt;&gt;"",$I212&gt;$H212),"Occupied_Units greater than Total_Units; ","")&amp;IF(AND($H212&lt;&gt;"",$J212&gt;$H212),"Leased_Units greater than Total_Units; ","")&amp;IF($I212&lt;0,"Occupied_Units negative; ","")&amp;IF($J212&lt;0,"Leased_Units negative; ","")&amp;IF($P212&lt;0,"Avg_Market_Rent negative; ","")))</f>
        <v/>
      </c>
    </row>
    <row r="213" ht="15" customHeight="1">
      <c r="A213" s="5" t="n"/>
      <c r="B213" s="15" t="n"/>
      <c r="C213" s="15">
        <f>IFERROR(VLOOKUP($B213,Community_Master!$A$2:$K$100,2,FALSE),"")</f>
        <v/>
      </c>
      <c r="D213" s="15">
        <f>IFERROR(VLOOKUP($B213,Community_Master!$A$2:$K$100,4,FALSE),"")</f>
        <v/>
      </c>
      <c r="E213" s="15">
        <f>IFERROR(VLOOKUP($B213,Community_Master!$A$2:$K$100,5,FALSE),"")</f>
        <v/>
      </c>
      <c r="F213" s="15">
        <f>IFERROR(VLOOKUP($B213,Community_Master!$A$2:$K$100,6,FALSE),"")</f>
        <v/>
      </c>
      <c r="G213" s="15">
        <f>IFERROR(VLOOKUP($B213,Community_Master!$A$2:$K$100,8,FALSE),"")</f>
        <v/>
      </c>
      <c r="H213" s="15">
        <f>IFERROR(VLOOKUP($B213,Community_Master!$A$2:$K$100,7,FALSE),"")</f>
        <v/>
      </c>
      <c r="I213" s="15" t="n"/>
      <c r="J213" s="15" t="n"/>
      <c r="K213" s="15" t="n"/>
      <c r="L213" s="15">
        <f>IF($H213="","",MAX($H213-$I213,0))</f>
        <v/>
      </c>
      <c r="M213" s="6">
        <f>IF($H213="","",IFERROR($I213/$H213,""))</f>
        <v/>
      </c>
      <c r="N213" s="6">
        <f>IF($H213="","",IFERROR($J213/$H213,""))</f>
        <v/>
      </c>
      <c r="O213" s="6" t="n"/>
      <c r="P213" s="7" t="n"/>
      <c r="Q213" s="7" t="n"/>
      <c r="R213" s="7" t="n"/>
      <c r="S213" s="7" t="n"/>
      <c r="T213" s="7">
        <f>IF($H213="","",IFERROR($H213*$P213,""))</f>
        <v/>
      </c>
      <c r="U213" s="7" t="n"/>
      <c r="V213" s="7" t="n"/>
      <c r="W213" s="7" t="n"/>
      <c r="X213" s="7">
        <f>IF(OR($U213="",$W213=""),"",($U213+$V213)-$W213)</f>
        <v/>
      </c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9" t="n"/>
      <c r="AJ213" s="8" t="n"/>
      <c r="AK213" s="8" t="n"/>
      <c r="AL213" s="15" t="n"/>
      <c r="AM213" s="15" t="n"/>
      <c r="AN213" s="15" t="n"/>
      <c r="AO213" s="15" t="n"/>
      <c r="AP213" s="10" t="n"/>
      <c r="AQ213" s="15">
        <f>IF($B213="","",IF(OR(ISERROR(MATCH($B213,Community_Master!$A$2:$A$100,0)),$A213="",AND($H213&lt;&gt;"",$I213&gt;$H213),AND($H213&lt;&gt;"",$J213&gt;$H213),$I213&lt;0,$J213&lt;0,$K213&lt;0,$P213&lt;0,$Q213&lt;0,$Y213&lt;0,$Z213&lt;0,$AA213&lt;0,$AB213&lt;0,$AC213&lt;0),"ERROR","OK"))</f>
        <v/>
      </c>
      <c r="AR213" s="15">
        <f>IF($B213="","",TRIM(IF(ISERROR(MATCH($B213,Community_Master!$A$2:$A$100,0)),"Invalid Community_ID; ","")&amp;IF($A213="","Missing Report_Month; ","")&amp;IF(AND($H213&lt;&gt;"",$I213&gt;$H213),"Occupied_Units greater than Total_Units; ","")&amp;IF(AND($H213&lt;&gt;"",$J213&gt;$H213),"Leased_Units greater than Total_Units; ","")&amp;IF($I213&lt;0,"Occupied_Units negative; ","")&amp;IF($J213&lt;0,"Leased_Units negative; ","")&amp;IF($P213&lt;0,"Avg_Market_Rent negative; ","")))</f>
        <v/>
      </c>
    </row>
    <row r="214" ht="15" customHeight="1">
      <c r="A214" s="5" t="n"/>
      <c r="B214" s="15" t="n"/>
      <c r="C214" s="15">
        <f>IFERROR(VLOOKUP($B214,Community_Master!$A$2:$K$100,2,FALSE),"")</f>
        <v/>
      </c>
      <c r="D214" s="15">
        <f>IFERROR(VLOOKUP($B214,Community_Master!$A$2:$K$100,4,FALSE),"")</f>
        <v/>
      </c>
      <c r="E214" s="15">
        <f>IFERROR(VLOOKUP($B214,Community_Master!$A$2:$K$100,5,FALSE),"")</f>
        <v/>
      </c>
      <c r="F214" s="15">
        <f>IFERROR(VLOOKUP($B214,Community_Master!$A$2:$K$100,6,FALSE),"")</f>
        <v/>
      </c>
      <c r="G214" s="15">
        <f>IFERROR(VLOOKUP($B214,Community_Master!$A$2:$K$100,8,FALSE),"")</f>
        <v/>
      </c>
      <c r="H214" s="15">
        <f>IFERROR(VLOOKUP($B214,Community_Master!$A$2:$K$100,7,FALSE),"")</f>
        <v/>
      </c>
      <c r="I214" s="15" t="n"/>
      <c r="J214" s="15" t="n"/>
      <c r="K214" s="15" t="n"/>
      <c r="L214" s="15">
        <f>IF($H214="","",MAX($H214-$I214,0))</f>
        <v/>
      </c>
      <c r="M214" s="6">
        <f>IF($H214="","",IFERROR($I214/$H214,""))</f>
        <v/>
      </c>
      <c r="N214" s="6">
        <f>IF($H214="","",IFERROR($J214/$H214,""))</f>
        <v/>
      </c>
      <c r="O214" s="6" t="n"/>
      <c r="P214" s="7" t="n"/>
      <c r="Q214" s="7" t="n"/>
      <c r="R214" s="7" t="n"/>
      <c r="S214" s="7" t="n"/>
      <c r="T214" s="7">
        <f>IF($H214="","",IFERROR($H214*$P214,""))</f>
        <v/>
      </c>
      <c r="U214" s="7" t="n"/>
      <c r="V214" s="7" t="n"/>
      <c r="W214" s="7" t="n"/>
      <c r="X214" s="7">
        <f>IF(OR($U214="",$W214=""),"",($U214+$V214)-$W214)</f>
        <v/>
      </c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9" t="n"/>
      <c r="AJ214" s="8" t="n"/>
      <c r="AK214" s="8" t="n"/>
      <c r="AL214" s="15" t="n"/>
      <c r="AM214" s="15" t="n"/>
      <c r="AN214" s="15" t="n"/>
      <c r="AO214" s="15" t="n"/>
      <c r="AP214" s="10" t="n"/>
      <c r="AQ214" s="15">
        <f>IF($B214="","",IF(OR(ISERROR(MATCH($B214,Community_Master!$A$2:$A$100,0)),$A214="",AND($H214&lt;&gt;"",$I214&gt;$H214),AND($H214&lt;&gt;"",$J214&gt;$H214),$I214&lt;0,$J214&lt;0,$K214&lt;0,$P214&lt;0,$Q214&lt;0,$Y214&lt;0,$Z214&lt;0,$AA214&lt;0,$AB214&lt;0,$AC214&lt;0),"ERROR","OK"))</f>
        <v/>
      </c>
      <c r="AR214" s="15">
        <f>IF($B214="","",TRIM(IF(ISERROR(MATCH($B214,Community_Master!$A$2:$A$100,0)),"Invalid Community_ID; ","")&amp;IF($A214="","Missing Report_Month; ","")&amp;IF(AND($H214&lt;&gt;"",$I214&gt;$H214),"Occupied_Units greater than Total_Units; ","")&amp;IF(AND($H214&lt;&gt;"",$J214&gt;$H214),"Leased_Units greater than Total_Units; ","")&amp;IF($I214&lt;0,"Occupied_Units negative; ","")&amp;IF($J214&lt;0,"Leased_Units negative; ","")&amp;IF($P214&lt;0,"Avg_Market_Rent negative; ","")))</f>
        <v/>
      </c>
    </row>
    <row r="215" ht="15" customHeight="1">
      <c r="A215" s="5" t="n"/>
      <c r="B215" s="15" t="n"/>
      <c r="C215" s="15">
        <f>IFERROR(VLOOKUP($B215,Community_Master!$A$2:$K$100,2,FALSE),"")</f>
        <v/>
      </c>
      <c r="D215" s="15">
        <f>IFERROR(VLOOKUP($B215,Community_Master!$A$2:$K$100,4,FALSE),"")</f>
        <v/>
      </c>
      <c r="E215" s="15">
        <f>IFERROR(VLOOKUP($B215,Community_Master!$A$2:$K$100,5,FALSE),"")</f>
        <v/>
      </c>
      <c r="F215" s="15">
        <f>IFERROR(VLOOKUP($B215,Community_Master!$A$2:$K$100,6,FALSE),"")</f>
        <v/>
      </c>
      <c r="G215" s="15">
        <f>IFERROR(VLOOKUP($B215,Community_Master!$A$2:$K$100,8,FALSE),"")</f>
        <v/>
      </c>
      <c r="H215" s="15">
        <f>IFERROR(VLOOKUP($B215,Community_Master!$A$2:$K$100,7,FALSE),"")</f>
        <v/>
      </c>
      <c r="I215" s="15" t="n"/>
      <c r="J215" s="15" t="n"/>
      <c r="K215" s="15" t="n"/>
      <c r="L215" s="15">
        <f>IF($H215="","",MAX($H215-$I215,0))</f>
        <v/>
      </c>
      <c r="M215" s="6">
        <f>IF($H215="","",IFERROR($I215/$H215,""))</f>
        <v/>
      </c>
      <c r="N215" s="6">
        <f>IF($H215="","",IFERROR($J215/$H215,""))</f>
        <v/>
      </c>
      <c r="O215" s="6" t="n"/>
      <c r="P215" s="7" t="n"/>
      <c r="Q215" s="7" t="n"/>
      <c r="R215" s="7" t="n"/>
      <c r="S215" s="7" t="n"/>
      <c r="T215" s="7">
        <f>IF($H215="","",IFERROR($H215*$P215,""))</f>
        <v/>
      </c>
      <c r="U215" s="7" t="n"/>
      <c r="V215" s="7" t="n"/>
      <c r="W215" s="7" t="n"/>
      <c r="X215" s="7">
        <f>IF(OR($U215="",$W215=""),"",($U215+$V215)-$W215)</f>
        <v/>
      </c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9" t="n"/>
      <c r="AJ215" s="8" t="n"/>
      <c r="AK215" s="8" t="n"/>
      <c r="AL215" s="15" t="n"/>
      <c r="AM215" s="15" t="n"/>
      <c r="AN215" s="15" t="n"/>
      <c r="AO215" s="15" t="n"/>
      <c r="AP215" s="10" t="n"/>
      <c r="AQ215" s="15">
        <f>IF($B215="","",IF(OR(ISERROR(MATCH($B215,Community_Master!$A$2:$A$100,0)),$A215="",AND($H215&lt;&gt;"",$I215&gt;$H215),AND($H215&lt;&gt;"",$J215&gt;$H215),$I215&lt;0,$J215&lt;0,$K215&lt;0,$P215&lt;0,$Q215&lt;0,$Y215&lt;0,$Z215&lt;0,$AA215&lt;0,$AB215&lt;0,$AC215&lt;0),"ERROR","OK"))</f>
        <v/>
      </c>
      <c r="AR215" s="15">
        <f>IF($B215="","",TRIM(IF(ISERROR(MATCH($B215,Community_Master!$A$2:$A$100,0)),"Invalid Community_ID; ","")&amp;IF($A215="","Missing Report_Month; ","")&amp;IF(AND($H215&lt;&gt;"",$I215&gt;$H215),"Occupied_Units greater than Total_Units; ","")&amp;IF(AND($H215&lt;&gt;"",$J215&gt;$H215),"Leased_Units greater than Total_Units; ","")&amp;IF($I215&lt;0,"Occupied_Units negative; ","")&amp;IF($J215&lt;0,"Leased_Units negative; ","")&amp;IF($P215&lt;0,"Avg_Market_Rent negative; ","")))</f>
        <v/>
      </c>
    </row>
    <row r="216" ht="15" customHeight="1">
      <c r="A216" s="5" t="n"/>
      <c r="B216" s="15" t="n"/>
      <c r="C216" s="15">
        <f>IFERROR(VLOOKUP($B216,Community_Master!$A$2:$K$100,2,FALSE),"")</f>
        <v/>
      </c>
      <c r="D216" s="15">
        <f>IFERROR(VLOOKUP($B216,Community_Master!$A$2:$K$100,4,FALSE),"")</f>
        <v/>
      </c>
      <c r="E216" s="15">
        <f>IFERROR(VLOOKUP($B216,Community_Master!$A$2:$K$100,5,FALSE),"")</f>
        <v/>
      </c>
      <c r="F216" s="15">
        <f>IFERROR(VLOOKUP($B216,Community_Master!$A$2:$K$100,6,FALSE),"")</f>
        <v/>
      </c>
      <c r="G216" s="15">
        <f>IFERROR(VLOOKUP($B216,Community_Master!$A$2:$K$100,8,FALSE),"")</f>
        <v/>
      </c>
      <c r="H216" s="15">
        <f>IFERROR(VLOOKUP($B216,Community_Master!$A$2:$K$100,7,FALSE),"")</f>
        <v/>
      </c>
      <c r="I216" s="15" t="n"/>
      <c r="J216" s="15" t="n"/>
      <c r="K216" s="15" t="n"/>
      <c r="L216" s="15">
        <f>IF($H216="","",MAX($H216-$I216,0))</f>
        <v/>
      </c>
      <c r="M216" s="6">
        <f>IF($H216="","",IFERROR($I216/$H216,""))</f>
        <v/>
      </c>
      <c r="N216" s="6">
        <f>IF($H216="","",IFERROR($J216/$H216,""))</f>
        <v/>
      </c>
      <c r="O216" s="6" t="n"/>
      <c r="P216" s="7" t="n"/>
      <c r="Q216" s="7" t="n"/>
      <c r="R216" s="7" t="n"/>
      <c r="S216" s="7" t="n"/>
      <c r="T216" s="7">
        <f>IF($H216="","",IFERROR($H216*$P216,""))</f>
        <v/>
      </c>
      <c r="U216" s="7" t="n"/>
      <c r="V216" s="7" t="n"/>
      <c r="W216" s="7" t="n"/>
      <c r="X216" s="7">
        <f>IF(OR($U216="",$W216=""),"",($U216+$V216)-$W216)</f>
        <v/>
      </c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9" t="n"/>
      <c r="AJ216" s="8" t="n"/>
      <c r="AK216" s="8" t="n"/>
      <c r="AL216" s="15" t="n"/>
      <c r="AM216" s="15" t="n"/>
      <c r="AN216" s="15" t="n"/>
      <c r="AO216" s="15" t="n"/>
      <c r="AP216" s="10" t="n"/>
      <c r="AQ216" s="15">
        <f>IF($B216="","",IF(OR(ISERROR(MATCH($B216,Community_Master!$A$2:$A$100,0)),$A216="",AND($H216&lt;&gt;"",$I216&gt;$H216),AND($H216&lt;&gt;"",$J216&gt;$H216),$I216&lt;0,$J216&lt;0,$K216&lt;0,$P216&lt;0,$Q216&lt;0,$Y216&lt;0,$Z216&lt;0,$AA216&lt;0,$AB216&lt;0,$AC216&lt;0),"ERROR","OK"))</f>
        <v/>
      </c>
      <c r="AR216" s="15">
        <f>IF($B216="","",TRIM(IF(ISERROR(MATCH($B216,Community_Master!$A$2:$A$100,0)),"Invalid Community_ID; ","")&amp;IF($A216="","Missing Report_Month; ","")&amp;IF(AND($H216&lt;&gt;"",$I216&gt;$H216),"Occupied_Units greater than Total_Units; ","")&amp;IF(AND($H216&lt;&gt;"",$J216&gt;$H216),"Leased_Units greater than Total_Units; ","")&amp;IF($I216&lt;0,"Occupied_Units negative; ","")&amp;IF($J216&lt;0,"Leased_Units negative; ","")&amp;IF($P216&lt;0,"Avg_Market_Rent negative; ","")))</f>
        <v/>
      </c>
    </row>
    <row r="217" ht="15" customHeight="1">
      <c r="A217" s="5" t="n"/>
      <c r="B217" s="15" t="n"/>
      <c r="C217" s="15">
        <f>IFERROR(VLOOKUP($B217,Community_Master!$A$2:$K$100,2,FALSE),"")</f>
        <v/>
      </c>
      <c r="D217" s="15">
        <f>IFERROR(VLOOKUP($B217,Community_Master!$A$2:$K$100,4,FALSE),"")</f>
        <v/>
      </c>
      <c r="E217" s="15">
        <f>IFERROR(VLOOKUP($B217,Community_Master!$A$2:$K$100,5,FALSE),"")</f>
        <v/>
      </c>
      <c r="F217" s="15">
        <f>IFERROR(VLOOKUP($B217,Community_Master!$A$2:$K$100,6,FALSE),"")</f>
        <v/>
      </c>
      <c r="G217" s="15">
        <f>IFERROR(VLOOKUP($B217,Community_Master!$A$2:$K$100,8,FALSE),"")</f>
        <v/>
      </c>
      <c r="H217" s="15">
        <f>IFERROR(VLOOKUP($B217,Community_Master!$A$2:$K$100,7,FALSE),"")</f>
        <v/>
      </c>
      <c r="I217" s="15" t="n"/>
      <c r="J217" s="15" t="n"/>
      <c r="K217" s="15" t="n"/>
      <c r="L217" s="15">
        <f>IF($H217="","",MAX($H217-$I217,0))</f>
        <v/>
      </c>
      <c r="M217" s="6">
        <f>IF($H217="","",IFERROR($I217/$H217,""))</f>
        <v/>
      </c>
      <c r="N217" s="6">
        <f>IF($H217="","",IFERROR($J217/$H217,""))</f>
        <v/>
      </c>
      <c r="O217" s="6" t="n"/>
      <c r="P217" s="7" t="n"/>
      <c r="Q217" s="7" t="n"/>
      <c r="R217" s="7" t="n"/>
      <c r="S217" s="7" t="n"/>
      <c r="T217" s="7">
        <f>IF($H217="","",IFERROR($H217*$P217,""))</f>
        <v/>
      </c>
      <c r="U217" s="7" t="n"/>
      <c r="V217" s="7" t="n"/>
      <c r="W217" s="7" t="n"/>
      <c r="X217" s="7">
        <f>IF(OR($U217="",$W217=""),"",($U217+$V217)-$W217)</f>
        <v/>
      </c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9" t="n"/>
      <c r="AJ217" s="8" t="n"/>
      <c r="AK217" s="8" t="n"/>
      <c r="AL217" s="15" t="n"/>
      <c r="AM217" s="15" t="n"/>
      <c r="AN217" s="15" t="n"/>
      <c r="AO217" s="15" t="n"/>
      <c r="AP217" s="10" t="n"/>
      <c r="AQ217" s="15">
        <f>IF($B217="","",IF(OR(ISERROR(MATCH($B217,Community_Master!$A$2:$A$100,0)),$A217="",AND($H217&lt;&gt;"",$I217&gt;$H217),AND($H217&lt;&gt;"",$J217&gt;$H217),$I217&lt;0,$J217&lt;0,$K217&lt;0,$P217&lt;0,$Q217&lt;0,$Y217&lt;0,$Z217&lt;0,$AA217&lt;0,$AB217&lt;0,$AC217&lt;0),"ERROR","OK"))</f>
        <v/>
      </c>
      <c r="AR217" s="15">
        <f>IF($B217="","",TRIM(IF(ISERROR(MATCH($B217,Community_Master!$A$2:$A$100,0)),"Invalid Community_ID; ","")&amp;IF($A217="","Missing Report_Month; ","")&amp;IF(AND($H217&lt;&gt;"",$I217&gt;$H217),"Occupied_Units greater than Total_Units; ","")&amp;IF(AND($H217&lt;&gt;"",$J217&gt;$H217),"Leased_Units greater than Total_Units; ","")&amp;IF($I217&lt;0,"Occupied_Units negative; ","")&amp;IF($J217&lt;0,"Leased_Units negative; ","")&amp;IF($P217&lt;0,"Avg_Market_Rent negative; ","")))</f>
        <v/>
      </c>
    </row>
    <row r="218" ht="15" customHeight="1">
      <c r="A218" s="5" t="n"/>
      <c r="B218" s="15" t="n"/>
      <c r="C218" s="15">
        <f>IFERROR(VLOOKUP($B218,Community_Master!$A$2:$K$100,2,FALSE),"")</f>
        <v/>
      </c>
      <c r="D218" s="15">
        <f>IFERROR(VLOOKUP($B218,Community_Master!$A$2:$K$100,4,FALSE),"")</f>
        <v/>
      </c>
      <c r="E218" s="15">
        <f>IFERROR(VLOOKUP($B218,Community_Master!$A$2:$K$100,5,FALSE),"")</f>
        <v/>
      </c>
      <c r="F218" s="15">
        <f>IFERROR(VLOOKUP($B218,Community_Master!$A$2:$K$100,6,FALSE),"")</f>
        <v/>
      </c>
      <c r="G218" s="15">
        <f>IFERROR(VLOOKUP($B218,Community_Master!$A$2:$K$100,8,FALSE),"")</f>
        <v/>
      </c>
      <c r="H218" s="15">
        <f>IFERROR(VLOOKUP($B218,Community_Master!$A$2:$K$100,7,FALSE),"")</f>
        <v/>
      </c>
      <c r="I218" s="15" t="n"/>
      <c r="J218" s="15" t="n"/>
      <c r="K218" s="15" t="n"/>
      <c r="L218" s="15">
        <f>IF($H218="","",MAX($H218-$I218,0))</f>
        <v/>
      </c>
      <c r="M218" s="6">
        <f>IF($H218="","",IFERROR($I218/$H218,""))</f>
        <v/>
      </c>
      <c r="N218" s="6">
        <f>IF($H218="","",IFERROR($J218/$H218,""))</f>
        <v/>
      </c>
      <c r="O218" s="6" t="n"/>
      <c r="P218" s="7" t="n"/>
      <c r="Q218" s="7" t="n"/>
      <c r="R218" s="7" t="n"/>
      <c r="S218" s="7" t="n"/>
      <c r="T218" s="7">
        <f>IF($H218="","",IFERROR($H218*$P218,""))</f>
        <v/>
      </c>
      <c r="U218" s="7" t="n"/>
      <c r="V218" s="7" t="n"/>
      <c r="W218" s="7" t="n"/>
      <c r="X218" s="7">
        <f>IF(OR($U218="",$W218=""),"",($U218+$V218)-$W218)</f>
        <v/>
      </c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9" t="n"/>
      <c r="AJ218" s="8" t="n"/>
      <c r="AK218" s="8" t="n"/>
      <c r="AL218" s="15" t="n"/>
      <c r="AM218" s="15" t="n"/>
      <c r="AN218" s="15" t="n"/>
      <c r="AO218" s="15" t="n"/>
      <c r="AP218" s="10" t="n"/>
      <c r="AQ218" s="15">
        <f>IF($B218="","",IF(OR(ISERROR(MATCH($B218,Community_Master!$A$2:$A$100,0)),$A218="",AND($H218&lt;&gt;"",$I218&gt;$H218),AND($H218&lt;&gt;"",$J218&gt;$H218),$I218&lt;0,$J218&lt;0,$K218&lt;0,$P218&lt;0,$Q218&lt;0,$Y218&lt;0,$Z218&lt;0,$AA218&lt;0,$AB218&lt;0,$AC218&lt;0),"ERROR","OK"))</f>
        <v/>
      </c>
      <c r="AR218" s="15">
        <f>IF($B218="","",TRIM(IF(ISERROR(MATCH($B218,Community_Master!$A$2:$A$100,0)),"Invalid Community_ID; ","")&amp;IF($A218="","Missing Report_Month; ","")&amp;IF(AND($H218&lt;&gt;"",$I218&gt;$H218),"Occupied_Units greater than Total_Units; ","")&amp;IF(AND($H218&lt;&gt;"",$J218&gt;$H218),"Leased_Units greater than Total_Units; ","")&amp;IF($I218&lt;0,"Occupied_Units negative; ","")&amp;IF($J218&lt;0,"Leased_Units negative; ","")&amp;IF($P218&lt;0,"Avg_Market_Rent negative; ","")))</f>
        <v/>
      </c>
    </row>
    <row r="219" ht="15" customHeight="1">
      <c r="A219" s="5" t="n"/>
      <c r="B219" s="15" t="n"/>
      <c r="C219" s="15">
        <f>IFERROR(VLOOKUP($B219,Community_Master!$A$2:$K$100,2,FALSE),"")</f>
        <v/>
      </c>
      <c r="D219" s="15">
        <f>IFERROR(VLOOKUP($B219,Community_Master!$A$2:$K$100,4,FALSE),"")</f>
        <v/>
      </c>
      <c r="E219" s="15">
        <f>IFERROR(VLOOKUP($B219,Community_Master!$A$2:$K$100,5,FALSE),"")</f>
        <v/>
      </c>
      <c r="F219" s="15">
        <f>IFERROR(VLOOKUP($B219,Community_Master!$A$2:$K$100,6,FALSE),"")</f>
        <v/>
      </c>
      <c r="G219" s="15">
        <f>IFERROR(VLOOKUP($B219,Community_Master!$A$2:$K$100,8,FALSE),"")</f>
        <v/>
      </c>
      <c r="H219" s="15">
        <f>IFERROR(VLOOKUP($B219,Community_Master!$A$2:$K$100,7,FALSE),"")</f>
        <v/>
      </c>
      <c r="I219" s="15" t="n"/>
      <c r="J219" s="15" t="n"/>
      <c r="K219" s="15" t="n"/>
      <c r="L219" s="15">
        <f>IF($H219="","",MAX($H219-$I219,0))</f>
        <v/>
      </c>
      <c r="M219" s="6">
        <f>IF($H219="","",IFERROR($I219/$H219,""))</f>
        <v/>
      </c>
      <c r="N219" s="6">
        <f>IF($H219="","",IFERROR($J219/$H219,""))</f>
        <v/>
      </c>
      <c r="O219" s="6" t="n"/>
      <c r="P219" s="7" t="n"/>
      <c r="Q219" s="7" t="n"/>
      <c r="R219" s="7" t="n"/>
      <c r="S219" s="7" t="n"/>
      <c r="T219" s="7">
        <f>IF($H219="","",IFERROR($H219*$P219,""))</f>
        <v/>
      </c>
      <c r="U219" s="7" t="n"/>
      <c r="V219" s="7" t="n"/>
      <c r="W219" s="7" t="n"/>
      <c r="X219" s="7">
        <f>IF(OR($U219="",$W219=""),"",($U219+$V219)-$W219)</f>
        <v/>
      </c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9" t="n"/>
      <c r="AJ219" s="8" t="n"/>
      <c r="AK219" s="8" t="n"/>
      <c r="AL219" s="15" t="n"/>
      <c r="AM219" s="15" t="n"/>
      <c r="AN219" s="15" t="n"/>
      <c r="AO219" s="15" t="n"/>
      <c r="AP219" s="10" t="n"/>
      <c r="AQ219" s="15">
        <f>IF($B219="","",IF(OR(ISERROR(MATCH($B219,Community_Master!$A$2:$A$100,0)),$A219="",AND($H219&lt;&gt;"",$I219&gt;$H219),AND($H219&lt;&gt;"",$J219&gt;$H219),$I219&lt;0,$J219&lt;0,$K219&lt;0,$P219&lt;0,$Q219&lt;0,$Y219&lt;0,$Z219&lt;0,$AA219&lt;0,$AB219&lt;0,$AC219&lt;0),"ERROR","OK"))</f>
        <v/>
      </c>
      <c r="AR219" s="15">
        <f>IF($B219="","",TRIM(IF(ISERROR(MATCH($B219,Community_Master!$A$2:$A$100,0)),"Invalid Community_ID; ","")&amp;IF($A219="","Missing Report_Month; ","")&amp;IF(AND($H219&lt;&gt;"",$I219&gt;$H219),"Occupied_Units greater than Total_Units; ","")&amp;IF(AND($H219&lt;&gt;"",$J219&gt;$H219),"Leased_Units greater than Total_Units; ","")&amp;IF($I219&lt;0,"Occupied_Units negative; ","")&amp;IF($J219&lt;0,"Leased_Units negative; ","")&amp;IF($P219&lt;0,"Avg_Market_Rent negative; ","")))</f>
        <v/>
      </c>
    </row>
    <row r="220" ht="15" customHeight="1">
      <c r="A220" s="5" t="n"/>
      <c r="B220" s="15" t="n"/>
      <c r="C220" s="15">
        <f>IFERROR(VLOOKUP($B220,Community_Master!$A$2:$K$100,2,FALSE),"")</f>
        <v/>
      </c>
      <c r="D220" s="15">
        <f>IFERROR(VLOOKUP($B220,Community_Master!$A$2:$K$100,4,FALSE),"")</f>
        <v/>
      </c>
      <c r="E220" s="15">
        <f>IFERROR(VLOOKUP($B220,Community_Master!$A$2:$K$100,5,FALSE),"")</f>
        <v/>
      </c>
      <c r="F220" s="15">
        <f>IFERROR(VLOOKUP($B220,Community_Master!$A$2:$K$100,6,FALSE),"")</f>
        <v/>
      </c>
      <c r="G220" s="15">
        <f>IFERROR(VLOOKUP($B220,Community_Master!$A$2:$K$100,8,FALSE),"")</f>
        <v/>
      </c>
      <c r="H220" s="15">
        <f>IFERROR(VLOOKUP($B220,Community_Master!$A$2:$K$100,7,FALSE),"")</f>
        <v/>
      </c>
      <c r="I220" s="15" t="n"/>
      <c r="J220" s="15" t="n"/>
      <c r="K220" s="15" t="n"/>
      <c r="L220" s="15">
        <f>IF($H220="","",MAX($H220-$I220,0))</f>
        <v/>
      </c>
      <c r="M220" s="6">
        <f>IF($H220="","",IFERROR($I220/$H220,""))</f>
        <v/>
      </c>
      <c r="N220" s="6">
        <f>IF($H220="","",IFERROR($J220/$H220,""))</f>
        <v/>
      </c>
      <c r="O220" s="6" t="n"/>
      <c r="P220" s="7" t="n"/>
      <c r="Q220" s="7" t="n"/>
      <c r="R220" s="7" t="n"/>
      <c r="S220" s="7" t="n"/>
      <c r="T220" s="7">
        <f>IF($H220="","",IFERROR($H220*$P220,""))</f>
        <v/>
      </c>
      <c r="U220" s="7" t="n"/>
      <c r="V220" s="7" t="n"/>
      <c r="W220" s="7" t="n"/>
      <c r="X220" s="7">
        <f>IF(OR($U220="",$W220=""),"",($U220+$V220)-$W220)</f>
        <v/>
      </c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9" t="n"/>
      <c r="AJ220" s="8" t="n"/>
      <c r="AK220" s="8" t="n"/>
      <c r="AL220" s="15" t="n"/>
      <c r="AM220" s="15" t="n"/>
      <c r="AN220" s="15" t="n"/>
      <c r="AO220" s="15" t="n"/>
      <c r="AP220" s="10" t="n"/>
      <c r="AQ220" s="15">
        <f>IF($B220="","",IF(OR(ISERROR(MATCH($B220,Community_Master!$A$2:$A$100,0)),$A220="",AND($H220&lt;&gt;"",$I220&gt;$H220),AND($H220&lt;&gt;"",$J220&gt;$H220),$I220&lt;0,$J220&lt;0,$K220&lt;0,$P220&lt;0,$Q220&lt;0,$Y220&lt;0,$Z220&lt;0,$AA220&lt;0,$AB220&lt;0,$AC220&lt;0),"ERROR","OK"))</f>
        <v/>
      </c>
      <c r="AR220" s="15">
        <f>IF($B220="","",TRIM(IF(ISERROR(MATCH($B220,Community_Master!$A$2:$A$100,0)),"Invalid Community_ID; ","")&amp;IF($A220="","Missing Report_Month; ","")&amp;IF(AND($H220&lt;&gt;"",$I220&gt;$H220),"Occupied_Units greater than Total_Units; ","")&amp;IF(AND($H220&lt;&gt;"",$J220&gt;$H220),"Leased_Units greater than Total_Units; ","")&amp;IF($I220&lt;0,"Occupied_Units negative; ","")&amp;IF($J220&lt;0,"Leased_Units negative; ","")&amp;IF($P220&lt;0,"Avg_Market_Rent negative; ","")))</f>
        <v/>
      </c>
    </row>
    <row r="221" ht="15" customHeight="1">
      <c r="A221" s="5" t="n"/>
      <c r="B221" s="15" t="n"/>
      <c r="C221" s="15">
        <f>IFERROR(VLOOKUP($B221,Community_Master!$A$2:$K$100,2,FALSE),"")</f>
        <v/>
      </c>
      <c r="D221" s="15">
        <f>IFERROR(VLOOKUP($B221,Community_Master!$A$2:$K$100,4,FALSE),"")</f>
        <v/>
      </c>
      <c r="E221" s="15">
        <f>IFERROR(VLOOKUP($B221,Community_Master!$A$2:$K$100,5,FALSE),"")</f>
        <v/>
      </c>
      <c r="F221" s="15">
        <f>IFERROR(VLOOKUP($B221,Community_Master!$A$2:$K$100,6,FALSE),"")</f>
        <v/>
      </c>
      <c r="G221" s="15">
        <f>IFERROR(VLOOKUP($B221,Community_Master!$A$2:$K$100,8,FALSE),"")</f>
        <v/>
      </c>
      <c r="H221" s="15">
        <f>IFERROR(VLOOKUP($B221,Community_Master!$A$2:$K$100,7,FALSE),"")</f>
        <v/>
      </c>
      <c r="I221" s="15" t="n"/>
      <c r="J221" s="15" t="n"/>
      <c r="K221" s="15" t="n"/>
      <c r="L221" s="15">
        <f>IF($H221="","",MAX($H221-$I221,0))</f>
        <v/>
      </c>
      <c r="M221" s="6">
        <f>IF($H221="","",IFERROR($I221/$H221,""))</f>
        <v/>
      </c>
      <c r="N221" s="6">
        <f>IF($H221="","",IFERROR($J221/$H221,""))</f>
        <v/>
      </c>
      <c r="O221" s="6" t="n"/>
      <c r="P221" s="7" t="n"/>
      <c r="Q221" s="7" t="n"/>
      <c r="R221" s="7" t="n"/>
      <c r="S221" s="7" t="n"/>
      <c r="T221" s="7">
        <f>IF($H221="","",IFERROR($H221*$P221,""))</f>
        <v/>
      </c>
      <c r="U221" s="7" t="n"/>
      <c r="V221" s="7" t="n"/>
      <c r="W221" s="7" t="n"/>
      <c r="X221" s="7">
        <f>IF(OR($U221="",$W221=""),"",($U221+$V221)-$W221)</f>
        <v/>
      </c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9" t="n"/>
      <c r="AJ221" s="8" t="n"/>
      <c r="AK221" s="8" t="n"/>
      <c r="AL221" s="15" t="n"/>
      <c r="AM221" s="15" t="n"/>
      <c r="AN221" s="15" t="n"/>
      <c r="AO221" s="15" t="n"/>
      <c r="AP221" s="10" t="n"/>
      <c r="AQ221" s="15">
        <f>IF($B221="","",IF(OR(ISERROR(MATCH($B221,Community_Master!$A$2:$A$100,0)),$A221="",AND($H221&lt;&gt;"",$I221&gt;$H221),AND($H221&lt;&gt;"",$J221&gt;$H221),$I221&lt;0,$J221&lt;0,$K221&lt;0,$P221&lt;0,$Q221&lt;0,$Y221&lt;0,$Z221&lt;0,$AA221&lt;0,$AB221&lt;0,$AC221&lt;0),"ERROR","OK"))</f>
        <v/>
      </c>
      <c r="AR221" s="15">
        <f>IF($B221="","",TRIM(IF(ISERROR(MATCH($B221,Community_Master!$A$2:$A$100,0)),"Invalid Community_ID; ","")&amp;IF($A221="","Missing Report_Month; ","")&amp;IF(AND($H221&lt;&gt;"",$I221&gt;$H221),"Occupied_Units greater than Total_Units; ","")&amp;IF(AND($H221&lt;&gt;"",$J221&gt;$H221),"Leased_Units greater than Total_Units; ","")&amp;IF($I221&lt;0,"Occupied_Units negative; ","")&amp;IF($J221&lt;0,"Leased_Units negative; ","")&amp;IF($P221&lt;0,"Avg_Market_Rent negative; ","")))</f>
        <v/>
      </c>
    </row>
    <row r="222" ht="15" customHeight="1">
      <c r="A222" s="5" t="n"/>
      <c r="B222" s="15" t="n"/>
      <c r="C222" s="15">
        <f>IFERROR(VLOOKUP($B222,Community_Master!$A$2:$K$100,2,FALSE),"")</f>
        <v/>
      </c>
      <c r="D222" s="15">
        <f>IFERROR(VLOOKUP($B222,Community_Master!$A$2:$K$100,4,FALSE),"")</f>
        <v/>
      </c>
      <c r="E222" s="15">
        <f>IFERROR(VLOOKUP($B222,Community_Master!$A$2:$K$100,5,FALSE),"")</f>
        <v/>
      </c>
      <c r="F222" s="15">
        <f>IFERROR(VLOOKUP($B222,Community_Master!$A$2:$K$100,6,FALSE),"")</f>
        <v/>
      </c>
      <c r="G222" s="15">
        <f>IFERROR(VLOOKUP($B222,Community_Master!$A$2:$K$100,8,FALSE),"")</f>
        <v/>
      </c>
      <c r="H222" s="15">
        <f>IFERROR(VLOOKUP($B222,Community_Master!$A$2:$K$100,7,FALSE),"")</f>
        <v/>
      </c>
      <c r="I222" s="15" t="n"/>
      <c r="J222" s="15" t="n"/>
      <c r="K222" s="15" t="n"/>
      <c r="L222" s="15">
        <f>IF($H222="","",MAX($H222-$I222,0))</f>
        <v/>
      </c>
      <c r="M222" s="6">
        <f>IF($H222="","",IFERROR($I222/$H222,""))</f>
        <v/>
      </c>
      <c r="N222" s="6">
        <f>IF($H222="","",IFERROR($J222/$H222,""))</f>
        <v/>
      </c>
      <c r="O222" s="6" t="n"/>
      <c r="P222" s="7" t="n"/>
      <c r="Q222" s="7" t="n"/>
      <c r="R222" s="7" t="n"/>
      <c r="S222" s="7" t="n"/>
      <c r="T222" s="7">
        <f>IF($H222="","",IFERROR($H222*$P222,""))</f>
        <v/>
      </c>
      <c r="U222" s="7" t="n"/>
      <c r="V222" s="7" t="n"/>
      <c r="W222" s="7" t="n"/>
      <c r="X222" s="7">
        <f>IF(OR($U222="",$W222=""),"",($U222+$V222)-$W222)</f>
        <v/>
      </c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9" t="n"/>
      <c r="AJ222" s="8" t="n"/>
      <c r="AK222" s="8" t="n"/>
      <c r="AL222" s="15" t="n"/>
      <c r="AM222" s="15" t="n"/>
      <c r="AN222" s="15" t="n"/>
      <c r="AO222" s="15" t="n"/>
      <c r="AP222" s="10" t="n"/>
      <c r="AQ222" s="15">
        <f>IF($B222="","",IF(OR(ISERROR(MATCH($B222,Community_Master!$A$2:$A$100,0)),$A222="",AND($H222&lt;&gt;"",$I222&gt;$H222),AND($H222&lt;&gt;"",$J222&gt;$H222),$I222&lt;0,$J222&lt;0,$K222&lt;0,$P222&lt;0,$Q222&lt;0,$Y222&lt;0,$Z222&lt;0,$AA222&lt;0,$AB222&lt;0,$AC222&lt;0),"ERROR","OK"))</f>
        <v/>
      </c>
      <c r="AR222" s="15">
        <f>IF($B222="","",TRIM(IF(ISERROR(MATCH($B222,Community_Master!$A$2:$A$100,0)),"Invalid Community_ID; ","")&amp;IF($A222="","Missing Report_Month; ","")&amp;IF(AND($H222&lt;&gt;"",$I222&gt;$H222),"Occupied_Units greater than Total_Units; ","")&amp;IF(AND($H222&lt;&gt;"",$J222&gt;$H222),"Leased_Units greater than Total_Units; ","")&amp;IF($I222&lt;0,"Occupied_Units negative; ","")&amp;IF($J222&lt;0,"Leased_Units negative; ","")&amp;IF($P222&lt;0,"Avg_Market_Rent negative; ","")))</f>
        <v/>
      </c>
    </row>
    <row r="223" ht="15" customHeight="1">
      <c r="A223" s="5" t="n"/>
      <c r="B223" s="15" t="n"/>
      <c r="C223" s="15">
        <f>IFERROR(VLOOKUP($B223,Community_Master!$A$2:$K$100,2,FALSE),"")</f>
        <v/>
      </c>
      <c r="D223" s="15">
        <f>IFERROR(VLOOKUP($B223,Community_Master!$A$2:$K$100,4,FALSE),"")</f>
        <v/>
      </c>
      <c r="E223" s="15">
        <f>IFERROR(VLOOKUP($B223,Community_Master!$A$2:$K$100,5,FALSE),"")</f>
        <v/>
      </c>
      <c r="F223" s="15">
        <f>IFERROR(VLOOKUP($B223,Community_Master!$A$2:$K$100,6,FALSE),"")</f>
        <v/>
      </c>
      <c r="G223" s="15">
        <f>IFERROR(VLOOKUP($B223,Community_Master!$A$2:$K$100,8,FALSE),"")</f>
        <v/>
      </c>
      <c r="H223" s="15">
        <f>IFERROR(VLOOKUP($B223,Community_Master!$A$2:$K$100,7,FALSE),"")</f>
        <v/>
      </c>
      <c r="I223" s="15" t="n"/>
      <c r="J223" s="15" t="n"/>
      <c r="K223" s="15" t="n"/>
      <c r="L223" s="15">
        <f>IF($H223="","",MAX($H223-$I223,0))</f>
        <v/>
      </c>
      <c r="M223" s="6">
        <f>IF($H223="","",IFERROR($I223/$H223,""))</f>
        <v/>
      </c>
      <c r="N223" s="6">
        <f>IF($H223="","",IFERROR($J223/$H223,""))</f>
        <v/>
      </c>
      <c r="O223" s="6" t="n"/>
      <c r="P223" s="7" t="n"/>
      <c r="Q223" s="7" t="n"/>
      <c r="R223" s="7" t="n"/>
      <c r="S223" s="7" t="n"/>
      <c r="T223" s="7">
        <f>IF($H223="","",IFERROR($H223*$P223,""))</f>
        <v/>
      </c>
      <c r="U223" s="7" t="n"/>
      <c r="V223" s="7" t="n"/>
      <c r="W223" s="7" t="n"/>
      <c r="X223" s="7">
        <f>IF(OR($U223="",$W223=""),"",($U223+$V223)-$W223)</f>
        <v/>
      </c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9" t="n"/>
      <c r="AJ223" s="8" t="n"/>
      <c r="AK223" s="8" t="n"/>
      <c r="AL223" s="15" t="n"/>
      <c r="AM223" s="15" t="n"/>
      <c r="AN223" s="15" t="n"/>
      <c r="AO223" s="15" t="n"/>
      <c r="AP223" s="10" t="n"/>
      <c r="AQ223" s="15">
        <f>IF($B223="","",IF(OR(ISERROR(MATCH($B223,Community_Master!$A$2:$A$100,0)),$A223="",AND($H223&lt;&gt;"",$I223&gt;$H223),AND($H223&lt;&gt;"",$J223&gt;$H223),$I223&lt;0,$J223&lt;0,$K223&lt;0,$P223&lt;0,$Q223&lt;0,$Y223&lt;0,$Z223&lt;0,$AA223&lt;0,$AB223&lt;0,$AC223&lt;0),"ERROR","OK"))</f>
        <v/>
      </c>
      <c r="AR223" s="15">
        <f>IF($B223="","",TRIM(IF(ISERROR(MATCH($B223,Community_Master!$A$2:$A$100,0)),"Invalid Community_ID; ","")&amp;IF($A223="","Missing Report_Month; ","")&amp;IF(AND($H223&lt;&gt;"",$I223&gt;$H223),"Occupied_Units greater than Total_Units; ","")&amp;IF(AND($H223&lt;&gt;"",$J223&gt;$H223),"Leased_Units greater than Total_Units; ","")&amp;IF($I223&lt;0,"Occupied_Units negative; ","")&amp;IF($J223&lt;0,"Leased_Units negative; ","")&amp;IF($P223&lt;0,"Avg_Market_Rent negative; ","")))</f>
        <v/>
      </c>
    </row>
    <row r="224" ht="15" customHeight="1">
      <c r="A224" s="5" t="n"/>
      <c r="B224" s="15" t="n"/>
      <c r="C224" s="15">
        <f>IFERROR(VLOOKUP($B224,Community_Master!$A$2:$K$100,2,FALSE),"")</f>
        <v/>
      </c>
      <c r="D224" s="15">
        <f>IFERROR(VLOOKUP($B224,Community_Master!$A$2:$K$100,4,FALSE),"")</f>
        <v/>
      </c>
      <c r="E224" s="15">
        <f>IFERROR(VLOOKUP($B224,Community_Master!$A$2:$K$100,5,FALSE),"")</f>
        <v/>
      </c>
      <c r="F224" s="15">
        <f>IFERROR(VLOOKUP($B224,Community_Master!$A$2:$K$100,6,FALSE),"")</f>
        <v/>
      </c>
      <c r="G224" s="15">
        <f>IFERROR(VLOOKUP($B224,Community_Master!$A$2:$K$100,8,FALSE),"")</f>
        <v/>
      </c>
      <c r="H224" s="15">
        <f>IFERROR(VLOOKUP($B224,Community_Master!$A$2:$K$100,7,FALSE),"")</f>
        <v/>
      </c>
      <c r="I224" s="15" t="n"/>
      <c r="J224" s="15" t="n"/>
      <c r="K224" s="15" t="n"/>
      <c r="L224" s="15">
        <f>IF($H224="","",MAX($H224-$I224,0))</f>
        <v/>
      </c>
      <c r="M224" s="6">
        <f>IF($H224="","",IFERROR($I224/$H224,""))</f>
        <v/>
      </c>
      <c r="N224" s="6">
        <f>IF($H224="","",IFERROR($J224/$H224,""))</f>
        <v/>
      </c>
      <c r="O224" s="6" t="n"/>
      <c r="P224" s="7" t="n"/>
      <c r="Q224" s="7" t="n"/>
      <c r="R224" s="7" t="n"/>
      <c r="S224" s="7" t="n"/>
      <c r="T224" s="7">
        <f>IF($H224="","",IFERROR($H224*$P224,""))</f>
        <v/>
      </c>
      <c r="U224" s="7" t="n"/>
      <c r="V224" s="7" t="n"/>
      <c r="W224" s="7" t="n"/>
      <c r="X224" s="7">
        <f>IF(OR($U224="",$W224=""),"",($U224+$V224)-$W224)</f>
        <v/>
      </c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9" t="n"/>
      <c r="AJ224" s="8" t="n"/>
      <c r="AK224" s="8" t="n"/>
      <c r="AL224" s="15" t="n"/>
      <c r="AM224" s="15" t="n"/>
      <c r="AN224" s="15" t="n"/>
      <c r="AO224" s="15" t="n"/>
      <c r="AP224" s="10" t="n"/>
      <c r="AQ224" s="15">
        <f>IF($B224="","",IF(OR(ISERROR(MATCH($B224,Community_Master!$A$2:$A$100,0)),$A224="",AND($H224&lt;&gt;"",$I224&gt;$H224),AND($H224&lt;&gt;"",$J224&gt;$H224),$I224&lt;0,$J224&lt;0,$K224&lt;0,$P224&lt;0,$Q224&lt;0,$Y224&lt;0,$Z224&lt;0,$AA224&lt;0,$AB224&lt;0,$AC224&lt;0),"ERROR","OK"))</f>
        <v/>
      </c>
      <c r="AR224" s="15">
        <f>IF($B224="","",TRIM(IF(ISERROR(MATCH($B224,Community_Master!$A$2:$A$100,0)),"Invalid Community_ID; ","")&amp;IF($A224="","Missing Report_Month; ","")&amp;IF(AND($H224&lt;&gt;"",$I224&gt;$H224),"Occupied_Units greater than Total_Units; ","")&amp;IF(AND($H224&lt;&gt;"",$J224&gt;$H224),"Leased_Units greater than Total_Units; ","")&amp;IF($I224&lt;0,"Occupied_Units negative; ","")&amp;IF($J224&lt;0,"Leased_Units negative; ","")&amp;IF($P224&lt;0,"Avg_Market_Rent negative; ","")))</f>
        <v/>
      </c>
    </row>
    <row r="225" ht="15" customHeight="1">
      <c r="A225" s="5" t="n"/>
      <c r="B225" s="15" t="n"/>
      <c r="C225" s="15">
        <f>IFERROR(VLOOKUP($B225,Community_Master!$A$2:$K$100,2,FALSE),"")</f>
        <v/>
      </c>
      <c r="D225" s="15">
        <f>IFERROR(VLOOKUP($B225,Community_Master!$A$2:$K$100,4,FALSE),"")</f>
        <v/>
      </c>
      <c r="E225" s="15">
        <f>IFERROR(VLOOKUP($B225,Community_Master!$A$2:$K$100,5,FALSE),"")</f>
        <v/>
      </c>
      <c r="F225" s="15">
        <f>IFERROR(VLOOKUP($B225,Community_Master!$A$2:$K$100,6,FALSE),"")</f>
        <v/>
      </c>
      <c r="G225" s="15">
        <f>IFERROR(VLOOKUP($B225,Community_Master!$A$2:$K$100,8,FALSE),"")</f>
        <v/>
      </c>
      <c r="H225" s="15">
        <f>IFERROR(VLOOKUP($B225,Community_Master!$A$2:$K$100,7,FALSE),"")</f>
        <v/>
      </c>
      <c r="I225" s="15" t="n"/>
      <c r="J225" s="15" t="n"/>
      <c r="K225" s="15" t="n"/>
      <c r="L225" s="15">
        <f>IF($H225="","",MAX($H225-$I225,0))</f>
        <v/>
      </c>
      <c r="M225" s="6">
        <f>IF($H225="","",IFERROR($I225/$H225,""))</f>
        <v/>
      </c>
      <c r="N225" s="6">
        <f>IF($H225="","",IFERROR($J225/$H225,""))</f>
        <v/>
      </c>
      <c r="O225" s="6" t="n"/>
      <c r="P225" s="7" t="n"/>
      <c r="Q225" s="7" t="n"/>
      <c r="R225" s="7" t="n"/>
      <c r="S225" s="7" t="n"/>
      <c r="T225" s="7">
        <f>IF($H225="","",IFERROR($H225*$P225,""))</f>
        <v/>
      </c>
      <c r="U225" s="7" t="n"/>
      <c r="V225" s="7" t="n"/>
      <c r="W225" s="7" t="n"/>
      <c r="X225" s="7">
        <f>IF(OR($U225="",$W225=""),"",($U225+$V225)-$W225)</f>
        <v/>
      </c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9" t="n"/>
      <c r="AJ225" s="8" t="n"/>
      <c r="AK225" s="8" t="n"/>
      <c r="AL225" s="15" t="n"/>
      <c r="AM225" s="15" t="n"/>
      <c r="AN225" s="15" t="n"/>
      <c r="AO225" s="15" t="n"/>
      <c r="AP225" s="10" t="n"/>
      <c r="AQ225" s="15">
        <f>IF($B225="","",IF(OR(ISERROR(MATCH($B225,Community_Master!$A$2:$A$100,0)),$A225="",AND($H225&lt;&gt;"",$I225&gt;$H225),AND($H225&lt;&gt;"",$J225&gt;$H225),$I225&lt;0,$J225&lt;0,$K225&lt;0,$P225&lt;0,$Q225&lt;0,$Y225&lt;0,$Z225&lt;0,$AA225&lt;0,$AB225&lt;0,$AC225&lt;0),"ERROR","OK"))</f>
        <v/>
      </c>
      <c r="AR225" s="15">
        <f>IF($B225="","",TRIM(IF(ISERROR(MATCH($B225,Community_Master!$A$2:$A$100,0)),"Invalid Community_ID; ","")&amp;IF($A225="","Missing Report_Month; ","")&amp;IF(AND($H225&lt;&gt;"",$I225&gt;$H225),"Occupied_Units greater than Total_Units; ","")&amp;IF(AND($H225&lt;&gt;"",$J225&gt;$H225),"Leased_Units greater than Total_Units; ","")&amp;IF($I225&lt;0,"Occupied_Units negative; ","")&amp;IF($J225&lt;0,"Leased_Units negative; ","")&amp;IF($P225&lt;0,"Avg_Market_Rent negative; ","")))</f>
        <v/>
      </c>
    </row>
    <row r="226" ht="15" customHeight="1">
      <c r="A226" s="5" t="n"/>
      <c r="B226" s="15" t="n"/>
      <c r="C226" s="15">
        <f>IFERROR(VLOOKUP($B226,Community_Master!$A$2:$K$100,2,FALSE),"")</f>
        <v/>
      </c>
      <c r="D226" s="15">
        <f>IFERROR(VLOOKUP($B226,Community_Master!$A$2:$K$100,4,FALSE),"")</f>
        <v/>
      </c>
      <c r="E226" s="15">
        <f>IFERROR(VLOOKUP($B226,Community_Master!$A$2:$K$100,5,FALSE),"")</f>
        <v/>
      </c>
      <c r="F226" s="15">
        <f>IFERROR(VLOOKUP($B226,Community_Master!$A$2:$K$100,6,FALSE),"")</f>
        <v/>
      </c>
      <c r="G226" s="15">
        <f>IFERROR(VLOOKUP($B226,Community_Master!$A$2:$K$100,8,FALSE),"")</f>
        <v/>
      </c>
      <c r="H226" s="15">
        <f>IFERROR(VLOOKUP($B226,Community_Master!$A$2:$K$100,7,FALSE),"")</f>
        <v/>
      </c>
      <c r="I226" s="15" t="n"/>
      <c r="J226" s="15" t="n"/>
      <c r="K226" s="15" t="n"/>
      <c r="L226" s="15">
        <f>IF($H226="","",MAX($H226-$I226,0))</f>
        <v/>
      </c>
      <c r="M226" s="6">
        <f>IF($H226="","",IFERROR($I226/$H226,""))</f>
        <v/>
      </c>
      <c r="N226" s="6">
        <f>IF($H226="","",IFERROR($J226/$H226,""))</f>
        <v/>
      </c>
      <c r="O226" s="6" t="n"/>
      <c r="P226" s="7" t="n"/>
      <c r="Q226" s="7" t="n"/>
      <c r="R226" s="7" t="n"/>
      <c r="S226" s="7" t="n"/>
      <c r="T226" s="7">
        <f>IF($H226="","",IFERROR($H226*$P226,""))</f>
        <v/>
      </c>
      <c r="U226" s="7" t="n"/>
      <c r="V226" s="7" t="n"/>
      <c r="W226" s="7" t="n"/>
      <c r="X226" s="7">
        <f>IF(OR($U226="",$W226=""),"",($U226+$V226)-$W226)</f>
        <v/>
      </c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9" t="n"/>
      <c r="AJ226" s="8" t="n"/>
      <c r="AK226" s="8" t="n"/>
      <c r="AL226" s="15" t="n"/>
      <c r="AM226" s="15" t="n"/>
      <c r="AN226" s="15" t="n"/>
      <c r="AO226" s="15" t="n"/>
      <c r="AP226" s="10" t="n"/>
      <c r="AQ226" s="15">
        <f>IF($B226="","",IF(OR(ISERROR(MATCH($B226,Community_Master!$A$2:$A$100,0)),$A226="",AND($H226&lt;&gt;"",$I226&gt;$H226),AND($H226&lt;&gt;"",$J226&gt;$H226),$I226&lt;0,$J226&lt;0,$K226&lt;0,$P226&lt;0,$Q226&lt;0,$Y226&lt;0,$Z226&lt;0,$AA226&lt;0,$AB226&lt;0,$AC226&lt;0),"ERROR","OK"))</f>
        <v/>
      </c>
      <c r="AR226" s="15">
        <f>IF($B226="","",TRIM(IF(ISERROR(MATCH($B226,Community_Master!$A$2:$A$100,0)),"Invalid Community_ID; ","")&amp;IF($A226="","Missing Report_Month; ","")&amp;IF(AND($H226&lt;&gt;"",$I226&gt;$H226),"Occupied_Units greater than Total_Units; ","")&amp;IF(AND($H226&lt;&gt;"",$J226&gt;$H226),"Leased_Units greater than Total_Units; ","")&amp;IF($I226&lt;0,"Occupied_Units negative; ","")&amp;IF($J226&lt;0,"Leased_Units negative; ","")&amp;IF($P226&lt;0,"Avg_Market_Rent negative; ","")))</f>
        <v/>
      </c>
    </row>
    <row r="227" ht="15" customHeight="1">
      <c r="A227" s="5" t="n"/>
      <c r="B227" s="15" t="n"/>
      <c r="C227" s="15">
        <f>IFERROR(VLOOKUP($B227,Community_Master!$A$2:$K$100,2,FALSE),"")</f>
        <v/>
      </c>
      <c r="D227" s="15">
        <f>IFERROR(VLOOKUP($B227,Community_Master!$A$2:$K$100,4,FALSE),"")</f>
        <v/>
      </c>
      <c r="E227" s="15">
        <f>IFERROR(VLOOKUP($B227,Community_Master!$A$2:$K$100,5,FALSE),"")</f>
        <v/>
      </c>
      <c r="F227" s="15">
        <f>IFERROR(VLOOKUP($B227,Community_Master!$A$2:$K$100,6,FALSE),"")</f>
        <v/>
      </c>
      <c r="G227" s="15">
        <f>IFERROR(VLOOKUP($B227,Community_Master!$A$2:$K$100,8,FALSE),"")</f>
        <v/>
      </c>
      <c r="H227" s="15">
        <f>IFERROR(VLOOKUP($B227,Community_Master!$A$2:$K$100,7,FALSE),"")</f>
        <v/>
      </c>
      <c r="I227" s="15" t="n"/>
      <c r="J227" s="15" t="n"/>
      <c r="K227" s="15" t="n"/>
      <c r="L227" s="15">
        <f>IF($H227="","",MAX($H227-$I227,0))</f>
        <v/>
      </c>
      <c r="M227" s="6">
        <f>IF($H227="","",IFERROR($I227/$H227,""))</f>
        <v/>
      </c>
      <c r="N227" s="6">
        <f>IF($H227="","",IFERROR($J227/$H227,""))</f>
        <v/>
      </c>
      <c r="O227" s="6" t="n"/>
      <c r="P227" s="7" t="n"/>
      <c r="Q227" s="7" t="n"/>
      <c r="R227" s="7" t="n"/>
      <c r="S227" s="7" t="n"/>
      <c r="T227" s="7">
        <f>IF($H227="","",IFERROR($H227*$P227,""))</f>
        <v/>
      </c>
      <c r="U227" s="7" t="n"/>
      <c r="V227" s="7" t="n"/>
      <c r="W227" s="7" t="n"/>
      <c r="X227" s="7">
        <f>IF(OR($U227="",$W227=""),"",($U227+$V227)-$W227)</f>
        <v/>
      </c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9" t="n"/>
      <c r="AJ227" s="8" t="n"/>
      <c r="AK227" s="8" t="n"/>
      <c r="AL227" s="15" t="n"/>
      <c r="AM227" s="15" t="n"/>
      <c r="AN227" s="15" t="n"/>
      <c r="AO227" s="15" t="n"/>
      <c r="AP227" s="10" t="n"/>
      <c r="AQ227" s="15">
        <f>IF($B227="","",IF(OR(ISERROR(MATCH($B227,Community_Master!$A$2:$A$100,0)),$A227="",AND($H227&lt;&gt;"",$I227&gt;$H227),AND($H227&lt;&gt;"",$J227&gt;$H227),$I227&lt;0,$J227&lt;0,$K227&lt;0,$P227&lt;0,$Q227&lt;0,$Y227&lt;0,$Z227&lt;0,$AA227&lt;0,$AB227&lt;0,$AC227&lt;0),"ERROR","OK"))</f>
        <v/>
      </c>
      <c r="AR227" s="15">
        <f>IF($B227="","",TRIM(IF(ISERROR(MATCH($B227,Community_Master!$A$2:$A$100,0)),"Invalid Community_ID; ","")&amp;IF($A227="","Missing Report_Month; ","")&amp;IF(AND($H227&lt;&gt;"",$I227&gt;$H227),"Occupied_Units greater than Total_Units; ","")&amp;IF(AND($H227&lt;&gt;"",$J227&gt;$H227),"Leased_Units greater than Total_Units; ","")&amp;IF($I227&lt;0,"Occupied_Units negative; ","")&amp;IF($J227&lt;0,"Leased_Units negative; ","")&amp;IF($P227&lt;0,"Avg_Market_Rent negative; ","")))</f>
        <v/>
      </c>
    </row>
    <row r="228" ht="15" customHeight="1">
      <c r="A228" s="5" t="n"/>
      <c r="B228" s="15" t="n"/>
      <c r="C228" s="15">
        <f>IFERROR(VLOOKUP($B228,Community_Master!$A$2:$K$100,2,FALSE),"")</f>
        <v/>
      </c>
      <c r="D228" s="15">
        <f>IFERROR(VLOOKUP($B228,Community_Master!$A$2:$K$100,4,FALSE),"")</f>
        <v/>
      </c>
      <c r="E228" s="15">
        <f>IFERROR(VLOOKUP($B228,Community_Master!$A$2:$K$100,5,FALSE),"")</f>
        <v/>
      </c>
      <c r="F228" s="15">
        <f>IFERROR(VLOOKUP($B228,Community_Master!$A$2:$K$100,6,FALSE),"")</f>
        <v/>
      </c>
      <c r="G228" s="15">
        <f>IFERROR(VLOOKUP($B228,Community_Master!$A$2:$K$100,8,FALSE),"")</f>
        <v/>
      </c>
      <c r="H228" s="15">
        <f>IFERROR(VLOOKUP($B228,Community_Master!$A$2:$K$100,7,FALSE),"")</f>
        <v/>
      </c>
      <c r="I228" s="15" t="n"/>
      <c r="J228" s="15" t="n"/>
      <c r="K228" s="15" t="n"/>
      <c r="L228" s="15">
        <f>IF($H228="","",MAX($H228-$I228,0))</f>
        <v/>
      </c>
      <c r="M228" s="6">
        <f>IF($H228="","",IFERROR($I228/$H228,""))</f>
        <v/>
      </c>
      <c r="N228" s="6">
        <f>IF($H228="","",IFERROR($J228/$H228,""))</f>
        <v/>
      </c>
      <c r="O228" s="6" t="n"/>
      <c r="P228" s="7" t="n"/>
      <c r="Q228" s="7" t="n"/>
      <c r="R228" s="7" t="n"/>
      <c r="S228" s="7" t="n"/>
      <c r="T228" s="7">
        <f>IF($H228="","",IFERROR($H228*$P228,""))</f>
        <v/>
      </c>
      <c r="U228" s="7" t="n"/>
      <c r="V228" s="7" t="n"/>
      <c r="W228" s="7" t="n"/>
      <c r="X228" s="7">
        <f>IF(OR($U228="",$W228=""),"",($U228+$V228)-$W228)</f>
        <v/>
      </c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9" t="n"/>
      <c r="AJ228" s="8" t="n"/>
      <c r="AK228" s="8" t="n"/>
      <c r="AL228" s="15" t="n"/>
      <c r="AM228" s="15" t="n"/>
      <c r="AN228" s="15" t="n"/>
      <c r="AO228" s="15" t="n"/>
      <c r="AP228" s="10" t="n"/>
      <c r="AQ228" s="15">
        <f>IF($B228="","",IF(OR(ISERROR(MATCH($B228,Community_Master!$A$2:$A$100,0)),$A228="",AND($H228&lt;&gt;"",$I228&gt;$H228),AND($H228&lt;&gt;"",$J228&gt;$H228),$I228&lt;0,$J228&lt;0,$K228&lt;0,$P228&lt;0,$Q228&lt;0,$Y228&lt;0,$Z228&lt;0,$AA228&lt;0,$AB228&lt;0,$AC228&lt;0),"ERROR","OK"))</f>
        <v/>
      </c>
      <c r="AR228" s="15">
        <f>IF($B228="","",TRIM(IF(ISERROR(MATCH($B228,Community_Master!$A$2:$A$100,0)),"Invalid Community_ID; ","")&amp;IF($A228="","Missing Report_Month; ","")&amp;IF(AND($H228&lt;&gt;"",$I228&gt;$H228),"Occupied_Units greater than Total_Units; ","")&amp;IF(AND($H228&lt;&gt;"",$J228&gt;$H228),"Leased_Units greater than Total_Units; ","")&amp;IF($I228&lt;0,"Occupied_Units negative; ","")&amp;IF($J228&lt;0,"Leased_Units negative; ","")&amp;IF($P228&lt;0,"Avg_Market_Rent negative; ","")))</f>
        <v/>
      </c>
    </row>
    <row r="229" ht="15" customHeight="1">
      <c r="A229" s="5" t="n"/>
      <c r="B229" s="15" t="n"/>
      <c r="C229" s="15">
        <f>IFERROR(VLOOKUP($B229,Community_Master!$A$2:$K$100,2,FALSE),"")</f>
        <v/>
      </c>
      <c r="D229" s="15">
        <f>IFERROR(VLOOKUP($B229,Community_Master!$A$2:$K$100,4,FALSE),"")</f>
        <v/>
      </c>
      <c r="E229" s="15">
        <f>IFERROR(VLOOKUP($B229,Community_Master!$A$2:$K$100,5,FALSE),"")</f>
        <v/>
      </c>
      <c r="F229" s="15">
        <f>IFERROR(VLOOKUP($B229,Community_Master!$A$2:$K$100,6,FALSE),"")</f>
        <v/>
      </c>
      <c r="G229" s="15">
        <f>IFERROR(VLOOKUP($B229,Community_Master!$A$2:$K$100,8,FALSE),"")</f>
        <v/>
      </c>
      <c r="H229" s="15">
        <f>IFERROR(VLOOKUP($B229,Community_Master!$A$2:$K$100,7,FALSE),"")</f>
        <v/>
      </c>
      <c r="I229" s="15" t="n"/>
      <c r="J229" s="15" t="n"/>
      <c r="K229" s="15" t="n"/>
      <c r="L229" s="15">
        <f>IF($H229="","",MAX($H229-$I229,0))</f>
        <v/>
      </c>
      <c r="M229" s="6">
        <f>IF($H229="","",IFERROR($I229/$H229,""))</f>
        <v/>
      </c>
      <c r="N229" s="6">
        <f>IF($H229="","",IFERROR($J229/$H229,""))</f>
        <v/>
      </c>
      <c r="O229" s="6" t="n"/>
      <c r="P229" s="7" t="n"/>
      <c r="Q229" s="7" t="n"/>
      <c r="R229" s="7" t="n"/>
      <c r="S229" s="7" t="n"/>
      <c r="T229" s="7">
        <f>IF($H229="","",IFERROR($H229*$P229,""))</f>
        <v/>
      </c>
      <c r="U229" s="7" t="n"/>
      <c r="V229" s="7" t="n"/>
      <c r="W229" s="7" t="n"/>
      <c r="X229" s="7">
        <f>IF(OR($U229="",$W229=""),"",($U229+$V229)-$W229)</f>
        <v/>
      </c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9" t="n"/>
      <c r="AJ229" s="8" t="n"/>
      <c r="AK229" s="8" t="n"/>
      <c r="AL229" s="15" t="n"/>
      <c r="AM229" s="15" t="n"/>
      <c r="AN229" s="15" t="n"/>
      <c r="AO229" s="15" t="n"/>
      <c r="AP229" s="10" t="n"/>
      <c r="AQ229" s="15">
        <f>IF($B229="","",IF(OR(ISERROR(MATCH($B229,Community_Master!$A$2:$A$100,0)),$A229="",AND($H229&lt;&gt;"",$I229&gt;$H229),AND($H229&lt;&gt;"",$J229&gt;$H229),$I229&lt;0,$J229&lt;0,$K229&lt;0,$P229&lt;0,$Q229&lt;0,$Y229&lt;0,$Z229&lt;0,$AA229&lt;0,$AB229&lt;0,$AC229&lt;0),"ERROR","OK"))</f>
        <v/>
      </c>
      <c r="AR229" s="15">
        <f>IF($B229="","",TRIM(IF(ISERROR(MATCH($B229,Community_Master!$A$2:$A$100,0)),"Invalid Community_ID; ","")&amp;IF($A229="","Missing Report_Month; ","")&amp;IF(AND($H229&lt;&gt;"",$I229&gt;$H229),"Occupied_Units greater than Total_Units; ","")&amp;IF(AND($H229&lt;&gt;"",$J229&gt;$H229),"Leased_Units greater than Total_Units; ","")&amp;IF($I229&lt;0,"Occupied_Units negative; ","")&amp;IF($J229&lt;0,"Leased_Units negative; ","")&amp;IF($P229&lt;0,"Avg_Market_Rent negative; ","")))</f>
        <v/>
      </c>
    </row>
    <row r="230" ht="15" customHeight="1">
      <c r="A230" s="5" t="n"/>
      <c r="B230" s="15" t="n"/>
      <c r="C230" s="15">
        <f>IFERROR(VLOOKUP($B230,Community_Master!$A$2:$K$100,2,FALSE),"")</f>
        <v/>
      </c>
      <c r="D230" s="15">
        <f>IFERROR(VLOOKUP($B230,Community_Master!$A$2:$K$100,4,FALSE),"")</f>
        <v/>
      </c>
      <c r="E230" s="15">
        <f>IFERROR(VLOOKUP($B230,Community_Master!$A$2:$K$100,5,FALSE),"")</f>
        <v/>
      </c>
      <c r="F230" s="15">
        <f>IFERROR(VLOOKUP($B230,Community_Master!$A$2:$K$100,6,FALSE),"")</f>
        <v/>
      </c>
      <c r="G230" s="15">
        <f>IFERROR(VLOOKUP($B230,Community_Master!$A$2:$K$100,8,FALSE),"")</f>
        <v/>
      </c>
      <c r="H230" s="15">
        <f>IFERROR(VLOOKUP($B230,Community_Master!$A$2:$K$100,7,FALSE),"")</f>
        <v/>
      </c>
      <c r="I230" s="15" t="n"/>
      <c r="J230" s="15" t="n"/>
      <c r="K230" s="15" t="n"/>
      <c r="L230" s="15">
        <f>IF($H230="","",MAX($H230-$I230,0))</f>
        <v/>
      </c>
      <c r="M230" s="6">
        <f>IF($H230="","",IFERROR($I230/$H230,""))</f>
        <v/>
      </c>
      <c r="N230" s="6">
        <f>IF($H230="","",IFERROR($J230/$H230,""))</f>
        <v/>
      </c>
      <c r="O230" s="6" t="n"/>
      <c r="P230" s="7" t="n"/>
      <c r="Q230" s="7" t="n"/>
      <c r="R230" s="7" t="n"/>
      <c r="S230" s="7" t="n"/>
      <c r="T230" s="7">
        <f>IF($H230="","",IFERROR($H230*$P230,""))</f>
        <v/>
      </c>
      <c r="U230" s="7" t="n"/>
      <c r="V230" s="7" t="n"/>
      <c r="W230" s="7" t="n"/>
      <c r="X230" s="7">
        <f>IF(OR($U230="",$W230=""),"",($U230+$V230)-$W230)</f>
        <v/>
      </c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9" t="n"/>
      <c r="AJ230" s="8" t="n"/>
      <c r="AK230" s="8" t="n"/>
      <c r="AL230" s="15" t="n"/>
      <c r="AM230" s="15" t="n"/>
      <c r="AN230" s="15" t="n"/>
      <c r="AO230" s="15" t="n"/>
      <c r="AP230" s="10" t="n"/>
      <c r="AQ230" s="15">
        <f>IF($B230="","",IF(OR(ISERROR(MATCH($B230,Community_Master!$A$2:$A$100,0)),$A230="",AND($H230&lt;&gt;"",$I230&gt;$H230),AND($H230&lt;&gt;"",$J230&gt;$H230),$I230&lt;0,$J230&lt;0,$K230&lt;0,$P230&lt;0,$Q230&lt;0,$Y230&lt;0,$Z230&lt;0,$AA230&lt;0,$AB230&lt;0,$AC230&lt;0),"ERROR","OK"))</f>
        <v/>
      </c>
      <c r="AR230" s="15">
        <f>IF($B230="","",TRIM(IF(ISERROR(MATCH($B230,Community_Master!$A$2:$A$100,0)),"Invalid Community_ID; ","")&amp;IF($A230="","Missing Report_Month; ","")&amp;IF(AND($H230&lt;&gt;"",$I230&gt;$H230),"Occupied_Units greater than Total_Units; ","")&amp;IF(AND($H230&lt;&gt;"",$J230&gt;$H230),"Leased_Units greater than Total_Units; ","")&amp;IF($I230&lt;0,"Occupied_Units negative; ","")&amp;IF($J230&lt;0,"Leased_Units negative; ","")&amp;IF($P230&lt;0,"Avg_Market_Rent negative; ","")))</f>
        <v/>
      </c>
    </row>
    <row r="231" ht="15" customHeight="1">
      <c r="A231" s="5" t="n"/>
      <c r="B231" s="15" t="n"/>
      <c r="C231" s="15">
        <f>IFERROR(VLOOKUP($B231,Community_Master!$A$2:$K$100,2,FALSE),"")</f>
        <v/>
      </c>
      <c r="D231" s="15">
        <f>IFERROR(VLOOKUP($B231,Community_Master!$A$2:$K$100,4,FALSE),"")</f>
        <v/>
      </c>
      <c r="E231" s="15">
        <f>IFERROR(VLOOKUP($B231,Community_Master!$A$2:$K$100,5,FALSE),"")</f>
        <v/>
      </c>
      <c r="F231" s="15">
        <f>IFERROR(VLOOKUP($B231,Community_Master!$A$2:$K$100,6,FALSE),"")</f>
        <v/>
      </c>
      <c r="G231" s="15">
        <f>IFERROR(VLOOKUP($B231,Community_Master!$A$2:$K$100,8,FALSE),"")</f>
        <v/>
      </c>
      <c r="H231" s="15">
        <f>IFERROR(VLOOKUP($B231,Community_Master!$A$2:$K$100,7,FALSE),"")</f>
        <v/>
      </c>
      <c r="I231" s="15" t="n"/>
      <c r="J231" s="15" t="n"/>
      <c r="K231" s="15" t="n"/>
      <c r="L231" s="15">
        <f>IF($H231="","",MAX($H231-$I231,0))</f>
        <v/>
      </c>
      <c r="M231" s="6">
        <f>IF($H231="","",IFERROR($I231/$H231,""))</f>
        <v/>
      </c>
      <c r="N231" s="6">
        <f>IF($H231="","",IFERROR($J231/$H231,""))</f>
        <v/>
      </c>
      <c r="O231" s="6" t="n"/>
      <c r="P231" s="7" t="n"/>
      <c r="Q231" s="7" t="n"/>
      <c r="R231" s="7" t="n"/>
      <c r="S231" s="7" t="n"/>
      <c r="T231" s="7">
        <f>IF($H231="","",IFERROR($H231*$P231,""))</f>
        <v/>
      </c>
      <c r="U231" s="7" t="n"/>
      <c r="V231" s="7" t="n"/>
      <c r="W231" s="7" t="n"/>
      <c r="X231" s="7">
        <f>IF(OR($U231="",$W231=""),"",($U231+$V231)-$W231)</f>
        <v/>
      </c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9" t="n"/>
      <c r="AJ231" s="8" t="n"/>
      <c r="AK231" s="8" t="n"/>
      <c r="AL231" s="15" t="n"/>
      <c r="AM231" s="15" t="n"/>
      <c r="AN231" s="15" t="n"/>
      <c r="AO231" s="15" t="n"/>
      <c r="AP231" s="10" t="n"/>
      <c r="AQ231" s="15">
        <f>IF($B231="","",IF(OR(ISERROR(MATCH($B231,Community_Master!$A$2:$A$100,0)),$A231="",AND($H231&lt;&gt;"",$I231&gt;$H231),AND($H231&lt;&gt;"",$J231&gt;$H231),$I231&lt;0,$J231&lt;0,$K231&lt;0,$P231&lt;0,$Q231&lt;0,$Y231&lt;0,$Z231&lt;0,$AA231&lt;0,$AB231&lt;0,$AC231&lt;0),"ERROR","OK"))</f>
        <v/>
      </c>
      <c r="AR231" s="15">
        <f>IF($B231="","",TRIM(IF(ISERROR(MATCH($B231,Community_Master!$A$2:$A$100,0)),"Invalid Community_ID; ","")&amp;IF($A231="","Missing Report_Month; ","")&amp;IF(AND($H231&lt;&gt;"",$I231&gt;$H231),"Occupied_Units greater than Total_Units; ","")&amp;IF(AND($H231&lt;&gt;"",$J231&gt;$H231),"Leased_Units greater than Total_Units; ","")&amp;IF($I231&lt;0,"Occupied_Units negative; ","")&amp;IF($J231&lt;0,"Leased_Units negative; ","")&amp;IF($P231&lt;0,"Avg_Market_Rent negative; ","")))</f>
        <v/>
      </c>
    </row>
    <row r="232" ht="15" customHeight="1">
      <c r="A232" s="5" t="n"/>
      <c r="B232" s="15" t="n"/>
      <c r="C232" s="15">
        <f>IFERROR(VLOOKUP($B232,Community_Master!$A$2:$K$100,2,FALSE),"")</f>
        <v/>
      </c>
      <c r="D232" s="15">
        <f>IFERROR(VLOOKUP($B232,Community_Master!$A$2:$K$100,4,FALSE),"")</f>
        <v/>
      </c>
      <c r="E232" s="15">
        <f>IFERROR(VLOOKUP($B232,Community_Master!$A$2:$K$100,5,FALSE),"")</f>
        <v/>
      </c>
      <c r="F232" s="15">
        <f>IFERROR(VLOOKUP($B232,Community_Master!$A$2:$K$100,6,FALSE),"")</f>
        <v/>
      </c>
      <c r="G232" s="15">
        <f>IFERROR(VLOOKUP($B232,Community_Master!$A$2:$K$100,8,FALSE),"")</f>
        <v/>
      </c>
      <c r="H232" s="15">
        <f>IFERROR(VLOOKUP($B232,Community_Master!$A$2:$K$100,7,FALSE),"")</f>
        <v/>
      </c>
      <c r="I232" s="15" t="n"/>
      <c r="J232" s="15" t="n"/>
      <c r="K232" s="15" t="n"/>
      <c r="L232" s="15">
        <f>IF($H232="","",MAX($H232-$I232,0))</f>
        <v/>
      </c>
      <c r="M232" s="6">
        <f>IF($H232="","",IFERROR($I232/$H232,""))</f>
        <v/>
      </c>
      <c r="N232" s="6">
        <f>IF($H232="","",IFERROR($J232/$H232,""))</f>
        <v/>
      </c>
      <c r="O232" s="6" t="n"/>
      <c r="P232" s="7" t="n"/>
      <c r="Q232" s="7" t="n"/>
      <c r="R232" s="7" t="n"/>
      <c r="S232" s="7" t="n"/>
      <c r="T232" s="7">
        <f>IF($H232="","",IFERROR($H232*$P232,""))</f>
        <v/>
      </c>
      <c r="U232" s="7" t="n"/>
      <c r="V232" s="7" t="n"/>
      <c r="W232" s="7" t="n"/>
      <c r="X232" s="7">
        <f>IF(OR($U232="",$W232=""),"",($U232+$V232)-$W232)</f>
        <v/>
      </c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9" t="n"/>
      <c r="AJ232" s="8" t="n"/>
      <c r="AK232" s="8" t="n"/>
      <c r="AL232" s="15" t="n"/>
      <c r="AM232" s="15" t="n"/>
      <c r="AN232" s="15" t="n"/>
      <c r="AO232" s="15" t="n"/>
      <c r="AP232" s="10" t="n"/>
      <c r="AQ232" s="15">
        <f>IF($B232="","",IF(OR(ISERROR(MATCH($B232,Community_Master!$A$2:$A$100,0)),$A232="",AND($H232&lt;&gt;"",$I232&gt;$H232),AND($H232&lt;&gt;"",$J232&gt;$H232),$I232&lt;0,$J232&lt;0,$K232&lt;0,$P232&lt;0,$Q232&lt;0,$Y232&lt;0,$Z232&lt;0,$AA232&lt;0,$AB232&lt;0,$AC232&lt;0),"ERROR","OK"))</f>
        <v/>
      </c>
      <c r="AR232" s="15">
        <f>IF($B232="","",TRIM(IF(ISERROR(MATCH($B232,Community_Master!$A$2:$A$100,0)),"Invalid Community_ID; ","")&amp;IF($A232="","Missing Report_Month; ","")&amp;IF(AND($H232&lt;&gt;"",$I232&gt;$H232),"Occupied_Units greater than Total_Units; ","")&amp;IF(AND($H232&lt;&gt;"",$J232&gt;$H232),"Leased_Units greater than Total_Units; ","")&amp;IF($I232&lt;0,"Occupied_Units negative; ","")&amp;IF($J232&lt;0,"Leased_Units negative; ","")&amp;IF($P232&lt;0,"Avg_Market_Rent negative; ","")))</f>
        <v/>
      </c>
    </row>
    <row r="233" ht="15" customHeight="1">
      <c r="A233" s="5" t="n"/>
      <c r="B233" s="15" t="n"/>
      <c r="C233" s="15">
        <f>IFERROR(VLOOKUP($B233,Community_Master!$A$2:$K$100,2,FALSE),"")</f>
        <v/>
      </c>
      <c r="D233" s="15">
        <f>IFERROR(VLOOKUP($B233,Community_Master!$A$2:$K$100,4,FALSE),"")</f>
        <v/>
      </c>
      <c r="E233" s="15">
        <f>IFERROR(VLOOKUP($B233,Community_Master!$A$2:$K$100,5,FALSE),"")</f>
        <v/>
      </c>
      <c r="F233" s="15">
        <f>IFERROR(VLOOKUP($B233,Community_Master!$A$2:$K$100,6,FALSE),"")</f>
        <v/>
      </c>
      <c r="G233" s="15">
        <f>IFERROR(VLOOKUP($B233,Community_Master!$A$2:$K$100,8,FALSE),"")</f>
        <v/>
      </c>
      <c r="H233" s="15">
        <f>IFERROR(VLOOKUP($B233,Community_Master!$A$2:$K$100,7,FALSE),"")</f>
        <v/>
      </c>
      <c r="I233" s="15" t="n"/>
      <c r="J233" s="15" t="n"/>
      <c r="K233" s="15" t="n"/>
      <c r="L233" s="15">
        <f>IF($H233="","",MAX($H233-$I233,0))</f>
        <v/>
      </c>
      <c r="M233" s="6">
        <f>IF($H233="","",IFERROR($I233/$H233,""))</f>
        <v/>
      </c>
      <c r="N233" s="6">
        <f>IF($H233="","",IFERROR($J233/$H233,""))</f>
        <v/>
      </c>
      <c r="O233" s="6" t="n"/>
      <c r="P233" s="7" t="n"/>
      <c r="Q233" s="7" t="n"/>
      <c r="R233" s="7" t="n"/>
      <c r="S233" s="7" t="n"/>
      <c r="T233" s="7">
        <f>IF($H233="","",IFERROR($H233*$P233,""))</f>
        <v/>
      </c>
      <c r="U233" s="7" t="n"/>
      <c r="V233" s="7" t="n"/>
      <c r="W233" s="7" t="n"/>
      <c r="X233" s="7">
        <f>IF(OR($U233="",$W233=""),"",($U233+$V233)-$W233)</f>
        <v/>
      </c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9" t="n"/>
      <c r="AJ233" s="8" t="n"/>
      <c r="AK233" s="8" t="n"/>
      <c r="AL233" s="15" t="n"/>
      <c r="AM233" s="15" t="n"/>
      <c r="AN233" s="15" t="n"/>
      <c r="AO233" s="15" t="n"/>
      <c r="AP233" s="10" t="n"/>
      <c r="AQ233" s="15">
        <f>IF($B233="","",IF(OR(ISERROR(MATCH($B233,Community_Master!$A$2:$A$100,0)),$A233="",AND($H233&lt;&gt;"",$I233&gt;$H233),AND($H233&lt;&gt;"",$J233&gt;$H233),$I233&lt;0,$J233&lt;0,$K233&lt;0,$P233&lt;0,$Q233&lt;0,$Y233&lt;0,$Z233&lt;0,$AA233&lt;0,$AB233&lt;0,$AC233&lt;0),"ERROR","OK"))</f>
        <v/>
      </c>
      <c r="AR233" s="15">
        <f>IF($B233="","",TRIM(IF(ISERROR(MATCH($B233,Community_Master!$A$2:$A$100,0)),"Invalid Community_ID; ","")&amp;IF($A233="","Missing Report_Month; ","")&amp;IF(AND($H233&lt;&gt;"",$I233&gt;$H233),"Occupied_Units greater than Total_Units; ","")&amp;IF(AND($H233&lt;&gt;"",$J233&gt;$H233),"Leased_Units greater than Total_Units; ","")&amp;IF($I233&lt;0,"Occupied_Units negative; ","")&amp;IF($J233&lt;0,"Leased_Units negative; ","")&amp;IF($P233&lt;0,"Avg_Market_Rent negative; ","")))</f>
        <v/>
      </c>
    </row>
    <row r="234" ht="15" customHeight="1">
      <c r="A234" s="5" t="n"/>
      <c r="B234" s="15" t="n"/>
      <c r="C234" s="15">
        <f>IFERROR(VLOOKUP($B234,Community_Master!$A$2:$K$100,2,FALSE),"")</f>
        <v/>
      </c>
      <c r="D234" s="15">
        <f>IFERROR(VLOOKUP($B234,Community_Master!$A$2:$K$100,4,FALSE),"")</f>
        <v/>
      </c>
      <c r="E234" s="15">
        <f>IFERROR(VLOOKUP($B234,Community_Master!$A$2:$K$100,5,FALSE),"")</f>
        <v/>
      </c>
      <c r="F234" s="15">
        <f>IFERROR(VLOOKUP($B234,Community_Master!$A$2:$K$100,6,FALSE),"")</f>
        <v/>
      </c>
      <c r="G234" s="15">
        <f>IFERROR(VLOOKUP($B234,Community_Master!$A$2:$K$100,8,FALSE),"")</f>
        <v/>
      </c>
      <c r="H234" s="15">
        <f>IFERROR(VLOOKUP($B234,Community_Master!$A$2:$K$100,7,FALSE),"")</f>
        <v/>
      </c>
      <c r="I234" s="15" t="n"/>
      <c r="J234" s="15" t="n"/>
      <c r="K234" s="15" t="n"/>
      <c r="L234" s="15">
        <f>IF($H234="","",MAX($H234-$I234,0))</f>
        <v/>
      </c>
      <c r="M234" s="6">
        <f>IF($H234="","",IFERROR($I234/$H234,""))</f>
        <v/>
      </c>
      <c r="N234" s="6">
        <f>IF($H234="","",IFERROR($J234/$H234,""))</f>
        <v/>
      </c>
      <c r="O234" s="6" t="n"/>
      <c r="P234" s="7" t="n"/>
      <c r="Q234" s="7" t="n"/>
      <c r="R234" s="7" t="n"/>
      <c r="S234" s="7" t="n"/>
      <c r="T234" s="7">
        <f>IF($H234="","",IFERROR($H234*$P234,""))</f>
        <v/>
      </c>
      <c r="U234" s="7" t="n"/>
      <c r="V234" s="7" t="n"/>
      <c r="W234" s="7" t="n"/>
      <c r="X234" s="7">
        <f>IF(OR($U234="",$W234=""),"",($U234+$V234)-$W234)</f>
        <v/>
      </c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9" t="n"/>
      <c r="AJ234" s="8" t="n"/>
      <c r="AK234" s="8" t="n"/>
      <c r="AL234" s="15" t="n"/>
      <c r="AM234" s="15" t="n"/>
      <c r="AN234" s="15" t="n"/>
      <c r="AO234" s="15" t="n"/>
      <c r="AP234" s="10" t="n"/>
      <c r="AQ234" s="15">
        <f>IF($B234="","",IF(OR(ISERROR(MATCH($B234,Community_Master!$A$2:$A$100,0)),$A234="",AND($H234&lt;&gt;"",$I234&gt;$H234),AND($H234&lt;&gt;"",$J234&gt;$H234),$I234&lt;0,$J234&lt;0,$K234&lt;0,$P234&lt;0,$Q234&lt;0,$Y234&lt;0,$Z234&lt;0,$AA234&lt;0,$AB234&lt;0,$AC234&lt;0),"ERROR","OK"))</f>
        <v/>
      </c>
      <c r="AR234" s="15">
        <f>IF($B234="","",TRIM(IF(ISERROR(MATCH($B234,Community_Master!$A$2:$A$100,0)),"Invalid Community_ID; ","")&amp;IF($A234="","Missing Report_Month; ","")&amp;IF(AND($H234&lt;&gt;"",$I234&gt;$H234),"Occupied_Units greater than Total_Units; ","")&amp;IF(AND($H234&lt;&gt;"",$J234&gt;$H234),"Leased_Units greater than Total_Units; ","")&amp;IF($I234&lt;0,"Occupied_Units negative; ","")&amp;IF($J234&lt;0,"Leased_Units negative; ","")&amp;IF($P234&lt;0,"Avg_Market_Rent negative; ","")))</f>
        <v/>
      </c>
    </row>
    <row r="235" ht="15" customHeight="1">
      <c r="A235" s="5" t="n"/>
      <c r="B235" s="15" t="n"/>
      <c r="C235" s="15">
        <f>IFERROR(VLOOKUP($B235,Community_Master!$A$2:$K$100,2,FALSE),"")</f>
        <v/>
      </c>
      <c r="D235" s="15">
        <f>IFERROR(VLOOKUP($B235,Community_Master!$A$2:$K$100,4,FALSE),"")</f>
        <v/>
      </c>
      <c r="E235" s="15">
        <f>IFERROR(VLOOKUP($B235,Community_Master!$A$2:$K$100,5,FALSE),"")</f>
        <v/>
      </c>
      <c r="F235" s="15">
        <f>IFERROR(VLOOKUP($B235,Community_Master!$A$2:$K$100,6,FALSE),"")</f>
        <v/>
      </c>
      <c r="G235" s="15">
        <f>IFERROR(VLOOKUP($B235,Community_Master!$A$2:$K$100,8,FALSE),"")</f>
        <v/>
      </c>
      <c r="H235" s="15">
        <f>IFERROR(VLOOKUP($B235,Community_Master!$A$2:$K$100,7,FALSE),"")</f>
        <v/>
      </c>
      <c r="I235" s="15" t="n"/>
      <c r="J235" s="15" t="n"/>
      <c r="K235" s="15" t="n"/>
      <c r="L235" s="15">
        <f>IF($H235="","",MAX($H235-$I235,0))</f>
        <v/>
      </c>
      <c r="M235" s="6">
        <f>IF($H235="","",IFERROR($I235/$H235,""))</f>
        <v/>
      </c>
      <c r="N235" s="6">
        <f>IF($H235="","",IFERROR($J235/$H235,""))</f>
        <v/>
      </c>
      <c r="O235" s="6" t="n"/>
      <c r="P235" s="7" t="n"/>
      <c r="Q235" s="7" t="n"/>
      <c r="R235" s="7" t="n"/>
      <c r="S235" s="7" t="n"/>
      <c r="T235" s="7">
        <f>IF($H235="","",IFERROR($H235*$P235,""))</f>
        <v/>
      </c>
      <c r="U235" s="7" t="n"/>
      <c r="V235" s="7" t="n"/>
      <c r="W235" s="7" t="n"/>
      <c r="X235" s="7">
        <f>IF(OR($U235="",$W235=""),"",($U235+$V235)-$W235)</f>
        <v/>
      </c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9" t="n"/>
      <c r="AJ235" s="8" t="n"/>
      <c r="AK235" s="8" t="n"/>
      <c r="AL235" s="15" t="n"/>
      <c r="AM235" s="15" t="n"/>
      <c r="AN235" s="15" t="n"/>
      <c r="AO235" s="15" t="n"/>
      <c r="AP235" s="10" t="n"/>
      <c r="AQ235" s="15">
        <f>IF($B235="","",IF(OR(ISERROR(MATCH($B235,Community_Master!$A$2:$A$100,0)),$A235="",AND($H235&lt;&gt;"",$I235&gt;$H235),AND($H235&lt;&gt;"",$J235&gt;$H235),$I235&lt;0,$J235&lt;0,$K235&lt;0,$P235&lt;0,$Q235&lt;0,$Y235&lt;0,$Z235&lt;0,$AA235&lt;0,$AB235&lt;0,$AC235&lt;0),"ERROR","OK"))</f>
        <v/>
      </c>
      <c r="AR235" s="15">
        <f>IF($B235="","",TRIM(IF(ISERROR(MATCH($B235,Community_Master!$A$2:$A$100,0)),"Invalid Community_ID; ","")&amp;IF($A235="","Missing Report_Month; ","")&amp;IF(AND($H235&lt;&gt;"",$I235&gt;$H235),"Occupied_Units greater than Total_Units; ","")&amp;IF(AND($H235&lt;&gt;"",$J235&gt;$H235),"Leased_Units greater than Total_Units; ","")&amp;IF($I235&lt;0,"Occupied_Units negative; ","")&amp;IF($J235&lt;0,"Leased_Units negative; ","")&amp;IF($P235&lt;0,"Avg_Market_Rent negative; ","")))</f>
        <v/>
      </c>
    </row>
    <row r="236" ht="15" customHeight="1">
      <c r="A236" s="5" t="n"/>
      <c r="B236" s="15" t="n"/>
      <c r="C236" s="15">
        <f>IFERROR(VLOOKUP($B236,Community_Master!$A$2:$K$100,2,FALSE),"")</f>
        <v/>
      </c>
      <c r="D236" s="15">
        <f>IFERROR(VLOOKUP($B236,Community_Master!$A$2:$K$100,4,FALSE),"")</f>
        <v/>
      </c>
      <c r="E236" s="15">
        <f>IFERROR(VLOOKUP($B236,Community_Master!$A$2:$K$100,5,FALSE),"")</f>
        <v/>
      </c>
      <c r="F236" s="15">
        <f>IFERROR(VLOOKUP($B236,Community_Master!$A$2:$K$100,6,FALSE),"")</f>
        <v/>
      </c>
      <c r="G236" s="15">
        <f>IFERROR(VLOOKUP($B236,Community_Master!$A$2:$K$100,8,FALSE),"")</f>
        <v/>
      </c>
      <c r="H236" s="15">
        <f>IFERROR(VLOOKUP($B236,Community_Master!$A$2:$K$100,7,FALSE),"")</f>
        <v/>
      </c>
      <c r="I236" s="15" t="n"/>
      <c r="J236" s="15" t="n"/>
      <c r="K236" s="15" t="n"/>
      <c r="L236" s="15">
        <f>IF($H236="","",MAX($H236-$I236,0))</f>
        <v/>
      </c>
      <c r="M236" s="6">
        <f>IF($H236="","",IFERROR($I236/$H236,""))</f>
        <v/>
      </c>
      <c r="N236" s="6">
        <f>IF($H236="","",IFERROR($J236/$H236,""))</f>
        <v/>
      </c>
      <c r="O236" s="6" t="n"/>
      <c r="P236" s="7" t="n"/>
      <c r="Q236" s="7" t="n"/>
      <c r="R236" s="7" t="n"/>
      <c r="S236" s="7" t="n"/>
      <c r="T236" s="7">
        <f>IF($H236="","",IFERROR($H236*$P236,""))</f>
        <v/>
      </c>
      <c r="U236" s="7" t="n"/>
      <c r="V236" s="7" t="n"/>
      <c r="W236" s="7" t="n"/>
      <c r="X236" s="7">
        <f>IF(OR($U236="",$W236=""),"",($U236+$V236)-$W236)</f>
        <v/>
      </c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9" t="n"/>
      <c r="AJ236" s="8" t="n"/>
      <c r="AK236" s="8" t="n"/>
      <c r="AL236" s="15" t="n"/>
      <c r="AM236" s="15" t="n"/>
      <c r="AN236" s="15" t="n"/>
      <c r="AO236" s="15" t="n"/>
      <c r="AP236" s="10" t="n"/>
      <c r="AQ236" s="15">
        <f>IF($B236="","",IF(OR(ISERROR(MATCH($B236,Community_Master!$A$2:$A$100,0)),$A236="",AND($H236&lt;&gt;"",$I236&gt;$H236),AND($H236&lt;&gt;"",$J236&gt;$H236),$I236&lt;0,$J236&lt;0,$K236&lt;0,$P236&lt;0,$Q236&lt;0,$Y236&lt;0,$Z236&lt;0,$AA236&lt;0,$AB236&lt;0,$AC236&lt;0),"ERROR","OK"))</f>
        <v/>
      </c>
      <c r="AR236" s="15">
        <f>IF($B236="","",TRIM(IF(ISERROR(MATCH($B236,Community_Master!$A$2:$A$100,0)),"Invalid Community_ID; ","")&amp;IF($A236="","Missing Report_Month; ","")&amp;IF(AND($H236&lt;&gt;"",$I236&gt;$H236),"Occupied_Units greater than Total_Units; ","")&amp;IF(AND($H236&lt;&gt;"",$J236&gt;$H236),"Leased_Units greater than Total_Units; ","")&amp;IF($I236&lt;0,"Occupied_Units negative; ","")&amp;IF($J236&lt;0,"Leased_Units negative; ","")&amp;IF($P236&lt;0,"Avg_Market_Rent negative; ","")))</f>
        <v/>
      </c>
    </row>
    <row r="237" ht="15" customHeight="1">
      <c r="A237" s="5" t="n"/>
      <c r="B237" s="15" t="n"/>
      <c r="C237" s="15">
        <f>IFERROR(VLOOKUP($B237,Community_Master!$A$2:$K$100,2,FALSE),"")</f>
        <v/>
      </c>
      <c r="D237" s="15">
        <f>IFERROR(VLOOKUP($B237,Community_Master!$A$2:$K$100,4,FALSE),"")</f>
        <v/>
      </c>
      <c r="E237" s="15">
        <f>IFERROR(VLOOKUP($B237,Community_Master!$A$2:$K$100,5,FALSE),"")</f>
        <v/>
      </c>
      <c r="F237" s="15">
        <f>IFERROR(VLOOKUP($B237,Community_Master!$A$2:$K$100,6,FALSE),"")</f>
        <v/>
      </c>
      <c r="G237" s="15">
        <f>IFERROR(VLOOKUP($B237,Community_Master!$A$2:$K$100,8,FALSE),"")</f>
        <v/>
      </c>
      <c r="H237" s="15">
        <f>IFERROR(VLOOKUP($B237,Community_Master!$A$2:$K$100,7,FALSE),"")</f>
        <v/>
      </c>
      <c r="I237" s="15" t="n"/>
      <c r="J237" s="15" t="n"/>
      <c r="K237" s="15" t="n"/>
      <c r="L237" s="15">
        <f>IF($H237="","",MAX($H237-$I237,0))</f>
        <v/>
      </c>
      <c r="M237" s="6">
        <f>IF($H237="","",IFERROR($I237/$H237,""))</f>
        <v/>
      </c>
      <c r="N237" s="6">
        <f>IF($H237="","",IFERROR($J237/$H237,""))</f>
        <v/>
      </c>
      <c r="O237" s="6" t="n"/>
      <c r="P237" s="7" t="n"/>
      <c r="Q237" s="7" t="n"/>
      <c r="R237" s="7" t="n"/>
      <c r="S237" s="7" t="n"/>
      <c r="T237" s="7">
        <f>IF($H237="","",IFERROR($H237*$P237,""))</f>
        <v/>
      </c>
      <c r="U237" s="7" t="n"/>
      <c r="V237" s="7" t="n"/>
      <c r="W237" s="7" t="n"/>
      <c r="X237" s="7">
        <f>IF(OR($U237="",$W237=""),"",($U237+$V237)-$W237)</f>
        <v/>
      </c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9" t="n"/>
      <c r="AJ237" s="8" t="n"/>
      <c r="AK237" s="8" t="n"/>
      <c r="AL237" s="15" t="n"/>
      <c r="AM237" s="15" t="n"/>
      <c r="AN237" s="15" t="n"/>
      <c r="AO237" s="15" t="n"/>
      <c r="AP237" s="10" t="n"/>
      <c r="AQ237" s="15">
        <f>IF($B237="","",IF(OR(ISERROR(MATCH($B237,Community_Master!$A$2:$A$100,0)),$A237="",AND($H237&lt;&gt;"",$I237&gt;$H237),AND($H237&lt;&gt;"",$J237&gt;$H237),$I237&lt;0,$J237&lt;0,$K237&lt;0,$P237&lt;0,$Q237&lt;0,$Y237&lt;0,$Z237&lt;0,$AA237&lt;0,$AB237&lt;0,$AC237&lt;0),"ERROR","OK"))</f>
        <v/>
      </c>
      <c r="AR237" s="15">
        <f>IF($B237="","",TRIM(IF(ISERROR(MATCH($B237,Community_Master!$A$2:$A$100,0)),"Invalid Community_ID; ","")&amp;IF($A237="","Missing Report_Month; ","")&amp;IF(AND($H237&lt;&gt;"",$I237&gt;$H237),"Occupied_Units greater than Total_Units; ","")&amp;IF(AND($H237&lt;&gt;"",$J237&gt;$H237),"Leased_Units greater than Total_Units; ","")&amp;IF($I237&lt;0,"Occupied_Units negative; ","")&amp;IF($J237&lt;0,"Leased_Units negative; ","")&amp;IF($P237&lt;0,"Avg_Market_Rent negative; ","")))</f>
        <v/>
      </c>
    </row>
    <row r="238" ht="15" customHeight="1">
      <c r="A238" s="5" t="n"/>
      <c r="B238" s="15" t="n"/>
      <c r="C238" s="15">
        <f>IFERROR(VLOOKUP($B238,Community_Master!$A$2:$K$100,2,FALSE),"")</f>
        <v/>
      </c>
      <c r="D238" s="15">
        <f>IFERROR(VLOOKUP($B238,Community_Master!$A$2:$K$100,4,FALSE),"")</f>
        <v/>
      </c>
      <c r="E238" s="15">
        <f>IFERROR(VLOOKUP($B238,Community_Master!$A$2:$K$100,5,FALSE),"")</f>
        <v/>
      </c>
      <c r="F238" s="15">
        <f>IFERROR(VLOOKUP($B238,Community_Master!$A$2:$K$100,6,FALSE),"")</f>
        <v/>
      </c>
      <c r="G238" s="15">
        <f>IFERROR(VLOOKUP($B238,Community_Master!$A$2:$K$100,8,FALSE),"")</f>
        <v/>
      </c>
      <c r="H238" s="15">
        <f>IFERROR(VLOOKUP($B238,Community_Master!$A$2:$K$100,7,FALSE),"")</f>
        <v/>
      </c>
      <c r="I238" s="15" t="n"/>
      <c r="J238" s="15" t="n"/>
      <c r="K238" s="15" t="n"/>
      <c r="L238" s="15">
        <f>IF($H238="","",MAX($H238-$I238,0))</f>
        <v/>
      </c>
      <c r="M238" s="6">
        <f>IF($H238="","",IFERROR($I238/$H238,""))</f>
        <v/>
      </c>
      <c r="N238" s="6">
        <f>IF($H238="","",IFERROR($J238/$H238,""))</f>
        <v/>
      </c>
      <c r="O238" s="6" t="n"/>
      <c r="P238" s="7" t="n"/>
      <c r="Q238" s="7" t="n"/>
      <c r="R238" s="7" t="n"/>
      <c r="S238" s="7" t="n"/>
      <c r="T238" s="7">
        <f>IF($H238="","",IFERROR($H238*$P238,""))</f>
        <v/>
      </c>
      <c r="U238" s="7" t="n"/>
      <c r="V238" s="7" t="n"/>
      <c r="W238" s="7" t="n"/>
      <c r="X238" s="7">
        <f>IF(OR($U238="",$W238=""),"",($U238+$V238)-$W238)</f>
        <v/>
      </c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9" t="n"/>
      <c r="AJ238" s="8" t="n"/>
      <c r="AK238" s="8" t="n"/>
      <c r="AL238" s="15" t="n"/>
      <c r="AM238" s="15" t="n"/>
      <c r="AN238" s="15" t="n"/>
      <c r="AO238" s="15" t="n"/>
      <c r="AP238" s="10" t="n"/>
      <c r="AQ238" s="15">
        <f>IF($B238="","",IF(OR(ISERROR(MATCH($B238,Community_Master!$A$2:$A$100,0)),$A238="",AND($H238&lt;&gt;"",$I238&gt;$H238),AND($H238&lt;&gt;"",$J238&gt;$H238),$I238&lt;0,$J238&lt;0,$K238&lt;0,$P238&lt;0,$Q238&lt;0,$Y238&lt;0,$Z238&lt;0,$AA238&lt;0,$AB238&lt;0,$AC238&lt;0),"ERROR","OK"))</f>
        <v/>
      </c>
      <c r="AR238" s="15">
        <f>IF($B238="","",TRIM(IF(ISERROR(MATCH($B238,Community_Master!$A$2:$A$100,0)),"Invalid Community_ID; ","")&amp;IF($A238="","Missing Report_Month; ","")&amp;IF(AND($H238&lt;&gt;"",$I238&gt;$H238),"Occupied_Units greater than Total_Units; ","")&amp;IF(AND($H238&lt;&gt;"",$J238&gt;$H238),"Leased_Units greater than Total_Units; ","")&amp;IF($I238&lt;0,"Occupied_Units negative; ","")&amp;IF($J238&lt;0,"Leased_Units negative; ","")&amp;IF($P238&lt;0,"Avg_Market_Rent negative; ","")))</f>
        <v/>
      </c>
    </row>
    <row r="239" ht="15" customHeight="1">
      <c r="A239" s="5" t="n"/>
      <c r="B239" s="15" t="n"/>
      <c r="C239" s="15">
        <f>IFERROR(VLOOKUP($B239,Community_Master!$A$2:$K$100,2,FALSE),"")</f>
        <v/>
      </c>
      <c r="D239" s="15">
        <f>IFERROR(VLOOKUP($B239,Community_Master!$A$2:$K$100,4,FALSE),"")</f>
        <v/>
      </c>
      <c r="E239" s="15">
        <f>IFERROR(VLOOKUP($B239,Community_Master!$A$2:$K$100,5,FALSE),"")</f>
        <v/>
      </c>
      <c r="F239" s="15">
        <f>IFERROR(VLOOKUP($B239,Community_Master!$A$2:$K$100,6,FALSE),"")</f>
        <v/>
      </c>
      <c r="G239" s="15">
        <f>IFERROR(VLOOKUP($B239,Community_Master!$A$2:$K$100,8,FALSE),"")</f>
        <v/>
      </c>
      <c r="H239" s="15">
        <f>IFERROR(VLOOKUP($B239,Community_Master!$A$2:$K$100,7,FALSE),"")</f>
        <v/>
      </c>
      <c r="I239" s="15" t="n"/>
      <c r="J239" s="15" t="n"/>
      <c r="K239" s="15" t="n"/>
      <c r="L239" s="15">
        <f>IF($H239="","",MAX($H239-$I239,0))</f>
        <v/>
      </c>
      <c r="M239" s="6">
        <f>IF($H239="","",IFERROR($I239/$H239,""))</f>
        <v/>
      </c>
      <c r="N239" s="6">
        <f>IF($H239="","",IFERROR($J239/$H239,""))</f>
        <v/>
      </c>
      <c r="O239" s="6" t="n"/>
      <c r="P239" s="7" t="n"/>
      <c r="Q239" s="7" t="n"/>
      <c r="R239" s="7" t="n"/>
      <c r="S239" s="7" t="n"/>
      <c r="T239" s="7">
        <f>IF($H239="","",IFERROR($H239*$P239,""))</f>
        <v/>
      </c>
      <c r="U239" s="7" t="n"/>
      <c r="V239" s="7" t="n"/>
      <c r="W239" s="7" t="n"/>
      <c r="X239" s="7">
        <f>IF(OR($U239="",$W239=""),"",($U239+$V239)-$W239)</f>
        <v/>
      </c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9" t="n"/>
      <c r="AJ239" s="8" t="n"/>
      <c r="AK239" s="8" t="n"/>
      <c r="AL239" s="15" t="n"/>
      <c r="AM239" s="15" t="n"/>
      <c r="AN239" s="15" t="n"/>
      <c r="AO239" s="15" t="n"/>
      <c r="AP239" s="10" t="n"/>
      <c r="AQ239" s="15">
        <f>IF($B239="","",IF(OR(ISERROR(MATCH($B239,Community_Master!$A$2:$A$100,0)),$A239="",AND($H239&lt;&gt;"",$I239&gt;$H239),AND($H239&lt;&gt;"",$J239&gt;$H239),$I239&lt;0,$J239&lt;0,$K239&lt;0,$P239&lt;0,$Q239&lt;0,$Y239&lt;0,$Z239&lt;0,$AA239&lt;0,$AB239&lt;0,$AC239&lt;0),"ERROR","OK"))</f>
        <v/>
      </c>
      <c r="AR239" s="15">
        <f>IF($B239="","",TRIM(IF(ISERROR(MATCH($B239,Community_Master!$A$2:$A$100,0)),"Invalid Community_ID; ","")&amp;IF($A239="","Missing Report_Month; ","")&amp;IF(AND($H239&lt;&gt;"",$I239&gt;$H239),"Occupied_Units greater than Total_Units; ","")&amp;IF(AND($H239&lt;&gt;"",$J239&gt;$H239),"Leased_Units greater than Total_Units; ","")&amp;IF($I239&lt;0,"Occupied_Units negative; ","")&amp;IF($J239&lt;0,"Leased_Units negative; ","")&amp;IF($P239&lt;0,"Avg_Market_Rent negative; ","")))</f>
        <v/>
      </c>
    </row>
    <row r="240" ht="15" customHeight="1">
      <c r="A240" s="5" t="n"/>
      <c r="B240" s="15" t="n"/>
      <c r="C240" s="15">
        <f>IFERROR(VLOOKUP($B240,Community_Master!$A$2:$K$100,2,FALSE),"")</f>
        <v/>
      </c>
      <c r="D240" s="15">
        <f>IFERROR(VLOOKUP($B240,Community_Master!$A$2:$K$100,4,FALSE),"")</f>
        <v/>
      </c>
      <c r="E240" s="15">
        <f>IFERROR(VLOOKUP($B240,Community_Master!$A$2:$K$100,5,FALSE),"")</f>
        <v/>
      </c>
      <c r="F240" s="15">
        <f>IFERROR(VLOOKUP($B240,Community_Master!$A$2:$K$100,6,FALSE),"")</f>
        <v/>
      </c>
      <c r="G240" s="15">
        <f>IFERROR(VLOOKUP($B240,Community_Master!$A$2:$K$100,8,FALSE),"")</f>
        <v/>
      </c>
      <c r="H240" s="15">
        <f>IFERROR(VLOOKUP($B240,Community_Master!$A$2:$K$100,7,FALSE),"")</f>
        <v/>
      </c>
      <c r="I240" s="15" t="n"/>
      <c r="J240" s="15" t="n"/>
      <c r="K240" s="15" t="n"/>
      <c r="L240" s="15">
        <f>IF($H240="","",MAX($H240-$I240,0))</f>
        <v/>
      </c>
      <c r="M240" s="6">
        <f>IF($H240="","",IFERROR($I240/$H240,""))</f>
        <v/>
      </c>
      <c r="N240" s="6">
        <f>IF($H240="","",IFERROR($J240/$H240,""))</f>
        <v/>
      </c>
      <c r="O240" s="6" t="n"/>
      <c r="P240" s="7" t="n"/>
      <c r="Q240" s="7" t="n"/>
      <c r="R240" s="7" t="n"/>
      <c r="S240" s="7" t="n"/>
      <c r="T240" s="7">
        <f>IF($H240="","",IFERROR($H240*$P240,""))</f>
        <v/>
      </c>
      <c r="U240" s="7" t="n"/>
      <c r="V240" s="7" t="n"/>
      <c r="W240" s="7" t="n"/>
      <c r="X240" s="7">
        <f>IF(OR($U240="",$W240=""),"",($U240+$V240)-$W240)</f>
        <v/>
      </c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9" t="n"/>
      <c r="AJ240" s="8" t="n"/>
      <c r="AK240" s="8" t="n"/>
      <c r="AL240" s="15" t="n"/>
      <c r="AM240" s="15" t="n"/>
      <c r="AN240" s="15" t="n"/>
      <c r="AO240" s="15" t="n"/>
      <c r="AP240" s="10" t="n"/>
      <c r="AQ240" s="15">
        <f>IF($B240="","",IF(OR(ISERROR(MATCH($B240,Community_Master!$A$2:$A$100,0)),$A240="",AND($H240&lt;&gt;"",$I240&gt;$H240),AND($H240&lt;&gt;"",$J240&gt;$H240),$I240&lt;0,$J240&lt;0,$K240&lt;0,$P240&lt;0,$Q240&lt;0,$Y240&lt;0,$Z240&lt;0,$AA240&lt;0,$AB240&lt;0,$AC240&lt;0),"ERROR","OK"))</f>
        <v/>
      </c>
      <c r="AR240" s="15">
        <f>IF($B240="","",TRIM(IF(ISERROR(MATCH($B240,Community_Master!$A$2:$A$100,0)),"Invalid Community_ID; ","")&amp;IF($A240="","Missing Report_Month; ","")&amp;IF(AND($H240&lt;&gt;"",$I240&gt;$H240),"Occupied_Units greater than Total_Units; ","")&amp;IF(AND($H240&lt;&gt;"",$J240&gt;$H240),"Leased_Units greater than Total_Units; ","")&amp;IF($I240&lt;0,"Occupied_Units negative; ","")&amp;IF($J240&lt;0,"Leased_Units negative; ","")&amp;IF($P240&lt;0,"Avg_Market_Rent negative; ","")))</f>
        <v/>
      </c>
    </row>
    <row r="241" ht="15" customHeight="1">
      <c r="A241" s="5" t="n"/>
      <c r="B241" s="15" t="n"/>
      <c r="C241" s="15">
        <f>IFERROR(VLOOKUP($B241,Community_Master!$A$2:$K$100,2,FALSE),"")</f>
        <v/>
      </c>
      <c r="D241" s="15">
        <f>IFERROR(VLOOKUP($B241,Community_Master!$A$2:$K$100,4,FALSE),"")</f>
        <v/>
      </c>
      <c r="E241" s="15">
        <f>IFERROR(VLOOKUP($B241,Community_Master!$A$2:$K$100,5,FALSE),"")</f>
        <v/>
      </c>
      <c r="F241" s="15">
        <f>IFERROR(VLOOKUP($B241,Community_Master!$A$2:$K$100,6,FALSE),"")</f>
        <v/>
      </c>
      <c r="G241" s="15">
        <f>IFERROR(VLOOKUP($B241,Community_Master!$A$2:$K$100,8,FALSE),"")</f>
        <v/>
      </c>
      <c r="H241" s="15">
        <f>IFERROR(VLOOKUP($B241,Community_Master!$A$2:$K$100,7,FALSE),"")</f>
        <v/>
      </c>
      <c r="I241" s="15" t="n"/>
      <c r="J241" s="15" t="n"/>
      <c r="K241" s="15" t="n"/>
      <c r="L241" s="15">
        <f>IF($H241="","",MAX($H241-$I241,0))</f>
        <v/>
      </c>
      <c r="M241" s="6">
        <f>IF($H241="","",IFERROR($I241/$H241,""))</f>
        <v/>
      </c>
      <c r="N241" s="6">
        <f>IF($H241="","",IFERROR($J241/$H241,""))</f>
        <v/>
      </c>
      <c r="O241" s="6" t="n"/>
      <c r="P241" s="7" t="n"/>
      <c r="Q241" s="7" t="n"/>
      <c r="R241" s="7" t="n"/>
      <c r="S241" s="7" t="n"/>
      <c r="T241" s="7">
        <f>IF($H241="","",IFERROR($H241*$P241,""))</f>
        <v/>
      </c>
      <c r="U241" s="7" t="n"/>
      <c r="V241" s="7" t="n"/>
      <c r="W241" s="7" t="n"/>
      <c r="X241" s="7">
        <f>IF(OR($U241="",$W241=""),"",($U241+$V241)-$W241)</f>
        <v/>
      </c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9" t="n"/>
      <c r="AJ241" s="8" t="n"/>
      <c r="AK241" s="8" t="n"/>
      <c r="AL241" s="15" t="n"/>
      <c r="AM241" s="15" t="n"/>
      <c r="AN241" s="15" t="n"/>
      <c r="AO241" s="15" t="n"/>
      <c r="AP241" s="10" t="n"/>
      <c r="AQ241" s="15">
        <f>IF($B241="","",IF(OR(ISERROR(MATCH($B241,Community_Master!$A$2:$A$100,0)),$A241="",AND($H241&lt;&gt;"",$I241&gt;$H241),AND($H241&lt;&gt;"",$J241&gt;$H241),$I241&lt;0,$J241&lt;0,$K241&lt;0,$P241&lt;0,$Q241&lt;0,$Y241&lt;0,$Z241&lt;0,$AA241&lt;0,$AB241&lt;0,$AC241&lt;0),"ERROR","OK"))</f>
        <v/>
      </c>
      <c r="AR241" s="15">
        <f>IF($B241="","",TRIM(IF(ISERROR(MATCH($B241,Community_Master!$A$2:$A$100,0)),"Invalid Community_ID; ","")&amp;IF($A241="","Missing Report_Month; ","")&amp;IF(AND($H241&lt;&gt;"",$I241&gt;$H241),"Occupied_Units greater than Total_Units; ","")&amp;IF(AND($H241&lt;&gt;"",$J241&gt;$H241),"Leased_Units greater than Total_Units; ","")&amp;IF($I241&lt;0,"Occupied_Units negative; ","")&amp;IF($J241&lt;0,"Leased_Units negative; ","")&amp;IF($P241&lt;0,"Avg_Market_Rent negative; ","")))</f>
        <v/>
      </c>
    </row>
    <row r="242" ht="15" customHeight="1">
      <c r="A242" s="5" t="n"/>
      <c r="B242" s="15" t="n"/>
      <c r="C242" s="15">
        <f>IFERROR(VLOOKUP($B242,Community_Master!$A$2:$K$100,2,FALSE),"")</f>
        <v/>
      </c>
      <c r="D242" s="15">
        <f>IFERROR(VLOOKUP($B242,Community_Master!$A$2:$K$100,4,FALSE),"")</f>
        <v/>
      </c>
      <c r="E242" s="15">
        <f>IFERROR(VLOOKUP($B242,Community_Master!$A$2:$K$100,5,FALSE),"")</f>
        <v/>
      </c>
      <c r="F242" s="15">
        <f>IFERROR(VLOOKUP($B242,Community_Master!$A$2:$K$100,6,FALSE),"")</f>
        <v/>
      </c>
      <c r="G242" s="15">
        <f>IFERROR(VLOOKUP($B242,Community_Master!$A$2:$K$100,8,FALSE),"")</f>
        <v/>
      </c>
      <c r="H242" s="15">
        <f>IFERROR(VLOOKUP($B242,Community_Master!$A$2:$K$100,7,FALSE),"")</f>
        <v/>
      </c>
      <c r="I242" s="15" t="n"/>
      <c r="J242" s="15" t="n"/>
      <c r="K242" s="15" t="n"/>
      <c r="L242" s="15">
        <f>IF($H242="","",MAX($H242-$I242,0))</f>
        <v/>
      </c>
      <c r="M242" s="6">
        <f>IF($H242="","",IFERROR($I242/$H242,""))</f>
        <v/>
      </c>
      <c r="N242" s="6">
        <f>IF($H242="","",IFERROR($J242/$H242,""))</f>
        <v/>
      </c>
      <c r="O242" s="6" t="n"/>
      <c r="P242" s="7" t="n"/>
      <c r="Q242" s="7" t="n"/>
      <c r="R242" s="7" t="n"/>
      <c r="S242" s="7" t="n"/>
      <c r="T242" s="7">
        <f>IF($H242="","",IFERROR($H242*$P242,""))</f>
        <v/>
      </c>
      <c r="U242" s="7" t="n"/>
      <c r="V242" s="7" t="n"/>
      <c r="W242" s="7" t="n"/>
      <c r="X242" s="7">
        <f>IF(OR($U242="",$W242=""),"",($U242+$V242)-$W242)</f>
        <v/>
      </c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9" t="n"/>
      <c r="AJ242" s="8" t="n"/>
      <c r="AK242" s="8" t="n"/>
      <c r="AL242" s="15" t="n"/>
      <c r="AM242" s="15" t="n"/>
      <c r="AN242" s="15" t="n"/>
      <c r="AO242" s="15" t="n"/>
      <c r="AP242" s="10" t="n"/>
      <c r="AQ242" s="15">
        <f>IF($B242="","",IF(OR(ISERROR(MATCH($B242,Community_Master!$A$2:$A$100,0)),$A242="",AND($H242&lt;&gt;"",$I242&gt;$H242),AND($H242&lt;&gt;"",$J242&gt;$H242),$I242&lt;0,$J242&lt;0,$K242&lt;0,$P242&lt;0,$Q242&lt;0,$Y242&lt;0,$Z242&lt;0,$AA242&lt;0,$AB242&lt;0,$AC242&lt;0),"ERROR","OK"))</f>
        <v/>
      </c>
      <c r="AR242" s="15">
        <f>IF($B242="","",TRIM(IF(ISERROR(MATCH($B242,Community_Master!$A$2:$A$100,0)),"Invalid Community_ID; ","")&amp;IF($A242="","Missing Report_Month; ","")&amp;IF(AND($H242&lt;&gt;"",$I242&gt;$H242),"Occupied_Units greater than Total_Units; ","")&amp;IF(AND($H242&lt;&gt;"",$J242&gt;$H242),"Leased_Units greater than Total_Units; ","")&amp;IF($I242&lt;0,"Occupied_Units negative; ","")&amp;IF($J242&lt;0,"Leased_Units negative; ","")&amp;IF($P242&lt;0,"Avg_Market_Rent negative; ","")))</f>
        <v/>
      </c>
    </row>
    <row r="243" ht="15" customHeight="1">
      <c r="A243" s="5" t="n"/>
      <c r="B243" s="15" t="n"/>
      <c r="C243" s="15">
        <f>IFERROR(VLOOKUP($B243,Community_Master!$A$2:$K$100,2,FALSE),"")</f>
        <v/>
      </c>
      <c r="D243" s="15">
        <f>IFERROR(VLOOKUP($B243,Community_Master!$A$2:$K$100,4,FALSE),"")</f>
        <v/>
      </c>
      <c r="E243" s="15">
        <f>IFERROR(VLOOKUP($B243,Community_Master!$A$2:$K$100,5,FALSE),"")</f>
        <v/>
      </c>
      <c r="F243" s="15">
        <f>IFERROR(VLOOKUP($B243,Community_Master!$A$2:$K$100,6,FALSE),"")</f>
        <v/>
      </c>
      <c r="G243" s="15">
        <f>IFERROR(VLOOKUP($B243,Community_Master!$A$2:$K$100,8,FALSE),"")</f>
        <v/>
      </c>
      <c r="H243" s="15">
        <f>IFERROR(VLOOKUP($B243,Community_Master!$A$2:$K$100,7,FALSE),"")</f>
        <v/>
      </c>
      <c r="I243" s="15" t="n"/>
      <c r="J243" s="15" t="n"/>
      <c r="K243" s="15" t="n"/>
      <c r="L243" s="15">
        <f>IF($H243="","",MAX($H243-$I243,0))</f>
        <v/>
      </c>
      <c r="M243" s="6">
        <f>IF($H243="","",IFERROR($I243/$H243,""))</f>
        <v/>
      </c>
      <c r="N243" s="6">
        <f>IF($H243="","",IFERROR($J243/$H243,""))</f>
        <v/>
      </c>
      <c r="O243" s="6" t="n"/>
      <c r="P243" s="7" t="n"/>
      <c r="Q243" s="7" t="n"/>
      <c r="R243" s="7" t="n"/>
      <c r="S243" s="7" t="n"/>
      <c r="T243" s="7">
        <f>IF($H243="","",IFERROR($H243*$P243,""))</f>
        <v/>
      </c>
      <c r="U243" s="7" t="n"/>
      <c r="V243" s="7" t="n"/>
      <c r="W243" s="7" t="n"/>
      <c r="X243" s="7">
        <f>IF(OR($U243="",$W243=""),"",($U243+$V243)-$W243)</f>
        <v/>
      </c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9" t="n"/>
      <c r="AJ243" s="8" t="n"/>
      <c r="AK243" s="8" t="n"/>
      <c r="AL243" s="15" t="n"/>
      <c r="AM243" s="15" t="n"/>
      <c r="AN243" s="15" t="n"/>
      <c r="AO243" s="15" t="n"/>
      <c r="AP243" s="10" t="n"/>
      <c r="AQ243" s="15">
        <f>IF($B243="","",IF(OR(ISERROR(MATCH($B243,Community_Master!$A$2:$A$100,0)),$A243="",AND($H243&lt;&gt;"",$I243&gt;$H243),AND($H243&lt;&gt;"",$J243&gt;$H243),$I243&lt;0,$J243&lt;0,$K243&lt;0,$P243&lt;0,$Q243&lt;0,$Y243&lt;0,$Z243&lt;0,$AA243&lt;0,$AB243&lt;0,$AC243&lt;0),"ERROR","OK"))</f>
        <v/>
      </c>
      <c r="AR243" s="15">
        <f>IF($B243="","",TRIM(IF(ISERROR(MATCH($B243,Community_Master!$A$2:$A$100,0)),"Invalid Community_ID; ","")&amp;IF($A243="","Missing Report_Month; ","")&amp;IF(AND($H243&lt;&gt;"",$I243&gt;$H243),"Occupied_Units greater than Total_Units; ","")&amp;IF(AND($H243&lt;&gt;"",$J243&gt;$H243),"Leased_Units greater than Total_Units; ","")&amp;IF($I243&lt;0,"Occupied_Units negative; ","")&amp;IF($J243&lt;0,"Leased_Units negative; ","")&amp;IF($P243&lt;0,"Avg_Market_Rent negative; ","")))</f>
        <v/>
      </c>
    </row>
    <row r="244" ht="15" customHeight="1">
      <c r="A244" s="5" t="n"/>
      <c r="B244" s="15" t="n"/>
      <c r="C244" s="15">
        <f>IFERROR(VLOOKUP($B244,Community_Master!$A$2:$K$100,2,FALSE),"")</f>
        <v/>
      </c>
      <c r="D244" s="15">
        <f>IFERROR(VLOOKUP($B244,Community_Master!$A$2:$K$100,4,FALSE),"")</f>
        <v/>
      </c>
      <c r="E244" s="15">
        <f>IFERROR(VLOOKUP($B244,Community_Master!$A$2:$K$100,5,FALSE),"")</f>
        <v/>
      </c>
      <c r="F244" s="15">
        <f>IFERROR(VLOOKUP($B244,Community_Master!$A$2:$K$100,6,FALSE),"")</f>
        <v/>
      </c>
      <c r="G244" s="15">
        <f>IFERROR(VLOOKUP($B244,Community_Master!$A$2:$K$100,8,FALSE),"")</f>
        <v/>
      </c>
      <c r="H244" s="15">
        <f>IFERROR(VLOOKUP($B244,Community_Master!$A$2:$K$100,7,FALSE),"")</f>
        <v/>
      </c>
      <c r="I244" s="15" t="n"/>
      <c r="J244" s="15" t="n"/>
      <c r="K244" s="15" t="n"/>
      <c r="L244" s="15">
        <f>IF($H244="","",MAX($H244-$I244,0))</f>
        <v/>
      </c>
      <c r="M244" s="6">
        <f>IF($H244="","",IFERROR($I244/$H244,""))</f>
        <v/>
      </c>
      <c r="N244" s="6">
        <f>IF($H244="","",IFERROR($J244/$H244,""))</f>
        <v/>
      </c>
      <c r="O244" s="6" t="n"/>
      <c r="P244" s="7" t="n"/>
      <c r="Q244" s="7" t="n"/>
      <c r="R244" s="7" t="n"/>
      <c r="S244" s="7" t="n"/>
      <c r="T244" s="7">
        <f>IF($H244="","",IFERROR($H244*$P244,""))</f>
        <v/>
      </c>
      <c r="U244" s="7" t="n"/>
      <c r="V244" s="7" t="n"/>
      <c r="W244" s="7" t="n"/>
      <c r="X244" s="7">
        <f>IF(OR($U244="",$W244=""),"",($U244+$V244)-$W244)</f>
        <v/>
      </c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9" t="n"/>
      <c r="AJ244" s="8" t="n"/>
      <c r="AK244" s="8" t="n"/>
      <c r="AL244" s="15" t="n"/>
      <c r="AM244" s="15" t="n"/>
      <c r="AN244" s="15" t="n"/>
      <c r="AO244" s="15" t="n"/>
      <c r="AP244" s="10" t="n"/>
      <c r="AQ244" s="15">
        <f>IF($B244="","",IF(OR(ISERROR(MATCH($B244,Community_Master!$A$2:$A$100,0)),$A244="",AND($H244&lt;&gt;"",$I244&gt;$H244),AND($H244&lt;&gt;"",$J244&gt;$H244),$I244&lt;0,$J244&lt;0,$K244&lt;0,$P244&lt;0,$Q244&lt;0,$Y244&lt;0,$Z244&lt;0,$AA244&lt;0,$AB244&lt;0,$AC244&lt;0),"ERROR","OK"))</f>
        <v/>
      </c>
      <c r="AR244" s="15">
        <f>IF($B244="","",TRIM(IF(ISERROR(MATCH($B244,Community_Master!$A$2:$A$100,0)),"Invalid Community_ID; ","")&amp;IF($A244="","Missing Report_Month; ","")&amp;IF(AND($H244&lt;&gt;"",$I244&gt;$H244),"Occupied_Units greater than Total_Units; ","")&amp;IF(AND($H244&lt;&gt;"",$J244&gt;$H244),"Leased_Units greater than Total_Units; ","")&amp;IF($I244&lt;0,"Occupied_Units negative; ","")&amp;IF($J244&lt;0,"Leased_Units negative; ","")&amp;IF($P244&lt;0,"Avg_Market_Rent negative; ","")))</f>
        <v/>
      </c>
    </row>
    <row r="245" ht="15" customHeight="1">
      <c r="A245" s="5" t="n"/>
      <c r="B245" s="15" t="n"/>
      <c r="C245" s="15">
        <f>IFERROR(VLOOKUP($B245,Community_Master!$A$2:$K$100,2,FALSE),"")</f>
        <v/>
      </c>
      <c r="D245" s="15">
        <f>IFERROR(VLOOKUP($B245,Community_Master!$A$2:$K$100,4,FALSE),"")</f>
        <v/>
      </c>
      <c r="E245" s="15">
        <f>IFERROR(VLOOKUP($B245,Community_Master!$A$2:$K$100,5,FALSE),"")</f>
        <v/>
      </c>
      <c r="F245" s="15">
        <f>IFERROR(VLOOKUP($B245,Community_Master!$A$2:$K$100,6,FALSE),"")</f>
        <v/>
      </c>
      <c r="G245" s="15">
        <f>IFERROR(VLOOKUP($B245,Community_Master!$A$2:$K$100,8,FALSE),"")</f>
        <v/>
      </c>
      <c r="H245" s="15">
        <f>IFERROR(VLOOKUP($B245,Community_Master!$A$2:$K$100,7,FALSE),"")</f>
        <v/>
      </c>
      <c r="I245" s="15" t="n"/>
      <c r="J245" s="15" t="n"/>
      <c r="K245" s="15" t="n"/>
      <c r="L245" s="15">
        <f>IF($H245="","",MAX($H245-$I245,0))</f>
        <v/>
      </c>
      <c r="M245" s="6">
        <f>IF($H245="","",IFERROR($I245/$H245,""))</f>
        <v/>
      </c>
      <c r="N245" s="6">
        <f>IF($H245="","",IFERROR($J245/$H245,""))</f>
        <v/>
      </c>
      <c r="O245" s="6" t="n"/>
      <c r="P245" s="7" t="n"/>
      <c r="Q245" s="7" t="n"/>
      <c r="R245" s="7" t="n"/>
      <c r="S245" s="7" t="n"/>
      <c r="T245" s="7">
        <f>IF($H245="","",IFERROR($H245*$P245,""))</f>
        <v/>
      </c>
      <c r="U245" s="7" t="n"/>
      <c r="V245" s="7" t="n"/>
      <c r="W245" s="7" t="n"/>
      <c r="X245" s="7">
        <f>IF(OR($U245="",$W245=""),"",($U245+$V245)-$W245)</f>
        <v/>
      </c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9" t="n"/>
      <c r="AJ245" s="8" t="n"/>
      <c r="AK245" s="8" t="n"/>
      <c r="AL245" s="15" t="n"/>
      <c r="AM245" s="15" t="n"/>
      <c r="AN245" s="15" t="n"/>
      <c r="AO245" s="15" t="n"/>
      <c r="AP245" s="10" t="n"/>
      <c r="AQ245" s="15">
        <f>IF($B245="","",IF(OR(ISERROR(MATCH($B245,Community_Master!$A$2:$A$100,0)),$A245="",AND($H245&lt;&gt;"",$I245&gt;$H245),AND($H245&lt;&gt;"",$J245&gt;$H245),$I245&lt;0,$J245&lt;0,$K245&lt;0,$P245&lt;0,$Q245&lt;0,$Y245&lt;0,$Z245&lt;0,$AA245&lt;0,$AB245&lt;0,$AC245&lt;0),"ERROR","OK"))</f>
        <v/>
      </c>
      <c r="AR245" s="15">
        <f>IF($B245="","",TRIM(IF(ISERROR(MATCH($B245,Community_Master!$A$2:$A$100,0)),"Invalid Community_ID; ","")&amp;IF($A245="","Missing Report_Month; ","")&amp;IF(AND($H245&lt;&gt;"",$I245&gt;$H245),"Occupied_Units greater than Total_Units; ","")&amp;IF(AND($H245&lt;&gt;"",$J245&gt;$H245),"Leased_Units greater than Total_Units; ","")&amp;IF($I245&lt;0,"Occupied_Units negative; ","")&amp;IF($J245&lt;0,"Leased_Units negative; ","")&amp;IF($P245&lt;0,"Avg_Market_Rent negative; ","")))</f>
        <v/>
      </c>
    </row>
    <row r="246" ht="15" customHeight="1">
      <c r="A246" s="5" t="n"/>
      <c r="B246" s="15" t="n"/>
      <c r="C246" s="15">
        <f>IFERROR(VLOOKUP($B246,Community_Master!$A$2:$K$100,2,FALSE),"")</f>
        <v/>
      </c>
      <c r="D246" s="15">
        <f>IFERROR(VLOOKUP($B246,Community_Master!$A$2:$K$100,4,FALSE),"")</f>
        <v/>
      </c>
      <c r="E246" s="15">
        <f>IFERROR(VLOOKUP($B246,Community_Master!$A$2:$K$100,5,FALSE),"")</f>
        <v/>
      </c>
      <c r="F246" s="15">
        <f>IFERROR(VLOOKUP($B246,Community_Master!$A$2:$K$100,6,FALSE),"")</f>
        <v/>
      </c>
      <c r="G246" s="15">
        <f>IFERROR(VLOOKUP($B246,Community_Master!$A$2:$K$100,8,FALSE),"")</f>
        <v/>
      </c>
      <c r="H246" s="15">
        <f>IFERROR(VLOOKUP($B246,Community_Master!$A$2:$K$100,7,FALSE),"")</f>
        <v/>
      </c>
      <c r="I246" s="15" t="n"/>
      <c r="J246" s="15" t="n"/>
      <c r="K246" s="15" t="n"/>
      <c r="L246" s="15">
        <f>IF($H246="","",MAX($H246-$I246,0))</f>
        <v/>
      </c>
      <c r="M246" s="6">
        <f>IF($H246="","",IFERROR($I246/$H246,""))</f>
        <v/>
      </c>
      <c r="N246" s="6">
        <f>IF($H246="","",IFERROR($J246/$H246,""))</f>
        <v/>
      </c>
      <c r="O246" s="6" t="n"/>
      <c r="P246" s="7" t="n"/>
      <c r="Q246" s="7" t="n"/>
      <c r="R246" s="7" t="n"/>
      <c r="S246" s="7" t="n"/>
      <c r="T246" s="7">
        <f>IF($H246="","",IFERROR($H246*$P246,""))</f>
        <v/>
      </c>
      <c r="U246" s="7" t="n"/>
      <c r="V246" s="7" t="n"/>
      <c r="W246" s="7" t="n"/>
      <c r="X246" s="7">
        <f>IF(OR($U246="",$W246=""),"",($U246+$V246)-$W246)</f>
        <v/>
      </c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9" t="n"/>
      <c r="AJ246" s="8" t="n"/>
      <c r="AK246" s="8" t="n"/>
      <c r="AL246" s="15" t="n"/>
      <c r="AM246" s="15" t="n"/>
      <c r="AN246" s="15" t="n"/>
      <c r="AO246" s="15" t="n"/>
      <c r="AP246" s="10" t="n"/>
      <c r="AQ246" s="15">
        <f>IF($B246="","",IF(OR(ISERROR(MATCH($B246,Community_Master!$A$2:$A$100,0)),$A246="",AND($H246&lt;&gt;"",$I246&gt;$H246),AND($H246&lt;&gt;"",$J246&gt;$H246),$I246&lt;0,$J246&lt;0,$K246&lt;0,$P246&lt;0,$Q246&lt;0,$Y246&lt;0,$Z246&lt;0,$AA246&lt;0,$AB246&lt;0,$AC246&lt;0),"ERROR","OK"))</f>
        <v/>
      </c>
      <c r="AR246" s="15">
        <f>IF($B246="","",TRIM(IF(ISERROR(MATCH($B246,Community_Master!$A$2:$A$100,0)),"Invalid Community_ID; ","")&amp;IF($A246="","Missing Report_Month; ","")&amp;IF(AND($H246&lt;&gt;"",$I246&gt;$H246),"Occupied_Units greater than Total_Units; ","")&amp;IF(AND($H246&lt;&gt;"",$J246&gt;$H246),"Leased_Units greater than Total_Units; ","")&amp;IF($I246&lt;0,"Occupied_Units negative; ","")&amp;IF($J246&lt;0,"Leased_Units negative; ","")&amp;IF($P246&lt;0,"Avg_Market_Rent negative; ","")))</f>
        <v/>
      </c>
    </row>
    <row r="247" ht="15" customHeight="1">
      <c r="A247" s="5" t="n"/>
      <c r="B247" s="15" t="n"/>
      <c r="C247" s="15">
        <f>IFERROR(VLOOKUP($B247,Community_Master!$A$2:$K$100,2,FALSE),"")</f>
        <v/>
      </c>
      <c r="D247" s="15">
        <f>IFERROR(VLOOKUP($B247,Community_Master!$A$2:$K$100,4,FALSE),"")</f>
        <v/>
      </c>
      <c r="E247" s="15">
        <f>IFERROR(VLOOKUP($B247,Community_Master!$A$2:$K$100,5,FALSE),"")</f>
        <v/>
      </c>
      <c r="F247" s="15">
        <f>IFERROR(VLOOKUP($B247,Community_Master!$A$2:$K$100,6,FALSE),"")</f>
        <v/>
      </c>
      <c r="G247" s="15">
        <f>IFERROR(VLOOKUP($B247,Community_Master!$A$2:$K$100,8,FALSE),"")</f>
        <v/>
      </c>
      <c r="H247" s="15">
        <f>IFERROR(VLOOKUP($B247,Community_Master!$A$2:$K$100,7,FALSE),"")</f>
        <v/>
      </c>
      <c r="I247" s="15" t="n"/>
      <c r="J247" s="15" t="n"/>
      <c r="K247" s="15" t="n"/>
      <c r="L247" s="15">
        <f>IF($H247="","",MAX($H247-$I247,0))</f>
        <v/>
      </c>
      <c r="M247" s="6">
        <f>IF($H247="","",IFERROR($I247/$H247,""))</f>
        <v/>
      </c>
      <c r="N247" s="6">
        <f>IF($H247="","",IFERROR($J247/$H247,""))</f>
        <v/>
      </c>
      <c r="O247" s="6" t="n"/>
      <c r="P247" s="7" t="n"/>
      <c r="Q247" s="7" t="n"/>
      <c r="R247" s="7" t="n"/>
      <c r="S247" s="7" t="n"/>
      <c r="T247" s="7">
        <f>IF($H247="","",IFERROR($H247*$P247,""))</f>
        <v/>
      </c>
      <c r="U247" s="7" t="n"/>
      <c r="V247" s="7" t="n"/>
      <c r="W247" s="7" t="n"/>
      <c r="X247" s="7">
        <f>IF(OR($U247="",$W247=""),"",($U247+$V247)-$W247)</f>
        <v/>
      </c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9" t="n"/>
      <c r="AJ247" s="8" t="n"/>
      <c r="AK247" s="8" t="n"/>
      <c r="AL247" s="15" t="n"/>
      <c r="AM247" s="15" t="n"/>
      <c r="AN247" s="15" t="n"/>
      <c r="AO247" s="15" t="n"/>
      <c r="AP247" s="10" t="n"/>
      <c r="AQ247" s="15">
        <f>IF($B247="","",IF(OR(ISERROR(MATCH($B247,Community_Master!$A$2:$A$100,0)),$A247="",AND($H247&lt;&gt;"",$I247&gt;$H247),AND($H247&lt;&gt;"",$J247&gt;$H247),$I247&lt;0,$J247&lt;0,$K247&lt;0,$P247&lt;0,$Q247&lt;0,$Y247&lt;0,$Z247&lt;0,$AA247&lt;0,$AB247&lt;0,$AC247&lt;0),"ERROR","OK"))</f>
        <v/>
      </c>
      <c r="AR247" s="15">
        <f>IF($B247="","",TRIM(IF(ISERROR(MATCH($B247,Community_Master!$A$2:$A$100,0)),"Invalid Community_ID; ","")&amp;IF($A247="","Missing Report_Month; ","")&amp;IF(AND($H247&lt;&gt;"",$I247&gt;$H247),"Occupied_Units greater than Total_Units; ","")&amp;IF(AND($H247&lt;&gt;"",$J247&gt;$H247),"Leased_Units greater than Total_Units; ","")&amp;IF($I247&lt;0,"Occupied_Units negative; ","")&amp;IF($J247&lt;0,"Leased_Units negative; ","")&amp;IF($P247&lt;0,"Avg_Market_Rent negative; ","")))</f>
        <v/>
      </c>
    </row>
    <row r="248" ht="15" customHeight="1">
      <c r="A248" s="5" t="n"/>
      <c r="B248" s="15" t="n"/>
      <c r="C248" s="15">
        <f>IFERROR(VLOOKUP($B248,Community_Master!$A$2:$K$100,2,FALSE),"")</f>
        <v/>
      </c>
      <c r="D248" s="15">
        <f>IFERROR(VLOOKUP($B248,Community_Master!$A$2:$K$100,4,FALSE),"")</f>
        <v/>
      </c>
      <c r="E248" s="15">
        <f>IFERROR(VLOOKUP($B248,Community_Master!$A$2:$K$100,5,FALSE),"")</f>
        <v/>
      </c>
      <c r="F248" s="15">
        <f>IFERROR(VLOOKUP($B248,Community_Master!$A$2:$K$100,6,FALSE),"")</f>
        <v/>
      </c>
      <c r="G248" s="15">
        <f>IFERROR(VLOOKUP($B248,Community_Master!$A$2:$K$100,8,FALSE),"")</f>
        <v/>
      </c>
      <c r="H248" s="15">
        <f>IFERROR(VLOOKUP($B248,Community_Master!$A$2:$K$100,7,FALSE),"")</f>
        <v/>
      </c>
      <c r="I248" s="15" t="n"/>
      <c r="J248" s="15" t="n"/>
      <c r="K248" s="15" t="n"/>
      <c r="L248" s="15">
        <f>IF($H248="","",MAX($H248-$I248,0))</f>
        <v/>
      </c>
      <c r="M248" s="6">
        <f>IF($H248="","",IFERROR($I248/$H248,""))</f>
        <v/>
      </c>
      <c r="N248" s="6">
        <f>IF($H248="","",IFERROR($J248/$H248,""))</f>
        <v/>
      </c>
      <c r="O248" s="6" t="n"/>
      <c r="P248" s="7" t="n"/>
      <c r="Q248" s="7" t="n"/>
      <c r="R248" s="7" t="n"/>
      <c r="S248" s="7" t="n"/>
      <c r="T248" s="7">
        <f>IF($H248="","",IFERROR($H248*$P248,""))</f>
        <v/>
      </c>
      <c r="U248" s="7" t="n"/>
      <c r="V248" s="7" t="n"/>
      <c r="W248" s="7" t="n"/>
      <c r="X248" s="7">
        <f>IF(OR($U248="",$W248=""),"",($U248+$V248)-$W248)</f>
        <v/>
      </c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9" t="n"/>
      <c r="AJ248" s="8" t="n"/>
      <c r="AK248" s="8" t="n"/>
      <c r="AL248" s="15" t="n"/>
      <c r="AM248" s="15" t="n"/>
      <c r="AN248" s="15" t="n"/>
      <c r="AO248" s="15" t="n"/>
      <c r="AP248" s="10" t="n"/>
      <c r="AQ248" s="15">
        <f>IF($B248="","",IF(OR(ISERROR(MATCH($B248,Community_Master!$A$2:$A$100,0)),$A248="",AND($H248&lt;&gt;"",$I248&gt;$H248),AND($H248&lt;&gt;"",$J248&gt;$H248),$I248&lt;0,$J248&lt;0,$K248&lt;0,$P248&lt;0,$Q248&lt;0,$Y248&lt;0,$Z248&lt;0,$AA248&lt;0,$AB248&lt;0,$AC248&lt;0),"ERROR","OK"))</f>
        <v/>
      </c>
      <c r="AR248" s="15">
        <f>IF($B248="","",TRIM(IF(ISERROR(MATCH($B248,Community_Master!$A$2:$A$100,0)),"Invalid Community_ID; ","")&amp;IF($A248="","Missing Report_Month; ","")&amp;IF(AND($H248&lt;&gt;"",$I248&gt;$H248),"Occupied_Units greater than Total_Units; ","")&amp;IF(AND($H248&lt;&gt;"",$J248&gt;$H248),"Leased_Units greater than Total_Units; ","")&amp;IF($I248&lt;0,"Occupied_Units negative; ","")&amp;IF($J248&lt;0,"Leased_Units negative; ","")&amp;IF($P248&lt;0,"Avg_Market_Rent negative; ","")))</f>
        <v/>
      </c>
    </row>
    <row r="249" ht="15" customHeight="1">
      <c r="A249" s="5" t="n"/>
      <c r="B249" s="15" t="n"/>
      <c r="C249" s="15">
        <f>IFERROR(VLOOKUP($B249,Community_Master!$A$2:$K$100,2,FALSE),"")</f>
        <v/>
      </c>
      <c r="D249" s="15">
        <f>IFERROR(VLOOKUP($B249,Community_Master!$A$2:$K$100,4,FALSE),"")</f>
        <v/>
      </c>
      <c r="E249" s="15">
        <f>IFERROR(VLOOKUP($B249,Community_Master!$A$2:$K$100,5,FALSE),"")</f>
        <v/>
      </c>
      <c r="F249" s="15">
        <f>IFERROR(VLOOKUP($B249,Community_Master!$A$2:$K$100,6,FALSE),"")</f>
        <v/>
      </c>
      <c r="G249" s="15">
        <f>IFERROR(VLOOKUP($B249,Community_Master!$A$2:$K$100,8,FALSE),"")</f>
        <v/>
      </c>
      <c r="H249" s="15">
        <f>IFERROR(VLOOKUP($B249,Community_Master!$A$2:$K$100,7,FALSE),"")</f>
        <v/>
      </c>
      <c r="I249" s="15" t="n"/>
      <c r="J249" s="15" t="n"/>
      <c r="K249" s="15" t="n"/>
      <c r="L249" s="15">
        <f>IF($H249="","",MAX($H249-$I249,0))</f>
        <v/>
      </c>
      <c r="M249" s="6">
        <f>IF($H249="","",IFERROR($I249/$H249,""))</f>
        <v/>
      </c>
      <c r="N249" s="6">
        <f>IF($H249="","",IFERROR($J249/$H249,""))</f>
        <v/>
      </c>
      <c r="O249" s="6" t="n"/>
      <c r="P249" s="7" t="n"/>
      <c r="Q249" s="7" t="n"/>
      <c r="R249" s="7" t="n"/>
      <c r="S249" s="7" t="n"/>
      <c r="T249" s="7">
        <f>IF($H249="","",IFERROR($H249*$P249,""))</f>
        <v/>
      </c>
      <c r="U249" s="7" t="n"/>
      <c r="V249" s="7" t="n"/>
      <c r="W249" s="7" t="n"/>
      <c r="X249" s="7">
        <f>IF(OR($U249="",$W249=""),"",($U249+$V249)-$W249)</f>
        <v/>
      </c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9" t="n"/>
      <c r="AJ249" s="8" t="n"/>
      <c r="AK249" s="8" t="n"/>
      <c r="AL249" s="15" t="n"/>
      <c r="AM249" s="15" t="n"/>
      <c r="AN249" s="15" t="n"/>
      <c r="AO249" s="15" t="n"/>
      <c r="AP249" s="10" t="n"/>
      <c r="AQ249" s="15">
        <f>IF($B249="","",IF(OR(ISERROR(MATCH($B249,Community_Master!$A$2:$A$100,0)),$A249="",AND($H249&lt;&gt;"",$I249&gt;$H249),AND($H249&lt;&gt;"",$J249&gt;$H249),$I249&lt;0,$J249&lt;0,$K249&lt;0,$P249&lt;0,$Q249&lt;0,$Y249&lt;0,$Z249&lt;0,$AA249&lt;0,$AB249&lt;0,$AC249&lt;0),"ERROR","OK"))</f>
        <v/>
      </c>
      <c r="AR249" s="15">
        <f>IF($B249="","",TRIM(IF(ISERROR(MATCH($B249,Community_Master!$A$2:$A$100,0)),"Invalid Community_ID; ","")&amp;IF($A249="","Missing Report_Month; ","")&amp;IF(AND($H249&lt;&gt;"",$I249&gt;$H249),"Occupied_Units greater than Total_Units; ","")&amp;IF(AND($H249&lt;&gt;"",$J249&gt;$H249),"Leased_Units greater than Total_Units; ","")&amp;IF($I249&lt;0,"Occupied_Units negative; ","")&amp;IF($J249&lt;0,"Leased_Units negative; ","")&amp;IF($P249&lt;0,"Avg_Market_Rent negative; ","")))</f>
        <v/>
      </c>
    </row>
    <row r="250" ht="15" customHeight="1">
      <c r="A250" s="5" t="n"/>
      <c r="B250" s="15" t="n"/>
      <c r="C250" s="15">
        <f>IFERROR(VLOOKUP($B250,Community_Master!$A$2:$K$100,2,FALSE),"")</f>
        <v/>
      </c>
      <c r="D250" s="15">
        <f>IFERROR(VLOOKUP($B250,Community_Master!$A$2:$K$100,4,FALSE),"")</f>
        <v/>
      </c>
      <c r="E250" s="15">
        <f>IFERROR(VLOOKUP($B250,Community_Master!$A$2:$K$100,5,FALSE),"")</f>
        <v/>
      </c>
      <c r="F250" s="15">
        <f>IFERROR(VLOOKUP($B250,Community_Master!$A$2:$K$100,6,FALSE),"")</f>
        <v/>
      </c>
      <c r="G250" s="15">
        <f>IFERROR(VLOOKUP($B250,Community_Master!$A$2:$K$100,8,FALSE),"")</f>
        <v/>
      </c>
      <c r="H250" s="15">
        <f>IFERROR(VLOOKUP($B250,Community_Master!$A$2:$K$100,7,FALSE),"")</f>
        <v/>
      </c>
      <c r="I250" s="15" t="n"/>
      <c r="J250" s="15" t="n"/>
      <c r="K250" s="15" t="n"/>
      <c r="L250" s="15">
        <f>IF($H250="","",MAX($H250-$I250,0))</f>
        <v/>
      </c>
      <c r="M250" s="6">
        <f>IF($H250="","",IFERROR($I250/$H250,""))</f>
        <v/>
      </c>
      <c r="N250" s="6">
        <f>IF($H250="","",IFERROR($J250/$H250,""))</f>
        <v/>
      </c>
      <c r="O250" s="6" t="n"/>
      <c r="P250" s="7" t="n"/>
      <c r="Q250" s="7" t="n"/>
      <c r="R250" s="7" t="n"/>
      <c r="S250" s="7" t="n"/>
      <c r="T250" s="7">
        <f>IF($H250="","",IFERROR($H250*$P250,""))</f>
        <v/>
      </c>
      <c r="U250" s="7" t="n"/>
      <c r="V250" s="7" t="n"/>
      <c r="W250" s="7" t="n"/>
      <c r="X250" s="7">
        <f>IF(OR($U250="",$W250=""),"",($U250+$V250)-$W250)</f>
        <v/>
      </c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9" t="n"/>
      <c r="AJ250" s="8" t="n"/>
      <c r="AK250" s="8" t="n"/>
      <c r="AL250" s="15" t="n"/>
      <c r="AM250" s="15" t="n"/>
      <c r="AN250" s="15" t="n"/>
      <c r="AO250" s="15" t="n"/>
      <c r="AP250" s="10" t="n"/>
      <c r="AQ250" s="15">
        <f>IF($B250="","",IF(OR(ISERROR(MATCH($B250,Community_Master!$A$2:$A$100,0)),$A250="",AND($H250&lt;&gt;"",$I250&gt;$H250),AND($H250&lt;&gt;"",$J250&gt;$H250),$I250&lt;0,$J250&lt;0,$K250&lt;0,$P250&lt;0,$Q250&lt;0,$Y250&lt;0,$Z250&lt;0,$AA250&lt;0,$AB250&lt;0,$AC250&lt;0),"ERROR","OK"))</f>
        <v/>
      </c>
      <c r="AR250" s="15">
        <f>IF($B250="","",TRIM(IF(ISERROR(MATCH($B250,Community_Master!$A$2:$A$100,0)),"Invalid Community_ID; ","")&amp;IF($A250="","Missing Report_Month; ","")&amp;IF(AND($H250&lt;&gt;"",$I250&gt;$H250),"Occupied_Units greater than Total_Units; ","")&amp;IF(AND($H250&lt;&gt;"",$J250&gt;$H250),"Leased_Units greater than Total_Units; ","")&amp;IF($I250&lt;0,"Occupied_Units negative; ","")&amp;IF($J250&lt;0,"Leased_Units negative; ","")&amp;IF($P250&lt;0,"Avg_Market_Rent negative; ","")))</f>
        <v/>
      </c>
    </row>
    <row r="251" ht="15" customHeight="1">
      <c r="A251" s="5" t="n"/>
      <c r="B251" s="15" t="n"/>
      <c r="C251" s="15">
        <f>IFERROR(VLOOKUP($B251,Community_Master!$A$2:$K$100,2,FALSE),"")</f>
        <v/>
      </c>
      <c r="D251" s="15">
        <f>IFERROR(VLOOKUP($B251,Community_Master!$A$2:$K$100,4,FALSE),"")</f>
        <v/>
      </c>
      <c r="E251" s="15">
        <f>IFERROR(VLOOKUP($B251,Community_Master!$A$2:$K$100,5,FALSE),"")</f>
        <v/>
      </c>
      <c r="F251" s="15">
        <f>IFERROR(VLOOKUP($B251,Community_Master!$A$2:$K$100,6,FALSE),"")</f>
        <v/>
      </c>
      <c r="G251" s="15">
        <f>IFERROR(VLOOKUP($B251,Community_Master!$A$2:$K$100,8,FALSE),"")</f>
        <v/>
      </c>
      <c r="H251" s="15">
        <f>IFERROR(VLOOKUP($B251,Community_Master!$A$2:$K$100,7,FALSE),"")</f>
        <v/>
      </c>
      <c r="I251" s="15" t="n"/>
      <c r="J251" s="15" t="n"/>
      <c r="K251" s="15" t="n"/>
      <c r="L251" s="15">
        <f>IF($H251="","",MAX($H251-$I251,0))</f>
        <v/>
      </c>
      <c r="M251" s="6">
        <f>IF($H251="","",IFERROR($I251/$H251,""))</f>
        <v/>
      </c>
      <c r="N251" s="6">
        <f>IF($H251="","",IFERROR($J251/$H251,""))</f>
        <v/>
      </c>
      <c r="O251" s="6" t="n"/>
      <c r="P251" s="7" t="n"/>
      <c r="Q251" s="7" t="n"/>
      <c r="R251" s="7" t="n"/>
      <c r="S251" s="7" t="n"/>
      <c r="T251" s="7">
        <f>IF($H251="","",IFERROR($H251*$P251,""))</f>
        <v/>
      </c>
      <c r="U251" s="7" t="n"/>
      <c r="V251" s="7" t="n"/>
      <c r="W251" s="7" t="n"/>
      <c r="X251" s="7">
        <f>IF(OR($U251="",$W251=""),"",($U251+$V251)-$W251)</f>
        <v/>
      </c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9" t="n"/>
      <c r="AJ251" s="8" t="n"/>
      <c r="AK251" s="8" t="n"/>
      <c r="AL251" s="15" t="n"/>
      <c r="AM251" s="15" t="n"/>
      <c r="AN251" s="15" t="n"/>
      <c r="AO251" s="15" t="n"/>
      <c r="AP251" s="10" t="n"/>
      <c r="AQ251" s="15">
        <f>IF($B251="","",IF(OR(ISERROR(MATCH($B251,Community_Master!$A$2:$A$100,0)),$A251="",AND($H251&lt;&gt;"",$I251&gt;$H251),AND($H251&lt;&gt;"",$J251&gt;$H251),$I251&lt;0,$J251&lt;0,$K251&lt;0,$P251&lt;0,$Q251&lt;0,$Y251&lt;0,$Z251&lt;0,$AA251&lt;0,$AB251&lt;0,$AC251&lt;0),"ERROR","OK"))</f>
        <v/>
      </c>
      <c r="AR251" s="15">
        <f>IF($B251="","",TRIM(IF(ISERROR(MATCH($B251,Community_Master!$A$2:$A$100,0)),"Invalid Community_ID; ","")&amp;IF($A251="","Missing Report_Month; ","")&amp;IF(AND($H251&lt;&gt;"",$I251&gt;$H251),"Occupied_Units greater than Total_Units; ","")&amp;IF(AND($H251&lt;&gt;"",$J251&gt;$H251),"Leased_Units greater than Total_Units; ","")&amp;IF($I251&lt;0,"Occupied_Units negative; ","")&amp;IF($J251&lt;0,"Leased_Units negative; ","")&amp;IF($P251&lt;0,"Avg_Market_Rent negative; ","")))</f>
        <v/>
      </c>
    </row>
    <row r="252" ht="15" customHeight="1">
      <c r="A252" s="5" t="n"/>
      <c r="B252" s="15" t="n"/>
      <c r="C252" s="15">
        <f>IFERROR(VLOOKUP($B252,Community_Master!$A$2:$K$100,2,FALSE),"")</f>
        <v/>
      </c>
      <c r="D252" s="15">
        <f>IFERROR(VLOOKUP($B252,Community_Master!$A$2:$K$100,4,FALSE),"")</f>
        <v/>
      </c>
      <c r="E252" s="15">
        <f>IFERROR(VLOOKUP($B252,Community_Master!$A$2:$K$100,5,FALSE),"")</f>
        <v/>
      </c>
      <c r="F252" s="15">
        <f>IFERROR(VLOOKUP($B252,Community_Master!$A$2:$K$100,6,FALSE),"")</f>
        <v/>
      </c>
      <c r="G252" s="15">
        <f>IFERROR(VLOOKUP($B252,Community_Master!$A$2:$K$100,8,FALSE),"")</f>
        <v/>
      </c>
      <c r="H252" s="15">
        <f>IFERROR(VLOOKUP($B252,Community_Master!$A$2:$K$100,7,FALSE),"")</f>
        <v/>
      </c>
      <c r="I252" s="15" t="n"/>
      <c r="J252" s="15" t="n"/>
      <c r="K252" s="15" t="n"/>
      <c r="L252" s="15">
        <f>IF($H252="","",MAX($H252-$I252,0))</f>
        <v/>
      </c>
      <c r="M252" s="6">
        <f>IF($H252="","",IFERROR($I252/$H252,""))</f>
        <v/>
      </c>
      <c r="N252" s="6">
        <f>IF($H252="","",IFERROR($J252/$H252,""))</f>
        <v/>
      </c>
      <c r="O252" s="6" t="n"/>
      <c r="P252" s="7" t="n"/>
      <c r="Q252" s="7" t="n"/>
      <c r="R252" s="7" t="n"/>
      <c r="S252" s="7" t="n"/>
      <c r="T252" s="7">
        <f>IF($H252="","",IFERROR($H252*$P252,""))</f>
        <v/>
      </c>
      <c r="U252" s="7" t="n"/>
      <c r="V252" s="7" t="n"/>
      <c r="W252" s="7" t="n"/>
      <c r="X252" s="7">
        <f>IF(OR($U252="",$W252=""),"",($U252+$V252)-$W252)</f>
        <v/>
      </c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9" t="n"/>
      <c r="AJ252" s="8" t="n"/>
      <c r="AK252" s="8" t="n"/>
      <c r="AL252" s="15" t="n"/>
      <c r="AM252" s="15" t="n"/>
      <c r="AN252" s="15" t="n"/>
      <c r="AO252" s="15" t="n"/>
      <c r="AP252" s="10" t="n"/>
      <c r="AQ252" s="15">
        <f>IF($B252="","",IF(OR(ISERROR(MATCH($B252,Community_Master!$A$2:$A$100,0)),$A252="",AND($H252&lt;&gt;"",$I252&gt;$H252),AND($H252&lt;&gt;"",$J252&gt;$H252),$I252&lt;0,$J252&lt;0,$K252&lt;0,$P252&lt;0,$Q252&lt;0,$Y252&lt;0,$Z252&lt;0,$AA252&lt;0,$AB252&lt;0,$AC252&lt;0),"ERROR","OK"))</f>
        <v/>
      </c>
      <c r="AR252" s="15">
        <f>IF($B252="","",TRIM(IF(ISERROR(MATCH($B252,Community_Master!$A$2:$A$100,0)),"Invalid Community_ID; ","")&amp;IF($A252="","Missing Report_Month; ","")&amp;IF(AND($H252&lt;&gt;"",$I252&gt;$H252),"Occupied_Units greater than Total_Units; ","")&amp;IF(AND($H252&lt;&gt;"",$J252&gt;$H252),"Leased_Units greater than Total_Units; ","")&amp;IF($I252&lt;0,"Occupied_Units negative; ","")&amp;IF($J252&lt;0,"Leased_Units negative; ","")&amp;IF($P252&lt;0,"Avg_Market_Rent negative; ","")))</f>
        <v/>
      </c>
    </row>
    <row r="253" ht="15" customHeight="1">
      <c r="A253" s="5" t="n"/>
      <c r="B253" s="15" t="n"/>
      <c r="C253" s="15">
        <f>IFERROR(VLOOKUP($B253,Community_Master!$A$2:$K$100,2,FALSE),"")</f>
        <v/>
      </c>
      <c r="D253" s="15">
        <f>IFERROR(VLOOKUP($B253,Community_Master!$A$2:$K$100,4,FALSE),"")</f>
        <v/>
      </c>
      <c r="E253" s="15">
        <f>IFERROR(VLOOKUP($B253,Community_Master!$A$2:$K$100,5,FALSE),"")</f>
        <v/>
      </c>
      <c r="F253" s="15">
        <f>IFERROR(VLOOKUP($B253,Community_Master!$A$2:$K$100,6,FALSE),"")</f>
        <v/>
      </c>
      <c r="G253" s="15">
        <f>IFERROR(VLOOKUP($B253,Community_Master!$A$2:$K$100,8,FALSE),"")</f>
        <v/>
      </c>
      <c r="H253" s="15">
        <f>IFERROR(VLOOKUP($B253,Community_Master!$A$2:$K$100,7,FALSE),"")</f>
        <v/>
      </c>
      <c r="I253" s="15" t="n"/>
      <c r="J253" s="15" t="n"/>
      <c r="K253" s="15" t="n"/>
      <c r="L253" s="15">
        <f>IF($H253="","",MAX($H253-$I253,0))</f>
        <v/>
      </c>
      <c r="M253" s="6">
        <f>IF($H253="","",IFERROR($I253/$H253,""))</f>
        <v/>
      </c>
      <c r="N253" s="6">
        <f>IF($H253="","",IFERROR($J253/$H253,""))</f>
        <v/>
      </c>
      <c r="O253" s="6" t="n"/>
      <c r="P253" s="7" t="n"/>
      <c r="Q253" s="7" t="n"/>
      <c r="R253" s="7" t="n"/>
      <c r="S253" s="7" t="n"/>
      <c r="T253" s="7">
        <f>IF($H253="","",IFERROR($H253*$P253,""))</f>
        <v/>
      </c>
      <c r="U253" s="7" t="n"/>
      <c r="V253" s="7" t="n"/>
      <c r="W253" s="7" t="n"/>
      <c r="X253" s="7">
        <f>IF(OR($U253="",$W253=""),"",($U253+$V253)-$W253)</f>
        <v/>
      </c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9" t="n"/>
      <c r="AJ253" s="8" t="n"/>
      <c r="AK253" s="8" t="n"/>
      <c r="AL253" s="15" t="n"/>
      <c r="AM253" s="15" t="n"/>
      <c r="AN253" s="15" t="n"/>
      <c r="AO253" s="15" t="n"/>
      <c r="AP253" s="10" t="n"/>
      <c r="AQ253" s="15">
        <f>IF($B253="","",IF(OR(ISERROR(MATCH($B253,Community_Master!$A$2:$A$100,0)),$A253="",AND($H253&lt;&gt;"",$I253&gt;$H253),AND($H253&lt;&gt;"",$J253&gt;$H253),$I253&lt;0,$J253&lt;0,$K253&lt;0,$P253&lt;0,$Q253&lt;0,$Y253&lt;0,$Z253&lt;0,$AA253&lt;0,$AB253&lt;0,$AC253&lt;0),"ERROR","OK"))</f>
        <v/>
      </c>
      <c r="AR253" s="15">
        <f>IF($B253="","",TRIM(IF(ISERROR(MATCH($B253,Community_Master!$A$2:$A$100,0)),"Invalid Community_ID; ","")&amp;IF($A253="","Missing Report_Month; ","")&amp;IF(AND($H253&lt;&gt;"",$I253&gt;$H253),"Occupied_Units greater than Total_Units; ","")&amp;IF(AND($H253&lt;&gt;"",$J253&gt;$H253),"Leased_Units greater than Total_Units; ","")&amp;IF($I253&lt;0,"Occupied_Units negative; ","")&amp;IF($J253&lt;0,"Leased_Units negative; ","")&amp;IF($P253&lt;0,"Avg_Market_Rent negative; ","")))</f>
        <v/>
      </c>
    </row>
    <row r="254" ht="15" customHeight="1">
      <c r="A254" s="5" t="n"/>
      <c r="B254" s="15" t="n"/>
      <c r="C254" s="15">
        <f>IFERROR(VLOOKUP($B254,Community_Master!$A$2:$K$100,2,FALSE),"")</f>
        <v/>
      </c>
      <c r="D254" s="15">
        <f>IFERROR(VLOOKUP($B254,Community_Master!$A$2:$K$100,4,FALSE),"")</f>
        <v/>
      </c>
      <c r="E254" s="15">
        <f>IFERROR(VLOOKUP($B254,Community_Master!$A$2:$K$100,5,FALSE),"")</f>
        <v/>
      </c>
      <c r="F254" s="15">
        <f>IFERROR(VLOOKUP($B254,Community_Master!$A$2:$K$100,6,FALSE),"")</f>
        <v/>
      </c>
      <c r="G254" s="15">
        <f>IFERROR(VLOOKUP($B254,Community_Master!$A$2:$K$100,8,FALSE),"")</f>
        <v/>
      </c>
      <c r="H254" s="15">
        <f>IFERROR(VLOOKUP($B254,Community_Master!$A$2:$K$100,7,FALSE),"")</f>
        <v/>
      </c>
      <c r="I254" s="15" t="n"/>
      <c r="J254" s="15" t="n"/>
      <c r="K254" s="15" t="n"/>
      <c r="L254" s="15">
        <f>IF($H254="","",MAX($H254-$I254,0))</f>
        <v/>
      </c>
      <c r="M254" s="6">
        <f>IF($H254="","",IFERROR($I254/$H254,""))</f>
        <v/>
      </c>
      <c r="N254" s="6">
        <f>IF($H254="","",IFERROR($J254/$H254,""))</f>
        <v/>
      </c>
      <c r="O254" s="6" t="n"/>
      <c r="P254" s="7" t="n"/>
      <c r="Q254" s="7" t="n"/>
      <c r="R254" s="7" t="n"/>
      <c r="S254" s="7" t="n"/>
      <c r="T254" s="7">
        <f>IF($H254="","",IFERROR($H254*$P254,""))</f>
        <v/>
      </c>
      <c r="U254" s="7" t="n"/>
      <c r="V254" s="7" t="n"/>
      <c r="W254" s="7" t="n"/>
      <c r="X254" s="7">
        <f>IF(OR($U254="",$W254=""),"",($U254+$V254)-$W254)</f>
        <v/>
      </c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9" t="n"/>
      <c r="AJ254" s="8" t="n"/>
      <c r="AK254" s="8" t="n"/>
      <c r="AL254" s="15" t="n"/>
      <c r="AM254" s="15" t="n"/>
      <c r="AN254" s="15" t="n"/>
      <c r="AO254" s="15" t="n"/>
      <c r="AP254" s="10" t="n"/>
      <c r="AQ254" s="15">
        <f>IF($B254="","",IF(OR(ISERROR(MATCH($B254,Community_Master!$A$2:$A$100,0)),$A254="",AND($H254&lt;&gt;"",$I254&gt;$H254),AND($H254&lt;&gt;"",$J254&gt;$H254),$I254&lt;0,$J254&lt;0,$K254&lt;0,$P254&lt;0,$Q254&lt;0,$Y254&lt;0,$Z254&lt;0,$AA254&lt;0,$AB254&lt;0,$AC254&lt;0),"ERROR","OK"))</f>
        <v/>
      </c>
      <c r="AR254" s="15">
        <f>IF($B254="","",TRIM(IF(ISERROR(MATCH($B254,Community_Master!$A$2:$A$100,0)),"Invalid Community_ID; ","")&amp;IF($A254="","Missing Report_Month; ","")&amp;IF(AND($H254&lt;&gt;"",$I254&gt;$H254),"Occupied_Units greater than Total_Units; ","")&amp;IF(AND($H254&lt;&gt;"",$J254&gt;$H254),"Leased_Units greater than Total_Units; ","")&amp;IF($I254&lt;0,"Occupied_Units negative; ","")&amp;IF($J254&lt;0,"Leased_Units negative; ","")&amp;IF($P254&lt;0,"Avg_Market_Rent negative; ","")))</f>
        <v/>
      </c>
    </row>
    <row r="255" ht="15" customHeight="1">
      <c r="A255" s="5" t="n"/>
      <c r="B255" s="15" t="n"/>
      <c r="C255" s="15">
        <f>IFERROR(VLOOKUP($B255,Community_Master!$A$2:$K$100,2,FALSE),"")</f>
        <v/>
      </c>
      <c r="D255" s="15">
        <f>IFERROR(VLOOKUP($B255,Community_Master!$A$2:$K$100,4,FALSE),"")</f>
        <v/>
      </c>
      <c r="E255" s="15">
        <f>IFERROR(VLOOKUP($B255,Community_Master!$A$2:$K$100,5,FALSE),"")</f>
        <v/>
      </c>
      <c r="F255" s="15">
        <f>IFERROR(VLOOKUP($B255,Community_Master!$A$2:$K$100,6,FALSE),"")</f>
        <v/>
      </c>
      <c r="G255" s="15">
        <f>IFERROR(VLOOKUP($B255,Community_Master!$A$2:$K$100,8,FALSE),"")</f>
        <v/>
      </c>
      <c r="H255" s="15">
        <f>IFERROR(VLOOKUP($B255,Community_Master!$A$2:$K$100,7,FALSE),"")</f>
        <v/>
      </c>
      <c r="I255" s="15" t="n"/>
      <c r="J255" s="15" t="n"/>
      <c r="K255" s="15" t="n"/>
      <c r="L255" s="15">
        <f>IF($H255="","",MAX($H255-$I255,0))</f>
        <v/>
      </c>
      <c r="M255" s="6">
        <f>IF($H255="","",IFERROR($I255/$H255,""))</f>
        <v/>
      </c>
      <c r="N255" s="6">
        <f>IF($H255="","",IFERROR($J255/$H255,""))</f>
        <v/>
      </c>
      <c r="O255" s="6" t="n"/>
      <c r="P255" s="7" t="n"/>
      <c r="Q255" s="7" t="n"/>
      <c r="R255" s="7" t="n"/>
      <c r="S255" s="7" t="n"/>
      <c r="T255" s="7">
        <f>IF($H255="","",IFERROR($H255*$P255,""))</f>
        <v/>
      </c>
      <c r="U255" s="7" t="n"/>
      <c r="V255" s="7" t="n"/>
      <c r="W255" s="7" t="n"/>
      <c r="X255" s="7">
        <f>IF(OR($U255="",$W255=""),"",($U255+$V255)-$W255)</f>
        <v/>
      </c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9" t="n"/>
      <c r="AJ255" s="8" t="n"/>
      <c r="AK255" s="8" t="n"/>
      <c r="AL255" s="15" t="n"/>
      <c r="AM255" s="15" t="n"/>
      <c r="AN255" s="15" t="n"/>
      <c r="AO255" s="15" t="n"/>
      <c r="AP255" s="10" t="n"/>
      <c r="AQ255" s="15">
        <f>IF($B255="","",IF(OR(ISERROR(MATCH($B255,Community_Master!$A$2:$A$100,0)),$A255="",AND($H255&lt;&gt;"",$I255&gt;$H255),AND($H255&lt;&gt;"",$J255&gt;$H255),$I255&lt;0,$J255&lt;0,$K255&lt;0,$P255&lt;0,$Q255&lt;0,$Y255&lt;0,$Z255&lt;0,$AA255&lt;0,$AB255&lt;0,$AC255&lt;0),"ERROR","OK"))</f>
        <v/>
      </c>
      <c r="AR255" s="15">
        <f>IF($B255="","",TRIM(IF(ISERROR(MATCH($B255,Community_Master!$A$2:$A$100,0)),"Invalid Community_ID; ","")&amp;IF($A255="","Missing Report_Month; ","")&amp;IF(AND($H255&lt;&gt;"",$I255&gt;$H255),"Occupied_Units greater than Total_Units; ","")&amp;IF(AND($H255&lt;&gt;"",$J255&gt;$H255),"Leased_Units greater than Total_Units; ","")&amp;IF($I255&lt;0,"Occupied_Units negative; ","")&amp;IF($J255&lt;0,"Leased_Units negative; ","")&amp;IF($P255&lt;0,"Avg_Market_Rent negative; ","")))</f>
        <v/>
      </c>
    </row>
    <row r="256" ht="15" customHeight="1">
      <c r="A256" s="5" t="n"/>
      <c r="B256" s="15" t="n"/>
      <c r="C256" s="15">
        <f>IFERROR(VLOOKUP($B256,Community_Master!$A$2:$K$100,2,FALSE),"")</f>
        <v/>
      </c>
      <c r="D256" s="15">
        <f>IFERROR(VLOOKUP($B256,Community_Master!$A$2:$K$100,4,FALSE),"")</f>
        <v/>
      </c>
      <c r="E256" s="15">
        <f>IFERROR(VLOOKUP($B256,Community_Master!$A$2:$K$100,5,FALSE),"")</f>
        <v/>
      </c>
      <c r="F256" s="15">
        <f>IFERROR(VLOOKUP($B256,Community_Master!$A$2:$K$100,6,FALSE),"")</f>
        <v/>
      </c>
      <c r="G256" s="15">
        <f>IFERROR(VLOOKUP($B256,Community_Master!$A$2:$K$100,8,FALSE),"")</f>
        <v/>
      </c>
      <c r="H256" s="15">
        <f>IFERROR(VLOOKUP($B256,Community_Master!$A$2:$K$100,7,FALSE),"")</f>
        <v/>
      </c>
      <c r="I256" s="15" t="n"/>
      <c r="J256" s="15" t="n"/>
      <c r="K256" s="15" t="n"/>
      <c r="L256" s="15">
        <f>IF($H256="","",MAX($H256-$I256,0))</f>
        <v/>
      </c>
      <c r="M256" s="6">
        <f>IF($H256="","",IFERROR($I256/$H256,""))</f>
        <v/>
      </c>
      <c r="N256" s="6">
        <f>IF($H256="","",IFERROR($J256/$H256,""))</f>
        <v/>
      </c>
      <c r="O256" s="6" t="n"/>
      <c r="P256" s="7" t="n"/>
      <c r="Q256" s="7" t="n"/>
      <c r="R256" s="7" t="n"/>
      <c r="S256" s="7" t="n"/>
      <c r="T256" s="7">
        <f>IF($H256="","",IFERROR($H256*$P256,""))</f>
        <v/>
      </c>
      <c r="U256" s="7" t="n"/>
      <c r="V256" s="7" t="n"/>
      <c r="W256" s="7" t="n"/>
      <c r="X256" s="7">
        <f>IF(OR($U256="",$W256=""),"",($U256+$V256)-$W256)</f>
        <v/>
      </c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9" t="n"/>
      <c r="AJ256" s="8" t="n"/>
      <c r="AK256" s="8" t="n"/>
      <c r="AL256" s="15" t="n"/>
      <c r="AM256" s="15" t="n"/>
      <c r="AN256" s="15" t="n"/>
      <c r="AO256" s="15" t="n"/>
      <c r="AP256" s="10" t="n"/>
      <c r="AQ256" s="15">
        <f>IF($B256="","",IF(OR(ISERROR(MATCH($B256,Community_Master!$A$2:$A$100,0)),$A256="",AND($H256&lt;&gt;"",$I256&gt;$H256),AND($H256&lt;&gt;"",$J256&gt;$H256),$I256&lt;0,$J256&lt;0,$K256&lt;0,$P256&lt;0,$Q256&lt;0,$Y256&lt;0,$Z256&lt;0,$AA256&lt;0,$AB256&lt;0,$AC256&lt;0),"ERROR","OK"))</f>
        <v/>
      </c>
      <c r="AR256" s="15">
        <f>IF($B256="","",TRIM(IF(ISERROR(MATCH($B256,Community_Master!$A$2:$A$100,0)),"Invalid Community_ID; ","")&amp;IF($A256="","Missing Report_Month; ","")&amp;IF(AND($H256&lt;&gt;"",$I256&gt;$H256),"Occupied_Units greater than Total_Units; ","")&amp;IF(AND($H256&lt;&gt;"",$J256&gt;$H256),"Leased_Units greater than Total_Units; ","")&amp;IF($I256&lt;0,"Occupied_Units negative; ","")&amp;IF($J256&lt;0,"Leased_Units negative; ","")&amp;IF($P256&lt;0,"Avg_Market_Rent negative; ","")))</f>
        <v/>
      </c>
    </row>
    <row r="257" ht="15" customHeight="1">
      <c r="A257" s="5" t="n"/>
      <c r="B257" s="15" t="n"/>
      <c r="C257" s="15">
        <f>IFERROR(VLOOKUP($B257,Community_Master!$A$2:$K$100,2,FALSE),"")</f>
        <v/>
      </c>
      <c r="D257" s="15">
        <f>IFERROR(VLOOKUP($B257,Community_Master!$A$2:$K$100,4,FALSE),"")</f>
        <v/>
      </c>
      <c r="E257" s="15">
        <f>IFERROR(VLOOKUP($B257,Community_Master!$A$2:$K$100,5,FALSE),"")</f>
        <v/>
      </c>
      <c r="F257" s="15">
        <f>IFERROR(VLOOKUP($B257,Community_Master!$A$2:$K$100,6,FALSE),"")</f>
        <v/>
      </c>
      <c r="G257" s="15">
        <f>IFERROR(VLOOKUP($B257,Community_Master!$A$2:$K$100,8,FALSE),"")</f>
        <v/>
      </c>
      <c r="H257" s="15">
        <f>IFERROR(VLOOKUP($B257,Community_Master!$A$2:$K$100,7,FALSE),"")</f>
        <v/>
      </c>
      <c r="I257" s="15" t="n"/>
      <c r="J257" s="15" t="n"/>
      <c r="K257" s="15" t="n"/>
      <c r="L257" s="15">
        <f>IF($H257="","",MAX($H257-$I257,0))</f>
        <v/>
      </c>
      <c r="M257" s="6">
        <f>IF($H257="","",IFERROR($I257/$H257,""))</f>
        <v/>
      </c>
      <c r="N257" s="6">
        <f>IF($H257="","",IFERROR($J257/$H257,""))</f>
        <v/>
      </c>
      <c r="O257" s="6" t="n"/>
      <c r="P257" s="7" t="n"/>
      <c r="Q257" s="7" t="n"/>
      <c r="R257" s="7" t="n"/>
      <c r="S257" s="7" t="n"/>
      <c r="T257" s="7">
        <f>IF($H257="","",IFERROR($H257*$P257,""))</f>
        <v/>
      </c>
      <c r="U257" s="7" t="n"/>
      <c r="V257" s="7" t="n"/>
      <c r="W257" s="7" t="n"/>
      <c r="X257" s="7">
        <f>IF(OR($U257="",$W257=""),"",($U257+$V257)-$W257)</f>
        <v/>
      </c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9" t="n"/>
      <c r="AJ257" s="8" t="n"/>
      <c r="AK257" s="8" t="n"/>
      <c r="AL257" s="15" t="n"/>
      <c r="AM257" s="15" t="n"/>
      <c r="AN257" s="15" t="n"/>
      <c r="AO257" s="15" t="n"/>
      <c r="AP257" s="10" t="n"/>
      <c r="AQ257" s="15">
        <f>IF($B257="","",IF(OR(ISERROR(MATCH($B257,Community_Master!$A$2:$A$100,0)),$A257="",AND($H257&lt;&gt;"",$I257&gt;$H257),AND($H257&lt;&gt;"",$J257&gt;$H257),$I257&lt;0,$J257&lt;0,$K257&lt;0,$P257&lt;0,$Q257&lt;0,$Y257&lt;0,$Z257&lt;0,$AA257&lt;0,$AB257&lt;0,$AC257&lt;0),"ERROR","OK"))</f>
        <v/>
      </c>
      <c r="AR257" s="15">
        <f>IF($B257="","",TRIM(IF(ISERROR(MATCH($B257,Community_Master!$A$2:$A$100,0)),"Invalid Community_ID; ","")&amp;IF($A257="","Missing Report_Month; ","")&amp;IF(AND($H257&lt;&gt;"",$I257&gt;$H257),"Occupied_Units greater than Total_Units; ","")&amp;IF(AND($H257&lt;&gt;"",$J257&gt;$H257),"Leased_Units greater than Total_Units; ","")&amp;IF($I257&lt;0,"Occupied_Units negative; ","")&amp;IF($J257&lt;0,"Leased_Units negative; ","")&amp;IF($P257&lt;0,"Avg_Market_Rent negative; ","")))</f>
        <v/>
      </c>
    </row>
    <row r="258" ht="15" customHeight="1">
      <c r="A258" s="5" t="n"/>
      <c r="B258" s="15" t="n"/>
      <c r="C258" s="15">
        <f>IFERROR(VLOOKUP($B258,Community_Master!$A$2:$K$100,2,FALSE),"")</f>
        <v/>
      </c>
      <c r="D258" s="15">
        <f>IFERROR(VLOOKUP($B258,Community_Master!$A$2:$K$100,4,FALSE),"")</f>
        <v/>
      </c>
      <c r="E258" s="15">
        <f>IFERROR(VLOOKUP($B258,Community_Master!$A$2:$K$100,5,FALSE),"")</f>
        <v/>
      </c>
      <c r="F258" s="15">
        <f>IFERROR(VLOOKUP($B258,Community_Master!$A$2:$K$100,6,FALSE),"")</f>
        <v/>
      </c>
      <c r="G258" s="15">
        <f>IFERROR(VLOOKUP($B258,Community_Master!$A$2:$K$100,8,FALSE),"")</f>
        <v/>
      </c>
      <c r="H258" s="15">
        <f>IFERROR(VLOOKUP($B258,Community_Master!$A$2:$K$100,7,FALSE),"")</f>
        <v/>
      </c>
      <c r="I258" s="15" t="n"/>
      <c r="J258" s="15" t="n"/>
      <c r="K258" s="15" t="n"/>
      <c r="L258" s="15">
        <f>IF($H258="","",MAX($H258-$I258,0))</f>
        <v/>
      </c>
      <c r="M258" s="6">
        <f>IF($H258="","",IFERROR($I258/$H258,""))</f>
        <v/>
      </c>
      <c r="N258" s="6">
        <f>IF($H258="","",IFERROR($J258/$H258,""))</f>
        <v/>
      </c>
      <c r="O258" s="6" t="n"/>
      <c r="P258" s="7" t="n"/>
      <c r="Q258" s="7" t="n"/>
      <c r="R258" s="7" t="n"/>
      <c r="S258" s="7" t="n"/>
      <c r="T258" s="7">
        <f>IF($H258="","",IFERROR($H258*$P258,""))</f>
        <v/>
      </c>
      <c r="U258" s="7" t="n"/>
      <c r="V258" s="7" t="n"/>
      <c r="W258" s="7" t="n"/>
      <c r="X258" s="7">
        <f>IF(OR($U258="",$W258=""),"",($U258+$V258)-$W258)</f>
        <v/>
      </c>
      <c r="Y258" s="8" t="n"/>
      <c r="Z258" s="8" t="n"/>
      <c r="AA258" s="8" t="n"/>
      <c r="AB258" s="8" t="n"/>
      <c r="AC258" s="8" t="n"/>
      <c r="AD258" s="8" t="n"/>
      <c r="AE258" s="8" t="n"/>
      <c r="AF258" s="8" t="n"/>
      <c r="AG258" s="8" t="n"/>
      <c r="AH258" s="8" t="n"/>
      <c r="AI258" s="9" t="n"/>
      <c r="AJ258" s="8" t="n"/>
      <c r="AK258" s="8" t="n"/>
      <c r="AL258" s="15" t="n"/>
      <c r="AM258" s="15" t="n"/>
      <c r="AN258" s="15" t="n"/>
      <c r="AO258" s="15" t="n"/>
      <c r="AP258" s="10" t="n"/>
      <c r="AQ258" s="15">
        <f>IF($B258="","",IF(OR(ISERROR(MATCH($B258,Community_Master!$A$2:$A$100,0)),$A258="",AND($H258&lt;&gt;"",$I258&gt;$H258),AND($H258&lt;&gt;"",$J258&gt;$H258),$I258&lt;0,$J258&lt;0,$K258&lt;0,$P258&lt;0,$Q258&lt;0,$Y258&lt;0,$Z258&lt;0,$AA258&lt;0,$AB258&lt;0,$AC258&lt;0),"ERROR","OK"))</f>
        <v/>
      </c>
      <c r="AR258" s="15">
        <f>IF($B258="","",TRIM(IF(ISERROR(MATCH($B258,Community_Master!$A$2:$A$100,0)),"Invalid Community_ID; ","")&amp;IF($A258="","Missing Report_Month; ","")&amp;IF(AND($H258&lt;&gt;"",$I258&gt;$H258),"Occupied_Units greater than Total_Units; ","")&amp;IF(AND($H258&lt;&gt;"",$J258&gt;$H258),"Leased_Units greater than Total_Units; ","")&amp;IF($I258&lt;0,"Occupied_Units negative; ","")&amp;IF($J258&lt;0,"Leased_Units negative; ","")&amp;IF($P258&lt;0,"Avg_Market_Rent negative; ","")))</f>
        <v/>
      </c>
    </row>
    <row r="259" ht="15" customHeight="1">
      <c r="A259" s="5" t="n"/>
      <c r="B259" s="15" t="n"/>
      <c r="C259" s="15">
        <f>IFERROR(VLOOKUP($B259,Community_Master!$A$2:$K$100,2,FALSE),"")</f>
        <v/>
      </c>
      <c r="D259" s="15">
        <f>IFERROR(VLOOKUP($B259,Community_Master!$A$2:$K$100,4,FALSE),"")</f>
        <v/>
      </c>
      <c r="E259" s="15">
        <f>IFERROR(VLOOKUP($B259,Community_Master!$A$2:$K$100,5,FALSE),"")</f>
        <v/>
      </c>
      <c r="F259" s="15">
        <f>IFERROR(VLOOKUP($B259,Community_Master!$A$2:$K$100,6,FALSE),"")</f>
        <v/>
      </c>
      <c r="G259" s="15">
        <f>IFERROR(VLOOKUP($B259,Community_Master!$A$2:$K$100,8,FALSE),"")</f>
        <v/>
      </c>
      <c r="H259" s="15">
        <f>IFERROR(VLOOKUP($B259,Community_Master!$A$2:$K$100,7,FALSE),"")</f>
        <v/>
      </c>
      <c r="I259" s="15" t="n"/>
      <c r="J259" s="15" t="n"/>
      <c r="K259" s="15" t="n"/>
      <c r="L259" s="15">
        <f>IF($H259="","",MAX($H259-$I259,0))</f>
        <v/>
      </c>
      <c r="M259" s="6">
        <f>IF($H259="","",IFERROR($I259/$H259,""))</f>
        <v/>
      </c>
      <c r="N259" s="6">
        <f>IF($H259="","",IFERROR($J259/$H259,""))</f>
        <v/>
      </c>
      <c r="O259" s="6" t="n"/>
      <c r="P259" s="7" t="n"/>
      <c r="Q259" s="7" t="n"/>
      <c r="R259" s="7" t="n"/>
      <c r="S259" s="7" t="n"/>
      <c r="T259" s="7">
        <f>IF($H259="","",IFERROR($H259*$P259,""))</f>
        <v/>
      </c>
      <c r="U259" s="7" t="n"/>
      <c r="V259" s="7" t="n"/>
      <c r="W259" s="7" t="n"/>
      <c r="X259" s="7">
        <f>IF(OR($U259="",$W259=""),"",($U259+$V259)-$W259)</f>
        <v/>
      </c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9" t="n"/>
      <c r="AJ259" s="8" t="n"/>
      <c r="AK259" s="8" t="n"/>
      <c r="AL259" s="15" t="n"/>
      <c r="AM259" s="15" t="n"/>
      <c r="AN259" s="15" t="n"/>
      <c r="AO259" s="15" t="n"/>
      <c r="AP259" s="10" t="n"/>
      <c r="AQ259" s="15">
        <f>IF($B259="","",IF(OR(ISERROR(MATCH($B259,Community_Master!$A$2:$A$100,0)),$A259="",AND($H259&lt;&gt;"",$I259&gt;$H259),AND($H259&lt;&gt;"",$J259&gt;$H259),$I259&lt;0,$J259&lt;0,$K259&lt;0,$P259&lt;0,$Q259&lt;0,$Y259&lt;0,$Z259&lt;0,$AA259&lt;0,$AB259&lt;0,$AC259&lt;0),"ERROR","OK"))</f>
        <v/>
      </c>
      <c r="AR259" s="15">
        <f>IF($B259="","",TRIM(IF(ISERROR(MATCH($B259,Community_Master!$A$2:$A$100,0)),"Invalid Community_ID; ","")&amp;IF($A259="","Missing Report_Month; ","")&amp;IF(AND($H259&lt;&gt;"",$I259&gt;$H259),"Occupied_Units greater than Total_Units; ","")&amp;IF(AND($H259&lt;&gt;"",$J259&gt;$H259),"Leased_Units greater than Total_Units; ","")&amp;IF($I259&lt;0,"Occupied_Units negative; ","")&amp;IF($J259&lt;0,"Leased_Units negative; ","")&amp;IF($P259&lt;0,"Avg_Market_Rent negative; ","")))</f>
        <v/>
      </c>
    </row>
    <row r="260" ht="15" customHeight="1">
      <c r="A260" s="5" t="n"/>
      <c r="B260" s="15" t="n"/>
      <c r="C260" s="15">
        <f>IFERROR(VLOOKUP($B260,Community_Master!$A$2:$K$100,2,FALSE),"")</f>
        <v/>
      </c>
      <c r="D260" s="15">
        <f>IFERROR(VLOOKUP($B260,Community_Master!$A$2:$K$100,4,FALSE),"")</f>
        <v/>
      </c>
      <c r="E260" s="15">
        <f>IFERROR(VLOOKUP($B260,Community_Master!$A$2:$K$100,5,FALSE),"")</f>
        <v/>
      </c>
      <c r="F260" s="15">
        <f>IFERROR(VLOOKUP($B260,Community_Master!$A$2:$K$100,6,FALSE),"")</f>
        <v/>
      </c>
      <c r="G260" s="15">
        <f>IFERROR(VLOOKUP($B260,Community_Master!$A$2:$K$100,8,FALSE),"")</f>
        <v/>
      </c>
      <c r="H260" s="15">
        <f>IFERROR(VLOOKUP($B260,Community_Master!$A$2:$K$100,7,FALSE),"")</f>
        <v/>
      </c>
      <c r="I260" s="15" t="n"/>
      <c r="J260" s="15" t="n"/>
      <c r="K260" s="15" t="n"/>
      <c r="L260" s="15">
        <f>IF($H260="","",MAX($H260-$I260,0))</f>
        <v/>
      </c>
      <c r="M260" s="6">
        <f>IF($H260="","",IFERROR($I260/$H260,""))</f>
        <v/>
      </c>
      <c r="N260" s="6">
        <f>IF($H260="","",IFERROR($J260/$H260,""))</f>
        <v/>
      </c>
      <c r="O260" s="6" t="n"/>
      <c r="P260" s="7" t="n"/>
      <c r="Q260" s="7" t="n"/>
      <c r="R260" s="7" t="n"/>
      <c r="S260" s="7" t="n"/>
      <c r="T260" s="7">
        <f>IF($H260="","",IFERROR($H260*$P260,""))</f>
        <v/>
      </c>
      <c r="U260" s="7" t="n"/>
      <c r="V260" s="7" t="n"/>
      <c r="W260" s="7" t="n"/>
      <c r="X260" s="7">
        <f>IF(OR($U260="",$W260=""),"",($U260+$V260)-$W260)</f>
        <v/>
      </c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9" t="n"/>
      <c r="AJ260" s="8" t="n"/>
      <c r="AK260" s="8" t="n"/>
      <c r="AL260" s="15" t="n"/>
      <c r="AM260" s="15" t="n"/>
      <c r="AN260" s="15" t="n"/>
      <c r="AO260" s="15" t="n"/>
      <c r="AP260" s="10" t="n"/>
      <c r="AQ260" s="15">
        <f>IF($B260="","",IF(OR(ISERROR(MATCH($B260,Community_Master!$A$2:$A$100,0)),$A260="",AND($H260&lt;&gt;"",$I260&gt;$H260),AND($H260&lt;&gt;"",$J260&gt;$H260),$I260&lt;0,$J260&lt;0,$K260&lt;0,$P260&lt;0,$Q260&lt;0,$Y260&lt;0,$Z260&lt;0,$AA260&lt;0,$AB260&lt;0,$AC260&lt;0),"ERROR","OK"))</f>
        <v/>
      </c>
      <c r="AR260" s="15">
        <f>IF($B260="","",TRIM(IF(ISERROR(MATCH($B260,Community_Master!$A$2:$A$100,0)),"Invalid Community_ID; ","")&amp;IF($A260="","Missing Report_Month; ","")&amp;IF(AND($H260&lt;&gt;"",$I260&gt;$H260),"Occupied_Units greater than Total_Units; ","")&amp;IF(AND($H260&lt;&gt;"",$J260&gt;$H260),"Leased_Units greater than Total_Units; ","")&amp;IF($I260&lt;0,"Occupied_Units negative; ","")&amp;IF($J260&lt;0,"Leased_Units negative; ","")&amp;IF($P260&lt;0,"Avg_Market_Rent negative; ","")))</f>
        <v/>
      </c>
    </row>
    <row r="261" ht="15" customHeight="1">
      <c r="A261" s="5" t="n"/>
      <c r="B261" s="15" t="n"/>
      <c r="C261" s="15">
        <f>IFERROR(VLOOKUP($B261,Community_Master!$A$2:$K$100,2,FALSE),"")</f>
        <v/>
      </c>
      <c r="D261" s="15">
        <f>IFERROR(VLOOKUP($B261,Community_Master!$A$2:$K$100,4,FALSE),"")</f>
        <v/>
      </c>
      <c r="E261" s="15">
        <f>IFERROR(VLOOKUP($B261,Community_Master!$A$2:$K$100,5,FALSE),"")</f>
        <v/>
      </c>
      <c r="F261" s="15">
        <f>IFERROR(VLOOKUP($B261,Community_Master!$A$2:$K$100,6,FALSE),"")</f>
        <v/>
      </c>
      <c r="G261" s="15">
        <f>IFERROR(VLOOKUP($B261,Community_Master!$A$2:$K$100,8,FALSE),"")</f>
        <v/>
      </c>
      <c r="H261" s="15">
        <f>IFERROR(VLOOKUP($B261,Community_Master!$A$2:$K$100,7,FALSE),"")</f>
        <v/>
      </c>
      <c r="I261" s="15" t="n"/>
      <c r="J261" s="15" t="n"/>
      <c r="K261" s="15" t="n"/>
      <c r="L261" s="15">
        <f>IF($H261="","",MAX($H261-$I261,0))</f>
        <v/>
      </c>
      <c r="M261" s="6">
        <f>IF($H261="","",IFERROR($I261/$H261,""))</f>
        <v/>
      </c>
      <c r="N261" s="6">
        <f>IF($H261="","",IFERROR($J261/$H261,""))</f>
        <v/>
      </c>
      <c r="O261" s="6" t="n"/>
      <c r="P261" s="7" t="n"/>
      <c r="Q261" s="7" t="n"/>
      <c r="R261" s="7" t="n"/>
      <c r="S261" s="7" t="n"/>
      <c r="T261" s="7">
        <f>IF($H261="","",IFERROR($H261*$P261,""))</f>
        <v/>
      </c>
      <c r="U261" s="7" t="n"/>
      <c r="V261" s="7" t="n"/>
      <c r="W261" s="7" t="n"/>
      <c r="X261" s="7">
        <f>IF(OR($U261="",$W261=""),"",($U261+$V261)-$W261)</f>
        <v/>
      </c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9" t="n"/>
      <c r="AJ261" s="8" t="n"/>
      <c r="AK261" s="8" t="n"/>
      <c r="AL261" s="15" t="n"/>
      <c r="AM261" s="15" t="n"/>
      <c r="AN261" s="15" t="n"/>
      <c r="AO261" s="15" t="n"/>
      <c r="AP261" s="10" t="n"/>
      <c r="AQ261" s="15">
        <f>IF($B261="","",IF(OR(ISERROR(MATCH($B261,Community_Master!$A$2:$A$100,0)),$A261="",AND($H261&lt;&gt;"",$I261&gt;$H261),AND($H261&lt;&gt;"",$J261&gt;$H261),$I261&lt;0,$J261&lt;0,$K261&lt;0,$P261&lt;0,$Q261&lt;0,$Y261&lt;0,$Z261&lt;0,$AA261&lt;0,$AB261&lt;0,$AC261&lt;0),"ERROR","OK"))</f>
        <v/>
      </c>
      <c r="AR261" s="15">
        <f>IF($B261="","",TRIM(IF(ISERROR(MATCH($B261,Community_Master!$A$2:$A$100,0)),"Invalid Community_ID; ","")&amp;IF($A261="","Missing Report_Month; ","")&amp;IF(AND($H261&lt;&gt;"",$I261&gt;$H261),"Occupied_Units greater than Total_Units; ","")&amp;IF(AND($H261&lt;&gt;"",$J261&gt;$H261),"Leased_Units greater than Total_Units; ","")&amp;IF($I261&lt;0,"Occupied_Units negative; ","")&amp;IF($J261&lt;0,"Leased_Units negative; ","")&amp;IF($P261&lt;0,"Avg_Market_Rent negative; ","")))</f>
        <v/>
      </c>
    </row>
    <row r="262" ht="15" customHeight="1">
      <c r="A262" s="5" t="n"/>
      <c r="B262" s="15" t="n"/>
      <c r="C262" s="15">
        <f>IFERROR(VLOOKUP($B262,Community_Master!$A$2:$K$100,2,FALSE),"")</f>
        <v/>
      </c>
      <c r="D262" s="15">
        <f>IFERROR(VLOOKUP($B262,Community_Master!$A$2:$K$100,4,FALSE),"")</f>
        <v/>
      </c>
      <c r="E262" s="15">
        <f>IFERROR(VLOOKUP($B262,Community_Master!$A$2:$K$100,5,FALSE),"")</f>
        <v/>
      </c>
      <c r="F262" s="15">
        <f>IFERROR(VLOOKUP($B262,Community_Master!$A$2:$K$100,6,FALSE),"")</f>
        <v/>
      </c>
      <c r="G262" s="15">
        <f>IFERROR(VLOOKUP($B262,Community_Master!$A$2:$K$100,8,FALSE),"")</f>
        <v/>
      </c>
      <c r="H262" s="15">
        <f>IFERROR(VLOOKUP($B262,Community_Master!$A$2:$K$100,7,FALSE),"")</f>
        <v/>
      </c>
      <c r="I262" s="15" t="n"/>
      <c r="J262" s="15" t="n"/>
      <c r="K262" s="15" t="n"/>
      <c r="L262" s="15">
        <f>IF($H262="","",MAX($H262-$I262,0))</f>
        <v/>
      </c>
      <c r="M262" s="6">
        <f>IF($H262="","",IFERROR($I262/$H262,""))</f>
        <v/>
      </c>
      <c r="N262" s="6">
        <f>IF($H262="","",IFERROR($J262/$H262,""))</f>
        <v/>
      </c>
      <c r="O262" s="6" t="n"/>
      <c r="P262" s="7" t="n"/>
      <c r="Q262" s="7" t="n"/>
      <c r="R262" s="7" t="n"/>
      <c r="S262" s="7" t="n"/>
      <c r="T262" s="7">
        <f>IF($H262="","",IFERROR($H262*$P262,""))</f>
        <v/>
      </c>
      <c r="U262" s="7" t="n"/>
      <c r="V262" s="7" t="n"/>
      <c r="W262" s="7" t="n"/>
      <c r="X262" s="7">
        <f>IF(OR($U262="",$W262=""),"",($U262+$V262)-$W262)</f>
        <v/>
      </c>
      <c r="Y262" s="8" t="n"/>
      <c r="Z262" s="8" t="n"/>
      <c r="AA262" s="8" t="n"/>
      <c r="AB262" s="8" t="n"/>
      <c r="AC262" s="8" t="n"/>
      <c r="AD262" s="8" t="n"/>
      <c r="AE262" s="8" t="n"/>
      <c r="AF262" s="8" t="n"/>
      <c r="AG262" s="8" t="n"/>
      <c r="AH262" s="8" t="n"/>
      <c r="AI262" s="9" t="n"/>
      <c r="AJ262" s="8" t="n"/>
      <c r="AK262" s="8" t="n"/>
      <c r="AL262" s="15" t="n"/>
      <c r="AM262" s="15" t="n"/>
      <c r="AN262" s="15" t="n"/>
      <c r="AO262" s="15" t="n"/>
      <c r="AP262" s="10" t="n"/>
      <c r="AQ262" s="15">
        <f>IF($B262="","",IF(OR(ISERROR(MATCH($B262,Community_Master!$A$2:$A$100,0)),$A262="",AND($H262&lt;&gt;"",$I262&gt;$H262),AND($H262&lt;&gt;"",$J262&gt;$H262),$I262&lt;0,$J262&lt;0,$K262&lt;0,$P262&lt;0,$Q262&lt;0,$Y262&lt;0,$Z262&lt;0,$AA262&lt;0,$AB262&lt;0,$AC262&lt;0),"ERROR","OK"))</f>
        <v/>
      </c>
      <c r="AR262" s="15">
        <f>IF($B262="","",TRIM(IF(ISERROR(MATCH($B262,Community_Master!$A$2:$A$100,0)),"Invalid Community_ID; ","")&amp;IF($A262="","Missing Report_Month; ","")&amp;IF(AND($H262&lt;&gt;"",$I262&gt;$H262),"Occupied_Units greater than Total_Units; ","")&amp;IF(AND($H262&lt;&gt;"",$J262&gt;$H262),"Leased_Units greater than Total_Units; ","")&amp;IF($I262&lt;0,"Occupied_Units negative; ","")&amp;IF($J262&lt;0,"Leased_Units negative; ","")&amp;IF($P262&lt;0,"Avg_Market_Rent negative; ","")))</f>
        <v/>
      </c>
    </row>
    <row r="263" ht="15" customHeight="1">
      <c r="A263" s="5" t="n"/>
      <c r="B263" s="15" t="n"/>
      <c r="C263" s="15">
        <f>IFERROR(VLOOKUP($B263,Community_Master!$A$2:$K$100,2,FALSE),"")</f>
        <v/>
      </c>
      <c r="D263" s="15">
        <f>IFERROR(VLOOKUP($B263,Community_Master!$A$2:$K$100,4,FALSE),"")</f>
        <v/>
      </c>
      <c r="E263" s="15">
        <f>IFERROR(VLOOKUP($B263,Community_Master!$A$2:$K$100,5,FALSE),"")</f>
        <v/>
      </c>
      <c r="F263" s="15">
        <f>IFERROR(VLOOKUP($B263,Community_Master!$A$2:$K$100,6,FALSE),"")</f>
        <v/>
      </c>
      <c r="G263" s="15">
        <f>IFERROR(VLOOKUP($B263,Community_Master!$A$2:$K$100,8,FALSE),"")</f>
        <v/>
      </c>
      <c r="H263" s="15">
        <f>IFERROR(VLOOKUP($B263,Community_Master!$A$2:$K$100,7,FALSE),"")</f>
        <v/>
      </c>
      <c r="I263" s="15" t="n"/>
      <c r="J263" s="15" t="n"/>
      <c r="K263" s="15" t="n"/>
      <c r="L263" s="15">
        <f>IF($H263="","",MAX($H263-$I263,0))</f>
        <v/>
      </c>
      <c r="M263" s="6">
        <f>IF($H263="","",IFERROR($I263/$H263,""))</f>
        <v/>
      </c>
      <c r="N263" s="6">
        <f>IF($H263="","",IFERROR($J263/$H263,""))</f>
        <v/>
      </c>
      <c r="O263" s="6" t="n"/>
      <c r="P263" s="7" t="n"/>
      <c r="Q263" s="7" t="n"/>
      <c r="R263" s="7" t="n"/>
      <c r="S263" s="7" t="n"/>
      <c r="T263" s="7">
        <f>IF($H263="","",IFERROR($H263*$P263,""))</f>
        <v/>
      </c>
      <c r="U263" s="7" t="n"/>
      <c r="V263" s="7" t="n"/>
      <c r="W263" s="7" t="n"/>
      <c r="X263" s="7">
        <f>IF(OR($U263="",$W263=""),"",($U263+$V263)-$W263)</f>
        <v/>
      </c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9" t="n"/>
      <c r="AJ263" s="8" t="n"/>
      <c r="AK263" s="8" t="n"/>
      <c r="AL263" s="15" t="n"/>
      <c r="AM263" s="15" t="n"/>
      <c r="AN263" s="15" t="n"/>
      <c r="AO263" s="15" t="n"/>
      <c r="AP263" s="10" t="n"/>
      <c r="AQ263" s="15">
        <f>IF($B263="","",IF(OR(ISERROR(MATCH($B263,Community_Master!$A$2:$A$100,0)),$A263="",AND($H263&lt;&gt;"",$I263&gt;$H263),AND($H263&lt;&gt;"",$J263&gt;$H263),$I263&lt;0,$J263&lt;0,$K263&lt;0,$P263&lt;0,$Q263&lt;0,$Y263&lt;0,$Z263&lt;0,$AA263&lt;0,$AB263&lt;0,$AC263&lt;0),"ERROR","OK"))</f>
        <v/>
      </c>
      <c r="AR263" s="15">
        <f>IF($B263="","",TRIM(IF(ISERROR(MATCH($B263,Community_Master!$A$2:$A$100,0)),"Invalid Community_ID; ","")&amp;IF($A263="","Missing Report_Month; ","")&amp;IF(AND($H263&lt;&gt;"",$I263&gt;$H263),"Occupied_Units greater than Total_Units; ","")&amp;IF(AND($H263&lt;&gt;"",$J263&gt;$H263),"Leased_Units greater than Total_Units; ","")&amp;IF($I263&lt;0,"Occupied_Units negative; ","")&amp;IF($J263&lt;0,"Leased_Units negative; ","")&amp;IF($P263&lt;0,"Avg_Market_Rent negative; ","")))</f>
        <v/>
      </c>
    </row>
    <row r="264" ht="15" customHeight="1">
      <c r="A264" s="5" t="n"/>
      <c r="B264" s="15" t="n"/>
      <c r="C264" s="15">
        <f>IFERROR(VLOOKUP($B264,Community_Master!$A$2:$K$100,2,FALSE),"")</f>
        <v/>
      </c>
      <c r="D264" s="15">
        <f>IFERROR(VLOOKUP($B264,Community_Master!$A$2:$K$100,4,FALSE),"")</f>
        <v/>
      </c>
      <c r="E264" s="15">
        <f>IFERROR(VLOOKUP($B264,Community_Master!$A$2:$K$100,5,FALSE),"")</f>
        <v/>
      </c>
      <c r="F264" s="15">
        <f>IFERROR(VLOOKUP($B264,Community_Master!$A$2:$K$100,6,FALSE),"")</f>
        <v/>
      </c>
      <c r="G264" s="15">
        <f>IFERROR(VLOOKUP($B264,Community_Master!$A$2:$K$100,8,FALSE),"")</f>
        <v/>
      </c>
      <c r="H264" s="15">
        <f>IFERROR(VLOOKUP($B264,Community_Master!$A$2:$K$100,7,FALSE),"")</f>
        <v/>
      </c>
      <c r="I264" s="15" t="n"/>
      <c r="J264" s="15" t="n"/>
      <c r="K264" s="15" t="n"/>
      <c r="L264" s="15">
        <f>IF($H264="","",MAX($H264-$I264,0))</f>
        <v/>
      </c>
      <c r="M264" s="6">
        <f>IF($H264="","",IFERROR($I264/$H264,""))</f>
        <v/>
      </c>
      <c r="N264" s="6">
        <f>IF($H264="","",IFERROR($J264/$H264,""))</f>
        <v/>
      </c>
      <c r="O264" s="6" t="n"/>
      <c r="P264" s="7" t="n"/>
      <c r="Q264" s="7" t="n"/>
      <c r="R264" s="7" t="n"/>
      <c r="S264" s="7" t="n"/>
      <c r="T264" s="7">
        <f>IF($H264="","",IFERROR($H264*$P264,""))</f>
        <v/>
      </c>
      <c r="U264" s="7" t="n"/>
      <c r="V264" s="7" t="n"/>
      <c r="W264" s="7" t="n"/>
      <c r="X264" s="7">
        <f>IF(OR($U264="",$W264=""),"",($U264+$V264)-$W264)</f>
        <v/>
      </c>
      <c r="Y264" s="8" t="n"/>
      <c r="Z264" s="8" t="n"/>
      <c r="AA264" s="8" t="n"/>
      <c r="AB264" s="8" t="n"/>
      <c r="AC264" s="8" t="n"/>
      <c r="AD264" s="8" t="n"/>
      <c r="AE264" s="8" t="n"/>
      <c r="AF264" s="8" t="n"/>
      <c r="AG264" s="8" t="n"/>
      <c r="AH264" s="8" t="n"/>
      <c r="AI264" s="9" t="n"/>
      <c r="AJ264" s="8" t="n"/>
      <c r="AK264" s="8" t="n"/>
      <c r="AL264" s="15" t="n"/>
      <c r="AM264" s="15" t="n"/>
      <c r="AN264" s="15" t="n"/>
      <c r="AO264" s="15" t="n"/>
      <c r="AP264" s="10" t="n"/>
      <c r="AQ264" s="15">
        <f>IF($B264="","",IF(OR(ISERROR(MATCH($B264,Community_Master!$A$2:$A$100,0)),$A264="",AND($H264&lt;&gt;"",$I264&gt;$H264),AND($H264&lt;&gt;"",$J264&gt;$H264),$I264&lt;0,$J264&lt;0,$K264&lt;0,$P264&lt;0,$Q264&lt;0,$Y264&lt;0,$Z264&lt;0,$AA264&lt;0,$AB264&lt;0,$AC264&lt;0),"ERROR","OK"))</f>
        <v/>
      </c>
      <c r="AR264" s="15">
        <f>IF($B264="","",TRIM(IF(ISERROR(MATCH($B264,Community_Master!$A$2:$A$100,0)),"Invalid Community_ID; ","")&amp;IF($A264="","Missing Report_Month; ","")&amp;IF(AND($H264&lt;&gt;"",$I264&gt;$H264),"Occupied_Units greater than Total_Units; ","")&amp;IF(AND($H264&lt;&gt;"",$J264&gt;$H264),"Leased_Units greater than Total_Units; ","")&amp;IF($I264&lt;0,"Occupied_Units negative; ","")&amp;IF($J264&lt;0,"Leased_Units negative; ","")&amp;IF($P264&lt;0,"Avg_Market_Rent negative; ","")))</f>
        <v/>
      </c>
    </row>
    <row r="265" ht="15" customHeight="1">
      <c r="A265" s="5" t="n"/>
      <c r="B265" s="15" t="n"/>
      <c r="C265" s="15">
        <f>IFERROR(VLOOKUP($B265,Community_Master!$A$2:$K$100,2,FALSE),"")</f>
        <v/>
      </c>
      <c r="D265" s="15">
        <f>IFERROR(VLOOKUP($B265,Community_Master!$A$2:$K$100,4,FALSE),"")</f>
        <v/>
      </c>
      <c r="E265" s="15">
        <f>IFERROR(VLOOKUP($B265,Community_Master!$A$2:$K$100,5,FALSE),"")</f>
        <v/>
      </c>
      <c r="F265" s="15">
        <f>IFERROR(VLOOKUP($B265,Community_Master!$A$2:$K$100,6,FALSE),"")</f>
        <v/>
      </c>
      <c r="G265" s="15">
        <f>IFERROR(VLOOKUP($B265,Community_Master!$A$2:$K$100,8,FALSE),"")</f>
        <v/>
      </c>
      <c r="H265" s="15">
        <f>IFERROR(VLOOKUP($B265,Community_Master!$A$2:$K$100,7,FALSE),"")</f>
        <v/>
      </c>
      <c r="I265" s="15" t="n"/>
      <c r="J265" s="15" t="n"/>
      <c r="K265" s="15" t="n"/>
      <c r="L265" s="15">
        <f>IF($H265="","",MAX($H265-$I265,0))</f>
        <v/>
      </c>
      <c r="M265" s="6">
        <f>IF($H265="","",IFERROR($I265/$H265,""))</f>
        <v/>
      </c>
      <c r="N265" s="6">
        <f>IF($H265="","",IFERROR($J265/$H265,""))</f>
        <v/>
      </c>
      <c r="O265" s="6" t="n"/>
      <c r="P265" s="7" t="n"/>
      <c r="Q265" s="7" t="n"/>
      <c r="R265" s="7" t="n"/>
      <c r="S265" s="7" t="n"/>
      <c r="T265" s="7">
        <f>IF($H265="","",IFERROR($H265*$P265,""))</f>
        <v/>
      </c>
      <c r="U265" s="7" t="n"/>
      <c r="V265" s="7" t="n"/>
      <c r="W265" s="7" t="n"/>
      <c r="X265" s="7">
        <f>IF(OR($U265="",$W265=""),"",($U265+$V265)-$W265)</f>
        <v/>
      </c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9" t="n"/>
      <c r="AJ265" s="8" t="n"/>
      <c r="AK265" s="8" t="n"/>
      <c r="AL265" s="15" t="n"/>
      <c r="AM265" s="15" t="n"/>
      <c r="AN265" s="15" t="n"/>
      <c r="AO265" s="15" t="n"/>
      <c r="AP265" s="10" t="n"/>
      <c r="AQ265" s="15">
        <f>IF($B265="","",IF(OR(ISERROR(MATCH($B265,Community_Master!$A$2:$A$100,0)),$A265="",AND($H265&lt;&gt;"",$I265&gt;$H265),AND($H265&lt;&gt;"",$J265&gt;$H265),$I265&lt;0,$J265&lt;0,$K265&lt;0,$P265&lt;0,$Q265&lt;0,$Y265&lt;0,$Z265&lt;0,$AA265&lt;0,$AB265&lt;0,$AC265&lt;0),"ERROR","OK"))</f>
        <v/>
      </c>
      <c r="AR265" s="15">
        <f>IF($B265="","",TRIM(IF(ISERROR(MATCH($B265,Community_Master!$A$2:$A$100,0)),"Invalid Community_ID; ","")&amp;IF($A265="","Missing Report_Month; ","")&amp;IF(AND($H265&lt;&gt;"",$I265&gt;$H265),"Occupied_Units greater than Total_Units; ","")&amp;IF(AND($H265&lt;&gt;"",$J265&gt;$H265),"Leased_Units greater than Total_Units; ","")&amp;IF($I265&lt;0,"Occupied_Units negative; ","")&amp;IF($J265&lt;0,"Leased_Units negative; ","")&amp;IF($P265&lt;0,"Avg_Market_Rent negative; ","")))</f>
        <v/>
      </c>
    </row>
    <row r="266" ht="15" customHeight="1">
      <c r="A266" s="5" t="n"/>
      <c r="B266" s="15" t="n"/>
      <c r="C266" s="15">
        <f>IFERROR(VLOOKUP($B266,Community_Master!$A$2:$K$100,2,FALSE),"")</f>
        <v/>
      </c>
      <c r="D266" s="15">
        <f>IFERROR(VLOOKUP($B266,Community_Master!$A$2:$K$100,4,FALSE),"")</f>
        <v/>
      </c>
      <c r="E266" s="15">
        <f>IFERROR(VLOOKUP($B266,Community_Master!$A$2:$K$100,5,FALSE),"")</f>
        <v/>
      </c>
      <c r="F266" s="15">
        <f>IFERROR(VLOOKUP($B266,Community_Master!$A$2:$K$100,6,FALSE),"")</f>
        <v/>
      </c>
      <c r="G266" s="15">
        <f>IFERROR(VLOOKUP($B266,Community_Master!$A$2:$K$100,8,FALSE),"")</f>
        <v/>
      </c>
      <c r="H266" s="15">
        <f>IFERROR(VLOOKUP($B266,Community_Master!$A$2:$K$100,7,FALSE),"")</f>
        <v/>
      </c>
      <c r="I266" s="15" t="n"/>
      <c r="J266" s="15" t="n"/>
      <c r="K266" s="15" t="n"/>
      <c r="L266" s="15">
        <f>IF($H266="","",MAX($H266-$I266,0))</f>
        <v/>
      </c>
      <c r="M266" s="6">
        <f>IF($H266="","",IFERROR($I266/$H266,""))</f>
        <v/>
      </c>
      <c r="N266" s="6">
        <f>IF($H266="","",IFERROR($J266/$H266,""))</f>
        <v/>
      </c>
      <c r="O266" s="6" t="n"/>
      <c r="P266" s="7" t="n"/>
      <c r="Q266" s="7" t="n"/>
      <c r="R266" s="7" t="n"/>
      <c r="S266" s="7" t="n"/>
      <c r="T266" s="7">
        <f>IF($H266="","",IFERROR($H266*$P266,""))</f>
        <v/>
      </c>
      <c r="U266" s="7" t="n"/>
      <c r="V266" s="7" t="n"/>
      <c r="W266" s="7" t="n"/>
      <c r="X266" s="7">
        <f>IF(OR($U266="",$W266=""),"",($U266+$V266)-$W266)</f>
        <v/>
      </c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9" t="n"/>
      <c r="AJ266" s="8" t="n"/>
      <c r="AK266" s="8" t="n"/>
      <c r="AL266" s="15" t="n"/>
      <c r="AM266" s="15" t="n"/>
      <c r="AN266" s="15" t="n"/>
      <c r="AO266" s="15" t="n"/>
      <c r="AP266" s="10" t="n"/>
      <c r="AQ266" s="15">
        <f>IF($B266="","",IF(OR(ISERROR(MATCH($B266,Community_Master!$A$2:$A$100,0)),$A266="",AND($H266&lt;&gt;"",$I266&gt;$H266),AND($H266&lt;&gt;"",$J266&gt;$H266),$I266&lt;0,$J266&lt;0,$K266&lt;0,$P266&lt;0,$Q266&lt;0,$Y266&lt;0,$Z266&lt;0,$AA266&lt;0,$AB266&lt;0,$AC266&lt;0),"ERROR","OK"))</f>
        <v/>
      </c>
      <c r="AR266" s="15">
        <f>IF($B266="","",TRIM(IF(ISERROR(MATCH($B266,Community_Master!$A$2:$A$100,0)),"Invalid Community_ID; ","")&amp;IF($A266="","Missing Report_Month; ","")&amp;IF(AND($H266&lt;&gt;"",$I266&gt;$H266),"Occupied_Units greater than Total_Units; ","")&amp;IF(AND($H266&lt;&gt;"",$J266&gt;$H266),"Leased_Units greater than Total_Units; ","")&amp;IF($I266&lt;0,"Occupied_Units negative; ","")&amp;IF($J266&lt;0,"Leased_Units negative; ","")&amp;IF($P266&lt;0,"Avg_Market_Rent negative; ","")))</f>
        <v/>
      </c>
    </row>
    <row r="267" ht="15" customHeight="1">
      <c r="A267" s="5" t="n"/>
      <c r="B267" s="15" t="n"/>
      <c r="C267" s="15">
        <f>IFERROR(VLOOKUP($B267,Community_Master!$A$2:$K$100,2,FALSE),"")</f>
        <v/>
      </c>
      <c r="D267" s="15">
        <f>IFERROR(VLOOKUP($B267,Community_Master!$A$2:$K$100,4,FALSE),"")</f>
        <v/>
      </c>
      <c r="E267" s="15">
        <f>IFERROR(VLOOKUP($B267,Community_Master!$A$2:$K$100,5,FALSE),"")</f>
        <v/>
      </c>
      <c r="F267" s="15">
        <f>IFERROR(VLOOKUP($B267,Community_Master!$A$2:$K$100,6,FALSE),"")</f>
        <v/>
      </c>
      <c r="G267" s="15">
        <f>IFERROR(VLOOKUP($B267,Community_Master!$A$2:$K$100,8,FALSE),"")</f>
        <v/>
      </c>
      <c r="H267" s="15">
        <f>IFERROR(VLOOKUP($B267,Community_Master!$A$2:$K$100,7,FALSE),"")</f>
        <v/>
      </c>
      <c r="I267" s="15" t="n"/>
      <c r="J267" s="15" t="n"/>
      <c r="K267" s="15" t="n"/>
      <c r="L267" s="15">
        <f>IF($H267="","",MAX($H267-$I267,0))</f>
        <v/>
      </c>
      <c r="M267" s="6">
        <f>IF($H267="","",IFERROR($I267/$H267,""))</f>
        <v/>
      </c>
      <c r="N267" s="6">
        <f>IF($H267="","",IFERROR($J267/$H267,""))</f>
        <v/>
      </c>
      <c r="O267" s="6" t="n"/>
      <c r="P267" s="7" t="n"/>
      <c r="Q267" s="7" t="n"/>
      <c r="R267" s="7" t="n"/>
      <c r="S267" s="7" t="n"/>
      <c r="T267" s="7">
        <f>IF($H267="","",IFERROR($H267*$P267,""))</f>
        <v/>
      </c>
      <c r="U267" s="7" t="n"/>
      <c r="V267" s="7" t="n"/>
      <c r="W267" s="7" t="n"/>
      <c r="X267" s="7">
        <f>IF(OR($U267="",$W267=""),"",($U267+$V267)-$W267)</f>
        <v/>
      </c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9" t="n"/>
      <c r="AJ267" s="8" t="n"/>
      <c r="AK267" s="8" t="n"/>
      <c r="AL267" s="15" t="n"/>
      <c r="AM267" s="15" t="n"/>
      <c r="AN267" s="15" t="n"/>
      <c r="AO267" s="15" t="n"/>
      <c r="AP267" s="10" t="n"/>
      <c r="AQ267" s="15">
        <f>IF($B267="","",IF(OR(ISERROR(MATCH($B267,Community_Master!$A$2:$A$100,0)),$A267="",AND($H267&lt;&gt;"",$I267&gt;$H267),AND($H267&lt;&gt;"",$J267&gt;$H267),$I267&lt;0,$J267&lt;0,$K267&lt;0,$P267&lt;0,$Q267&lt;0,$Y267&lt;0,$Z267&lt;0,$AA267&lt;0,$AB267&lt;0,$AC267&lt;0),"ERROR","OK"))</f>
        <v/>
      </c>
      <c r="AR267" s="15">
        <f>IF($B267="","",TRIM(IF(ISERROR(MATCH($B267,Community_Master!$A$2:$A$100,0)),"Invalid Community_ID; ","")&amp;IF($A267="","Missing Report_Month; ","")&amp;IF(AND($H267&lt;&gt;"",$I267&gt;$H267),"Occupied_Units greater than Total_Units; ","")&amp;IF(AND($H267&lt;&gt;"",$J267&gt;$H267),"Leased_Units greater than Total_Units; ","")&amp;IF($I267&lt;0,"Occupied_Units negative; ","")&amp;IF($J267&lt;0,"Leased_Units negative; ","")&amp;IF($P267&lt;0,"Avg_Market_Rent negative; ","")))</f>
        <v/>
      </c>
    </row>
    <row r="268" ht="15" customHeight="1">
      <c r="A268" s="5" t="n"/>
      <c r="B268" s="15" t="n"/>
      <c r="C268" s="15">
        <f>IFERROR(VLOOKUP($B268,Community_Master!$A$2:$K$100,2,FALSE),"")</f>
        <v/>
      </c>
      <c r="D268" s="15">
        <f>IFERROR(VLOOKUP($B268,Community_Master!$A$2:$K$100,4,FALSE),"")</f>
        <v/>
      </c>
      <c r="E268" s="15">
        <f>IFERROR(VLOOKUP($B268,Community_Master!$A$2:$K$100,5,FALSE),"")</f>
        <v/>
      </c>
      <c r="F268" s="15">
        <f>IFERROR(VLOOKUP($B268,Community_Master!$A$2:$K$100,6,FALSE),"")</f>
        <v/>
      </c>
      <c r="G268" s="15">
        <f>IFERROR(VLOOKUP($B268,Community_Master!$A$2:$K$100,8,FALSE),"")</f>
        <v/>
      </c>
      <c r="H268" s="15">
        <f>IFERROR(VLOOKUP($B268,Community_Master!$A$2:$K$100,7,FALSE),"")</f>
        <v/>
      </c>
      <c r="I268" s="15" t="n"/>
      <c r="J268" s="15" t="n"/>
      <c r="K268" s="15" t="n"/>
      <c r="L268" s="15">
        <f>IF($H268="","",MAX($H268-$I268,0))</f>
        <v/>
      </c>
      <c r="M268" s="6">
        <f>IF($H268="","",IFERROR($I268/$H268,""))</f>
        <v/>
      </c>
      <c r="N268" s="6">
        <f>IF($H268="","",IFERROR($J268/$H268,""))</f>
        <v/>
      </c>
      <c r="O268" s="6" t="n"/>
      <c r="P268" s="7" t="n"/>
      <c r="Q268" s="7" t="n"/>
      <c r="R268" s="7" t="n"/>
      <c r="S268" s="7" t="n"/>
      <c r="T268" s="7">
        <f>IF($H268="","",IFERROR($H268*$P268,""))</f>
        <v/>
      </c>
      <c r="U268" s="7" t="n"/>
      <c r="V268" s="7" t="n"/>
      <c r="W268" s="7" t="n"/>
      <c r="X268" s="7">
        <f>IF(OR($U268="",$W268=""),"",($U268+$V268)-$W268)</f>
        <v/>
      </c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9" t="n"/>
      <c r="AJ268" s="8" t="n"/>
      <c r="AK268" s="8" t="n"/>
      <c r="AL268" s="15" t="n"/>
      <c r="AM268" s="15" t="n"/>
      <c r="AN268" s="15" t="n"/>
      <c r="AO268" s="15" t="n"/>
      <c r="AP268" s="10" t="n"/>
      <c r="AQ268" s="15">
        <f>IF($B268="","",IF(OR(ISERROR(MATCH($B268,Community_Master!$A$2:$A$100,0)),$A268="",AND($H268&lt;&gt;"",$I268&gt;$H268),AND($H268&lt;&gt;"",$J268&gt;$H268),$I268&lt;0,$J268&lt;0,$K268&lt;0,$P268&lt;0,$Q268&lt;0,$Y268&lt;0,$Z268&lt;0,$AA268&lt;0,$AB268&lt;0,$AC268&lt;0),"ERROR","OK"))</f>
        <v/>
      </c>
      <c r="AR268" s="15">
        <f>IF($B268="","",TRIM(IF(ISERROR(MATCH($B268,Community_Master!$A$2:$A$100,0)),"Invalid Community_ID; ","")&amp;IF($A268="","Missing Report_Month; ","")&amp;IF(AND($H268&lt;&gt;"",$I268&gt;$H268),"Occupied_Units greater than Total_Units; ","")&amp;IF(AND($H268&lt;&gt;"",$J268&gt;$H268),"Leased_Units greater than Total_Units; ","")&amp;IF($I268&lt;0,"Occupied_Units negative; ","")&amp;IF($J268&lt;0,"Leased_Units negative; ","")&amp;IF($P268&lt;0,"Avg_Market_Rent negative; ","")))</f>
        <v/>
      </c>
    </row>
    <row r="269" ht="15" customHeight="1">
      <c r="A269" s="5" t="n"/>
      <c r="B269" s="15" t="n"/>
      <c r="C269" s="15">
        <f>IFERROR(VLOOKUP($B269,Community_Master!$A$2:$K$100,2,FALSE),"")</f>
        <v/>
      </c>
      <c r="D269" s="15">
        <f>IFERROR(VLOOKUP($B269,Community_Master!$A$2:$K$100,4,FALSE),"")</f>
        <v/>
      </c>
      <c r="E269" s="15">
        <f>IFERROR(VLOOKUP($B269,Community_Master!$A$2:$K$100,5,FALSE),"")</f>
        <v/>
      </c>
      <c r="F269" s="15">
        <f>IFERROR(VLOOKUP($B269,Community_Master!$A$2:$K$100,6,FALSE),"")</f>
        <v/>
      </c>
      <c r="G269" s="15">
        <f>IFERROR(VLOOKUP($B269,Community_Master!$A$2:$K$100,8,FALSE),"")</f>
        <v/>
      </c>
      <c r="H269" s="15">
        <f>IFERROR(VLOOKUP($B269,Community_Master!$A$2:$K$100,7,FALSE),"")</f>
        <v/>
      </c>
      <c r="I269" s="15" t="n"/>
      <c r="J269" s="15" t="n"/>
      <c r="K269" s="15" t="n"/>
      <c r="L269" s="15">
        <f>IF($H269="","",MAX($H269-$I269,0))</f>
        <v/>
      </c>
      <c r="M269" s="6">
        <f>IF($H269="","",IFERROR($I269/$H269,""))</f>
        <v/>
      </c>
      <c r="N269" s="6">
        <f>IF($H269="","",IFERROR($J269/$H269,""))</f>
        <v/>
      </c>
      <c r="O269" s="6" t="n"/>
      <c r="P269" s="7" t="n"/>
      <c r="Q269" s="7" t="n"/>
      <c r="R269" s="7" t="n"/>
      <c r="S269" s="7" t="n"/>
      <c r="T269" s="7">
        <f>IF($H269="","",IFERROR($H269*$P269,""))</f>
        <v/>
      </c>
      <c r="U269" s="7" t="n"/>
      <c r="V269" s="7" t="n"/>
      <c r="W269" s="7" t="n"/>
      <c r="X269" s="7">
        <f>IF(OR($U269="",$W269=""),"",($U269+$V269)-$W269)</f>
        <v/>
      </c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9" t="n"/>
      <c r="AJ269" s="8" t="n"/>
      <c r="AK269" s="8" t="n"/>
      <c r="AL269" s="15" t="n"/>
      <c r="AM269" s="15" t="n"/>
      <c r="AN269" s="15" t="n"/>
      <c r="AO269" s="15" t="n"/>
      <c r="AP269" s="10" t="n"/>
      <c r="AQ269" s="15">
        <f>IF($B269="","",IF(OR(ISERROR(MATCH($B269,Community_Master!$A$2:$A$100,0)),$A269="",AND($H269&lt;&gt;"",$I269&gt;$H269),AND($H269&lt;&gt;"",$J269&gt;$H269),$I269&lt;0,$J269&lt;0,$K269&lt;0,$P269&lt;0,$Q269&lt;0,$Y269&lt;0,$Z269&lt;0,$AA269&lt;0,$AB269&lt;0,$AC269&lt;0),"ERROR","OK"))</f>
        <v/>
      </c>
      <c r="AR269" s="15">
        <f>IF($B269="","",TRIM(IF(ISERROR(MATCH($B269,Community_Master!$A$2:$A$100,0)),"Invalid Community_ID; ","")&amp;IF($A269="","Missing Report_Month; ","")&amp;IF(AND($H269&lt;&gt;"",$I269&gt;$H269),"Occupied_Units greater than Total_Units; ","")&amp;IF(AND($H269&lt;&gt;"",$J269&gt;$H269),"Leased_Units greater than Total_Units; ","")&amp;IF($I269&lt;0,"Occupied_Units negative; ","")&amp;IF($J269&lt;0,"Leased_Units negative; ","")&amp;IF($P269&lt;0,"Avg_Market_Rent negative; ","")))</f>
        <v/>
      </c>
    </row>
    <row r="270" ht="15" customHeight="1">
      <c r="A270" s="5" t="n"/>
      <c r="B270" s="15" t="n"/>
      <c r="C270" s="15">
        <f>IFERROR(VLOOKUP($B270,Community_Master!$A$2:$K$100,2,FALSE),"")</f>
        <v/>
      </c>
      <c r="D270" s="15">
        <f>IFERROR(VLOOKUP($B270,Community_Master!$A$2:$K$100,4,FALSE),"")</f>
        <v/>
      </c>
      <c r="E270" s="15">
        <f>IFERROR(VLOOKUP($B270,Community_Master!$A$2:$K$100,5,FALSE),"")</f>
        <v/>
      </c>
      <c r="F270" s="15">
        <f>IFERROR(VLOOKUP($B270,Community_Master!$A$2:$K$100,6,FALSE),"")</f>
        <v/>
      </c>
      <c r="G270" s="15">
        <f>IFERROR(VLOOKUP($B270,Community_Master!$A$2:$K$100,8,FALSE),"")</f>
        <v/>
      </c>
      <c r="H270" s="15">
        <f>IFERROR(VLOOKUP($B270,Community_Master!$A$2:$K$100,7,FALSE),"")</f>
        <v/>
      </c>
      <c r="I270" s="15" t="n"/>
      <c r="J270" s="15" t="n"/>
      <c r="K270" s="15" t="n"/>
      <c r="L270" s="15">
        <f>IF($H270="","",MAX($H270-$I270,0))</f>
        <v/>
      </c>
      <c r="M270" s="6">
        <f>IF($H270="","",IFERROR($I270/$H270,""))</f>
        <v/>
      </c>
      <c r="N270" s="6">
        <f>IF($H270="","",IFERROR($J270/$H270,""))</f>
        <v/>
      </c>
      <c r="O270" s="6" t="n"/>
      <c r="P270" s="7" t="n"/>
      <c r="Q270" s="7" t="n"/>
      <c r="R270" s="7" t="n"/>
      <c r="S270" s="7" t="n"/>
      <c r="T270" s="7">
        <f>IF($H270="","",IFERROR($H270*$P270,""))</f>
        <v/>
      </c>
      <c r="U270" s="7" t="n"/>
      <c r="V270" s="7" t="n"/>
      <c r="W270" s="7" t="n"/>
      <c r="X270" s="7">
        <f>IF(OR($U270="",$W270=""),"",($U270+$V270)-$W270)</f>
        <v/>
      </c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9" t="n"/>
      <c r="AJ270" s="8" t="n"/>
      <c r="AK270" s="8" t="n"/>
      <c r="AL270" s="15" t="n"/>
      <c r="AM270" s="15" t="n"/>
      <c r="AN270" s="15" t="n"/>
      <c r="AO270" s="15" t="n"/>
      <c r="AP270" s="10" t="n"/>
      <c r="AQ270" s="15">
        <f>IF($B270="","",IF(OR(ISERROR(MATCH($B270,Community_Master!$A$2:$A$100,0)),$A270="",AND($H270&lt;&gt;"",$I270&gt;$H270),AND($H270&lt;&gt;"",$J270&gt;$H270),$I270&lt;0,$J270&lt;0,$K270&lt;0,$P270&lt;0,$Q270&lt;0,$Y270&lt;0,$Z270&lt;0,$AA270&lt;0,$AB270&lt;0,$AC270&lt;0),"ERROR","OK"))</f>
        <v/>
      </c>
      <c r="AR270" s="15">
        <f>IF($B270="","",TRIM(IF(ISERROR(MATCH($B270,Community_Master!$A$2:$A$100,0)),"Invalid Community_ID; ","")&amp;IF($A270="","Missing Report_Month; ","")&amp;IF(AND($H270&lt;&gt;"",$I270&gt;$H270),"Occupied_Units greater than Total_Units; ","")&amp;IF(AND($H270&lt;&gt;"",$J270&gt;$H270),"Leased_Units greater than Total_Units; ","")&amp;IF($I270&lt;0,"Occupied_Units negative; ","")&amp;IF($J270&lt;0,"Leased_Units negative; ","")&amp;IF($P270&lt;0,"Avg_Market_Rent negative; ","")))</f>
        <v/>
      </c>
    </row>
    <row r="271" ht="15" customHeight="1">
      <c r="A271" s="5" t="n"/>
      <c r="B271" s="15" t="n"/>
      <c r="C271" s="15">
        <f>IFERROR(VLOOKUP($B271,Community_Master!$A$2:$K$100,2,FALSE),"")</f>
        <v/>
      </c>
      <c r="D271" s="15">
        <f>IFERROR(VLOOKUP($B271,Community_Master!$A$2:$K$100,4,FALSE),"")</f>
        <v/>
      </c>
      <c r="E271" s="15">
        <f>IFERROR(VLOOKUP($B271,Community_Master!$A$2:$K$100,5,FALSE),"")</f>
        <v/>
      </c>
      <c r="F271" s="15">
        <f>IFERROR(VLOOKUP($B271,Community_Master!$A$2:$K$100,6,FALSE),"")</f>
        <v/>
      </c>
      <c r="G271" s="15">
        <f>IFERROR(VLOOKUP($B271,Community_Master!$A$2:$K$100,8,FALSE),"")</f>
        <v/>
      </c>
      <c r="H271" s="15">
        <f>IFERROR(VLOOKUP($B271,Community_Master!$A$2:$K$100,7,FALSE),"")</f>
        <v/>
      </c>
      <c r="I271" s="15" t="n"/>
      <c r="J271" s="15" t="n"/>
      <c r="K271" s="15" t="n"/>
      <c r="L271" s="15">
        <f>IF($H271="","",MAX($H271-$I271,0))</f>
        <v/>
      </c>
      <c r="M271" s="6">
        <f>IF($H271="","",IFERROR($I271/$H271,""))</f>
        <v/>
      </c>
      <c r="N271" s="6">
        <f>IF($H271="","",IFERROR($J271/$H271,""))</f>
        <v/>
      </c>
      <c r="O271" s="6" t="n"/>
      <c r="P271" s="7" t="n"/>
      <c r="Q271" s="7" t="n"/>
      <c r="R271" s="7" t="n"/>
      <c r="S271" s="7" t="n"/>
      <c r="T271" s="7">
        <f>IF($H271="","",IFERROR($H271*$P271,""))</f>
        <v/>
      </c>
      <c r="U271" s="7" t="n"/>
      <c r="V271" s="7" t="n"/>
      <c r="W271" s="7" t="n"/>
      <c r="X271" s="7">
        <f>IF(OR($U271="",$W271=""),"",($U271+$V271)-$W271)</f>
        <v/>
      </c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9" t="n"/>
      <c r="AJ271" s="8" t="n"/>
      <c r="AK271" s="8" t="n"/>
      <c r="AL271" s="15" t="n"/>
      <c r="AM271" s="15" t="n"/>
      <c r="AN271" s="15" t="n"/>
      <c r="AO271" s="15" t="n"/>
      <c r="AP271" s="10" t="n"/>
      <c r="AQ271" s="15">
        <f>IF($B271="","",IF(OR(ISERROR(MATCH($B271,Community_Master!$A$2:$A$100,0)),$A271="",AND($H271&lt;&gt;"",$I271&gt;$H271),AND($H271&lt;&gt;"",$J271&gt;$H271),$I271&lt;0,$J271&lt;0,$K271&lt;0,$P271&lt;0,$Q271&lt;0,$Y271&lt;0,$Z271&lt;0,$AA271&lt;0,$AB271&lt;0,$AC271&lt;0),"ERROR","OK"))</f>
        <v/>
      </c>
      <c r="AR271" s="15">
        <f>IF($B271="","",TRIM(IF(ISERROR(MATCH($B271,Community_Master!$A$2:$A$100,0)),"Invalid Community_ID; ","")&amp;IF($A271="","Missing Report_Month; ","")&amp;IF(AND($H271&lt;&gt;"",$I271&gt;$H271),"Occupied_Units greater than Total_Units; ","")&amp;IF(AND($H271&lt;&gt;"",$J271&gt;$H271),"Leased_Units greater than Total_Units; ","")&amp;IF($I271&lt;0,"Occupied_Units negative; ","")&amp;IF($J271&lt;0,"Leased_Units negative; ","")&amp;IF($P271&lt;0,"Avg_Market_Rent negative; ","")))</f>
        <v/>
      </c>
    </row>
    <row r="272" ht="15" customHeight="1">
      <c r="A272" s="5" t="n"/>
      <c r="B272" s="15" t="n"/>
      <c r="C272" s="15">
        <f>IFERROR(VLOOKUP($B272,Community_Master!$A$2:$K$100,2,FALSE),"")</f>
        <v/>
      </c>
      <c r="D272" s="15">
        <f>IFERROR(VLOOKUP($B272,Community_Master!$A$2:$K$100,4,FALSE),"")</f>
        <v/>
      </c>
      <c r="E272" s="15">
        <f>IFERROR(VLOOKUP($B272,Community_Master!$A$2:$K$100,5,FALSE),"")</f>
        <v/>
      </c>
      <c r="F272" s="15">
        <f>IFERROR(VLOOKUP($B272,Community_Master!$A$2:$K$100,6,FALSE),"")</f>
        <v/>
      </c>
      <c r="G272" s="15">
        <f>IFERROR(VLOOKUP($B272,Community_Master!$A$2:$K$100,8,FALSE),"")</f>
        <v/>
      </c>
      <c r="H272" s="15">
        <f>IFERROR(VLOOKUP($B272,Community_Master!$A$2:$K$100,7,FALSE),"")</f>
        <v/>
      </c>
      <c r="I272" s="15" t="n"/>
      <c r="J272" s="15" t="n"/>
      <c r="K272" s="15" t="n"/>
      <c r="L272" s="15">
        <f>IF($H272="","",MAX($H272-$I272,0))</f>
        <v/>
      </c>
      <c r="M272" s="6">
        <f>IF($H272="","",IFERROR($I272/$H272,""))</f>
        <v/>
      </c>
      <c r="N272" s="6">
        <f>IF($H272="","",IFERROR($J272/$H272,""))</f>
        <v/>
      </c>
      <c r="O272" s="6" t="n"/>
      <c r="P272" s="7" t="n"/>
      <c r="Q272" s="7" t="n"/>
      <c r="R272" s="7" t="n"/>
      <c r="S272" s="7" t="n"/>
      <c r="T272" s="7">
        <f>IF($H272="","",IFERROR($H272*$P272,""))</f>
        <v/>
      </c>
      <c r="U272" s="7" t="n"/>
      <c r="V272" s="7" t="n"/>
      <c r="W272" s="7" t="n"/>
      <c r="X272" s="7">
        <f>IF(OR($U272="",$W272=""),"",($U272+$V272)-$W272)</f>
        <v/>
      </c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9" t="n"/>
      <c r="AJ272" s="8" t="n"/>
      <c r="AK272" s="8" t="n"/>
      <c r="AL272" s="15" t="n"/>
      <c r="AM272" s="15" t="n"/>
      <c r="AN272" s="15" t="n"/>
      <c r="AO272" s="15" t="n"/>
      <c r="AP272" s="10" t="n"/>
      <c r="AQ272" s="15">
        <f>IF($B272="","",IF(OR(ISERROR(MATCH($B272,Community_Master!$A$2:$A$100,0)),$A272="",AND($H272&lt;&gt;"",$I272&gt;$H272),AND($H272&lt;&gt;"",$J272&gt;$H272),$I272&lt;0,$J272&lt;0,$K272&lt;0,$P272&lt;0,$Q272&lt;0,$Y272&lt;0,$Z272&lt;0,$AA272&lt;0,$AB272&lt;0,$AC272&lt;0),"ERROR","OK"))</f>
        <v/>
      </c>
      <c r="AR272" s="15">
        <f>IF($B272="","",TRIM(IF(ISERROR(MATCH($B272,Community_Master!$A$2:$A$100,0)),"Invalid Community_ID; ","")&amp;IF($A272="","Missing Report_Month; ","")&amp;IF(AND($H272&lt;&gt;"",$I272&gt;$H272),"Occupied_Units greater than Total_Units; ","")&amp;IF(AND($H272&lt;&gt;"",$J272&gt;$H272),"Leased_Units greater than Total_Units; ","")&amp;IF($I272&lt;0,"Occupied_Units negative; ","")&amp;IF($J272&lt;0,"Leased_Units negative; ","")&amp;IF($P272&lt;0,"Avg_Market_Rent negative; ","")))</f>
        <v/>
      </c>
    </row>
    <row r="273" ht="15" customHeight="1">
      <c r="A273" s="5" t="n"/>
      <c r="B273" s="15" t="n"/>
      <c r="C273" s="15">
        <f>IFERROR(VLOOKUP($B273,Community_Master!$A$2:$K$100,2,FALSE),"")</f>
        <v/>
      </c>
      <c r="D273" s="15">
        <f>IFERROR(VLOOKUP($B273,Community_Master!$A$2:$K$100,4,FALSE),"")</f>
        <v/>
      </c>
      <c r="E273" s="15">
        <f>IFERROR(VLOOKUP($B273,Community_Master!$A$2:$K$100,5,FALSE),"")</f>
        <v/>
      </c>
      <c r="F273" s="15">
        <f>IFERROR(VLOOKUP($B273,Community_Master!$A$2:$K$100,6,FALSE),"")</f>
        <v/>
      </c>
      <c r="G273" s="15">
        <f>IFERROR(VLOOKUP($B273,Community_Master!$A$2:$K$100,8,FALSE),"")</f>
        <v/>
      </c>
      <c r="H273" s="15">
        <f>IFERROR(VLOOKUP($B273,Community_Master!$A$2:$K$100,7,FALSE),"")</f>
        <v/>
      </c>
      <c r="I273" s="15" t="n"/>
      <c r="J273" s="15" t="n"/>
      <c r="K273" s="15" t="n"/>
      <c r="L273" s="15">
        <f>IF($H273="","",MAX($H273-$I273,0))</f>
        <v/>
      </c>
      <c r="M273" s="6">
        <f>IF($H273="","",IFERROR($I273/$H273,""))</f>
        <v/>
      </c>
      <c r="N273" s="6">
        <f>IF($H273="","",IFERROR($J273/$H273,""))</f>
        <v/>
      </c>
      <c r="O273" s="6" t="n"/>
      <c r="P273" s="7" t="n"/>
      <c r="Q273" s="7" t="n"/>
      <c r="R273" s="7" t="n"/>
      <c r="S273" s="7" t="n"/>
      <c r="T273" s="7">
        <f>IF($H273="","",IFERROR($H273*$P273,""))</f>
        <v/>
      </c>
      <c r="U273" s="7" t="n"/>
      <c r="V273" s="7" t="n"/>
      <c r="W273" s="7" t="n"/>
      <c r="X273" s="7">
        <f>IF(OR($U273="",$W273=""),"",($U273+$V273)-$W273)</f>
        <v/>
      </c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9" t="n"/>
      <c r="AJ273" s="8" t="n"/>
      <c r="AK273" s="8" t="n"/>
      <c r="AL273" s="15" t="n"/>
      <c r="AM273" s="15" t="n"/>
      <c r="AN273" s="15" t="n"/>
      <c r="AO273" s="15" t="n"/>
      <c r="AP273" s="10" t="n"/>
      <c r="AQ273" s="15">
        <f>IF($B273="","",IF(OR(ISERROR(MATCH($B273,Community_Master!$A$2:$A$100,0)),$A273="",AND($H273&lt;&gt;"",$I273&gt;$H273),AND($H273&lt;&gt;"",$J273&gt;$H273),$I273&lt;0,$J273&lt;0,$K273&lt;0,$P273&lt;0,$Q273&lt;0,$Y273&lt;0,$Z273&lt;0,$AA273&lt;0,$AB273&lt;0,$AC273&lt;0),"ERROR","OK"))</f>
        <v/>
      </c>
      <c r="AR273" s="15">
        <f>IF($B273="","",TRIM(IF(ISERROR(MATCH($B273,Community_Master!$A$2:$A$100,0)),"Invalid Community_ID; ","")&amp;IF($A273="","Missing Report_Month; ","")&amp;IF(AND($H273&lt;&gt;"",$I273&gt;$H273),"Occupied_Units greater than Total_Units; ","")&amp;IF(AND($H273&lt;&gt;"",$J273&gt;$H273),"Leased_Units greater than Total_Units; ","")&amp;IF($I273&lt;0,"Occupied_Units negative; ","")&amp;IF($J273&lt;0,"Leased_Units negative; ","")&amp;IF($P273&lt;0,"Avg_Market_Rent negative; ","")))</f>
        <v/>
      </c>
    </row>
    <row r="274" ht="15" customHeight="1">
      <c r="A274" s="5" t="n"/>
      <c r="B274" s="15" t="n"/>
      <c r="C274" s="15">
        <f>IFERROR(VLOOKUP($B274,Community_Master!$A$2:$K$100,2,FALSE),"")</f>
        <v/>
      </c>
      <c r="D274" s="15">
        <f>IFERROR(VLOOKUP($B274,Community_Master!$A$2:$K$100,4,FALSE),"")</f>
        <v/>
      </c>
      <c r="E274" s="15">
        <f>IFERROR(VLOOKUP($B274,Community_Master!$A$2:$K$100,5,FALSE),"")</f>
        <v/>
      </c>
      <c r="F274" s="15">
        <f>IFERROR(VLOOKUP($B274,Community_Master!$A$2:$K$100,6,FALSE),"")</f>
        <v/>
      </c>
      <c r="G274" s="15">
        <f>IFERROR(VLOOKUP($B274,Community_Master!$A$2:$K$100,8,FALSE),"")</f>
        <v/>
      </c>
      <c r="H274" s="15">
        <f>IFERROR(VLOOKUP($B274,Community_Master!$A$2:$K$100,7,FALSE),"")</f>
        <v/>
      </c>
      <c r="I274" s="15" t="n"/>
      <c r="J274" s="15" t="n"/>
      <c r="K274" s="15" t="n"/>
      <c r="L274" s="15">
        <f>IF($H274="","",MAX($H274-$I274,0))</f>
        <v/>
      </c>
      <c r="M274" s="6">
        <f>IF($H274="","",IFERROR($I274/$H274,""))</f>
        <v/>
      </c>
      <c r="N274" s="6">
        <f>IF($H274="","",IFERROR($J274/$H274,""))</f>
        <v/>
      </c>
      <c r="O274" s="6" t="n"/>
      <c r="P274" s="7" t="n"/>
      <c r="Q274" s="7" t="n"/>
      <c r="R274" s="7" t="n"/>
      <c r="S274" s="7" t="n"/>
      <c r="T274" s="7">
        <f>IF($H274="","",IFERROR($H274*$P274,""))</f>
        <v/>
      </c>
      <c r="U274" s="7" t="n"/>
      <c r="V274" s="7" t="n"/>
      <c r="W274" s="7" t="n"/>
      <c r="X274" s="7">
        <f>IF(OR($U274="",$W274=""),"",($U274+$V274)-$W274)</f>
        <v/>
      </c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9" t="n"/>
      <c r="AJ274" s="8" t="n"/>
      <c r="AK274" s="8" t="n"/>
      <c r="AL274" s="15" t="n"/>
      <c r="AM274" s="15" t="n"/>
      <c r="AN274" s="15" t="n"/>
      <c r="AO274" s="15" t="n"/>
      <c r="AP274" s="10" t="n"/>
      <c r="AQ274" s="15">
        <f>IF($B274="","",IF(OR(ISERROR(MATCH($B274,Community_Master!$A$2:$A$100,0)),$A274="",AND($H274&lt;&gt;"",$I274&gt;$H274),AND($H274&lt;&gt;"",$J274&gt;$H274),$I274&lt;0,$J274&lt;0,$K274&lt;0,$P274&lt;0,$Q274&lt;0,$Y274&lt;0,$Z274&lt;0,$AA274&lt;0,$AB274&lt;0,$AC274&lt;0),"ERROR","OK"))</f>
        <v/>
      </c>
      <c r="AR274" s="15">
        <f>IF($B274="","",TRIM(IF(ISERROR(MATCH($B274,Community_Master!$A$2:$A$100,0)),"Invalid Community_ID; ","")&amp;IF($A274="","Missing Report_Month; ","")&amp;IF(AND($H274&lt;&gt;"",$I274&gt;$H274),"Occupied_Units greater than Total_Units; ","")&amp;IF(AND($H274&lt;&gt;"",$J274&gt;$H274),"Leased_Units greater than Total_Units; ","")&amp;IF($I274&lt;0,"Occupied_Units negative; ","")&amp;IF($J274&lt;0,"Leased_Units negative; ","")&amp;IF($P274&lt;0,"Avg_Market_Rent negative; ","")))</f>
        <v/>
      </c>
    </row>
    <row r="275" ht="15" customHeight="1">
      <c r="A275" s="5" t="n"/>
      <c r="B275" s="15" t="n"/>
      <c r="C275" s="15">
        <f>IFERROR(VLOOKUP($B275,Community_Master!$A$2:$K$100,2,FALSE),"")</f>
        <v/>
      </c>
      <c r="D275" s="15">
        <f>IFERROR(VLOOKUP($B275,Community_Master!$A$2:$K$100,4,FALSE),"")</f>
        <v/>
      </c>
      <c r="E275" s="15">
        <f>IFERROR(VLOOKUP($B275,Community_Master!$A$2:$K$100,5,FALSE),"")</f>
        <v/>
      </c>
      <c r="F275" s="15">
        <f>IFERROR(VLOOKUP($B275,Community_Master!$A$2:$K$100,6,FALSE),"")</f>
        <v/>
      </c>
      <c r="G275" s="15">
        <f>IFERROR(VLOOKUP($B275,Community_Master!$A$2:$K$100,8,FALSE),"")</f>
        <v/>
      </c>
      <c r="H275" s="15">
        <f>IFERROR(VLOOKUP($B275,Community_Master!$A$2:$K$100,7,FALSE),"")</f>
        <v/>
      </c>
      <c r="I275" s="15" t="n"/>
      <c r="J275" s="15" t="n"/>
      <c r="K275" s="15" t="n"/>
      <c r="L275" s="15">
        <f>IF($H275="","",MAX($H275-$I275,0))</f>
        <v/>
      </c>
      <c r="M275" s="6">
        <f>IF($H275="","",IFERROR($I275/$H275,""))</f>
        <v/>
      </c>
      <c r="N275" s="6">
        <f>IF($H275="","",IFERROR($J275/$H275,""))</f>
        <v/>
      </c>
      <c r="O275" s="6" t="n"/>
      <c r="P275" s="7" t="n"/>
      <c r="Q275" s="7" t="n"/>
      <c r="R275" s="7" t="n"/>
      <c r="S275" s="7" t="n"/>
      <c r="T275" s="7">
        <f>IF($H275="","",IFERROR($H275*$P275,""))</f>
        <v/>
      </c>
      <c r="U275" s="7" t="n"/>
      <c r="V275" s="7" t="n"/>
      <c r="W275" s="7" t="n"/>
      <c r="X275" s="7">
        <f>IF(OR($U275="",$W275=""),"",($U275+$V275)-$W275)</f>
        <v/>
      </c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9" t="n"/>
      <c r="AJ275" s="8" t="n"/>
      <c r="AK275" s="8" t="n"/>
      <c r="AL275" s="15" t="n"/>
      <c r="AM275" s="15" t="n"/>
      <c r="AN275" s="15" t="n"/>
      <c r="AO275" s="15" t="n"/>
      <c r="AP275" s="10" t="n"/>
      <c r="AQ275" s="15">
        <f>IF($B275="","",IF(OR(ISERROR(MATCH($B275,Community_Master!$A$2:$A$100,0)),$A275="",AND($H275&lt;&gt;"",$I275&gt;$H275),AND($H275&lt;&gt;"",$J275&gt;$H275),$I275&lt;0,$J275&lt;0,$K275&lt;0,$P275&lt;0,$Q275&lt;0,$Y275&lt;0,$Z275&lt;0,$AA275&lt;0,$AB275&lt;0,$AC275&lt;0),"ERROR","OK"))</f>
        <v/>
      </c>
      <c r="AR275" s="15">
        <f>IF($B275="","",TRIM(IF(ISERROR(MATCH($B275,Community_Master!$A$2:$A$100,0)),"Invalid Community_ID; ","")&amp;IF($A275="","Missing Report_Month; ","")&amp;IF(AND($H275&lt;&gt;"",$I275&gt;$H275),"Occupied_Units greater than Total_Units; ","")&amp;IF(AND($H275&lt;&gt;"",$J275&gt;$H275),"Leased_Units greater than Total_Units; ","")&amp;IF($I275&lt;0,"Occupied_Units negative; ","")&amp;IF($J275&lt;0,"Leased_Units negative; ","")&amp;IF($P275&lt;0,"Avg_Market_Rent negative; ","")))</f>
        <v/>
      </c>
    </row>
    <row r="276" ht="15" customHeight="1">
      <c r="A276" s="5" t="n"/>
      <c r="B276" s="15" t="n"/>
      <c r="C276" s="15">
        <f>IFERROR(VLOOKUP($B276,Community_Master!$A$2:$K$100,2,FALSE),"")</f>
        <v/>
      </c>
      <c r="D276" s="15">
        <f>IFERROR(VLOOKUP($B276,Community_Master!$A$2:$K$100,4,FALSE),"")</f>
        <v/>
      </c>
      <c r="E276" s="15">
        <f>IFERROR(VLOOKUP($B276,Community_Master!$A$2:$K$100,5,FALSE),"")</f>
        <v/>
      </c>
      <c r="F276" s="15">
        <f>IFERROR(VLOOKUP($B276,Community_Master!$A$2:$K$100,6,FALSE),"")</f>
        <v/>
      </c>
      <c r="G276" s="15">
        <f>IFERROR(VLOOKUP($B276,Community_Master!$A$2:$K$100,8,FALSE),"")</f>
        <v/>
      </c>
      <c r="H276" s="15">
        <f>IFERROR(VLOOKUP($B276,Community_Master!$A$2:$K$100,7,FALSE),"")</f>
        <v/>
      </c>
      <c r="I276" s="15" t="n"/>
      <c r="J276" s="15" t="n"/>
      <c r="K276" s="15" t="n"/>
      <c r="L276" s="15">
        <f>IF($H276="","",MAX($H276-$I276,0))</f>
        <v/>
      </c>
      <c r="M276" s="6">
        <f>IF($H276="","",IFERROR($I276/$H276,""))</f>
        <v/>
      </c>
      <c r="N276" s="6">
        <f>IF($H276="","",IFERROR($J276/$H276,""))</f>
        <v/>
      </c>
      <c r="O276" s="6" t="n"/>
      <c r="P276" s="7" t="n"/>
      <c r="Q276" s="7" t="n"/>
      <c r="R276" s="7" t="n"/>
      <c r="S276" s="7" t="n"/>
      <c r="T276" s="7">
        <f>IF($H276="","",IFERROR($H276*$P276,""))</f>
        <v/>
      </c>
      <c r="U276" s="7" t="n"/>
      <c r="V276" s="7" t="n"/>
      <c r="W276" s="7" t="n"/>
      <c r="X276" s="7">
        <f>IF(OR($U276="",$W276=""),"",($U276+$V276)-$W276)</f>
        <v/>
      </c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9" t="n"/>
      <c r="AJ276" s="8" t="n"/>
      <c r="AK276" s="8" t="n"/>
      <c r="AL276" s="15" t="n"/>
      <c r="AM276" s="15" t="n"/>
      <c r="AN276" s="15" t="n"/>
      <c r="AO276" s="15" t="n"/>
      <c r="AP276" s="10" t="n"/>
      <c r="AQ276" s="15">
        <f>IF($B276="","",IF(OR(ISERROR(MATCH($B276,Community_Master!$A$2:$A$100,0)),$A276="",AND($H276&lt;&gt;"",$I276&gt;$H276),AND($H276&lt;&gt;"",$J276&gt;$H276),$I276&lt;0,$J276&lt;0,$K276&lt;0,$P276&lt;0,$Q276&lt;0,$Y276&lt;0,$Z276&lt;0,$AA276&lt;0,$AB276&lt;0,$AC276&lt;0),"ERROR","OK"))</f>
        <v/>
      </c>
      <c r="AR276" s="15">
        <f>IF($B276="","",TRIM(IF(ISERROR(MATCH($B276,Community_Master!$A$2:$A$100,0)),"Invalid Community_ID; ","")&amp;IF($A276="","Missing Report_Month; ","")&amp;IF(AND($H276&lt;&gt;"",$I276&gt;$H276),"Occupied_Units greater than Total_Units; ","")&amp;IF(AND($H276&lt;&gt;"",$J276&gt;$H276),"Leased_Units greater than Total_Units; ","")&amp;IF($I276&lt;0,"Occupied_Units negative; ","")&amp;IF($J276&lt;0,"Leased_Units negative; ","")&amp;IF($P276&lt;0,"Avg_Market_Rent negative; ","")))</f>
        <v/>
      </c>
    </row>
    <row r="277" ht="15" customHeight="1">
      <c r="A277" s="5" t="n"/>
      <c r="B277" s="15" t="n"/>
      <c r="C277" s="15">
        <f>IFERROR(VLOOKUP($B277,Community_Master!$A$2:$K$100,2,FALSE),"")</f>
        <v/>
      </c>
      <c r="D277" s="15">
        <f>IFERROR(VLOOKUP($B277,Community_Master!$A$2:$K$100,4,FALSE),"")</f>
        <v/>
      </c>
      <c r="E277" s="15">
        <f>IFERROR(VLOOKUP($B277,Community_Master!$A$2:$K$100,5,FALSE),"")</f>
        <v/>
      </c>
      <c r="F277" s="15">
        <f>IFERROR(VLOOKUP($B277,Community_Master!$A$2:$K$100,6,FALSE),"")</f>
        <v/>
      </c>
      <c r="G277" s="15">
        <f>IFERROR(VLOOKUP($B277,Community_Master!$A$2:$K$100,8,FALSE),"")</f>
        <v/>
      </c>
      <c r="H277" s="15">
        <f>IFERROR(VLOOKUP($B277,Community_Master!$A$2:$K$100,7,FALSE),"")</f>
        <v/>
      </c>
      <c r="I277" s="15" t="n"/>
      <c r="J277" s="15" t="n"/>
      <c r="K277" s="15" t="n"/>
      <c r="L277" s="15">
        <f>IF($H277="","",MAX($H277-$I277,0))</f>
        <v/>
      </c>
      <c r="M277" s="6">
        <f>IF($H277="","",IFERROR($I277/$H277,""))</f>
        <v/>
      </c>
      <c r="N277" s="6">
        <f>IF($H277="","",IFERROR($J277/$H277,""))</f>
        <v/>
      </c>
      <c r="O277" s="6" t="n"/>
      <c r="P277" s="7" t="n"/>
      <c r="Q277" s="7" t="n"/>
      <c r="R277" s="7" t="n"/>
      <c r="S277" s="7" t="n"/>
      <c r="T277" s="7">
        <f>IF($H277="","",IFERROR($H277*$P277,""))</f>
        <v/>
      </c>
      <c r="U277" s="7" t="n"/>
      <c r="V277" s="7" t="n"/>
      <c r="W277" s="7" t="n"/>
      <c r="X277" s="7">
        <f>IF(OR($U277="",$W277=""),"",($U277+$V277)-$W277)</f>
        <v/>
      </c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9" t="n"/>
      <c r="AJ277" s="8" t="n"/>
      <c r="AK277" s="8" t="n"/>
      <c r="AL277" s="15" t="n"/>
      <c r="AM277" s="15" t="n"/>
      <c r="AN277" s="15" t="n"/>
      <c r="AO277" s="15" t="n"/>
      <c r="AP277" s="10" t="n"/>
      <c r="AQ277" s="15">
        <f>IF($B277="","",IF(OR(ISERROR(MATCH($B277,Community_Master!$A$2:$A$100,0)),$A277="",AND($H277&lt;&gt;"",$I277&gt;$H277),AND($H277&lt;&gt;"",$J277&gt;$H277),$I277&lt;0,$J277&lt;0,$K277&lt;0,$P277&lt;0,$Q277&lt;0,$Y277&lt;0,$Z277&lt;0,$AA277&lt;0,$AB277&lt;0,$AC277&lt;0),"ERROR","OK"))</f>
        <v/>
      </c>
      <c r="AR277" s="15">
        <f>IF($B277="","",TRIM(IF(ISERROR(MATCH($B277,Community_Master!$A$2:$A$100,0)),"Invalid Community_ID; ","")&amp;IF($A277="","Missing Report_Month; ","")&amp;IF(AND($H277&lt;&gt;"",$I277&gt;$H277),"Occupied_Units greater than Total_Units; ","")&amp;IF(AND($H277&lt;&gt;"",$J277&gt;$H277),"Leased_Units greater than Total_Units; ","")&amp;IF($I277&lt;0,"Occupied_Units negative; ","")&amp;IF($J277&lt;0,"Leased_Units negative; ","")&amp;IF($P277&lt;0,"Avg_Market_Rent negative; ","")))</f>
        <v/>
      </c>
    </row>
    <row r="278" ht="15" customHeight="1">
      <c r="A278" s="5" t="n"/>
      <c r="B278" s="15" t="n"/>
      <c r="C278" s="15">
        <f>IFERROR(VLOOKUP($B278,Community_Master!$A$2:$K$100,2,FALSE),"")</f>
        <v/>
      </c>
      <c r="D278" s="15">
        <f>IFERROR(VLOOKUP($B278,Community_Master!$A$2:$K$100,4,FALSE),"")</f>
        <v/>
      </c>
      <c r="E278" s="15">
        <f>IFERROR(VLOOKUP($B278,Community_Master!$A$2:$K$100,5,FALSE),"")</f>
        <v/>
      </c>
      <c r="F278" s="15">
        <f>IFERROR(VLOOKUP($B278,Community_Master!$A$2:$K$100,6,FALSE),"")</f>
        <v/>
      </c>
      <c r="G278" s="15">
        <f>IFERROR(VLOOKUP($B278,Community_Master!$A$2:$K$100,8,FALSE),"")</f>
        <v/>
      </c>
      <c r="H278" s="15">
        <f>IFERROR(VLOOKUP($B278,Community_Master!$A$2:$K$100,7,FALSE),"")</f>
        <v/>
      </c>
      <c r="I278" s="15" t="n"/>
      <c r="J278" s="15" t="n"/>
      <c r="K278" s="15" t="n"/>
      <c r="L278" s="15">
        <f>IF($H278="","",MAX($H278-$I278,0))</f>
        <v/>
      </c>
      <c r="M278" s="6">
        <f>IF($H278="","",IFERROR($I278/$H278,""))</f>
        <v/>
      </c>
      <c r="N278" s="6">
        <f>IF($H278="","",IFERROR($J278/$H278,""))</f>
        <v/>
      </c>
      <c r="O278" s="6" t="n"/>
      <c r="P278" s="7" t="n"/>
      <c r="Q278" s="7" t="n"/>
      <c r="R278" s="7" t="n"/>
      <c r="S278" s="7" t="n"/>
      <c r="T278" s="7">
        <f>IF($H278="","",IFERROR($H278*$P278,""))</f>
        <v/>
      </c>
      <c r="U278" s="7" t="n"/>
      <c r="V278" s="7" t="n"/>
      <c r="W278" s="7" t="n"/>
      <c r="X278" s="7">
        <f>IF(OR($U278="",$W278=""),"",($U278+$V278)-$W278)</f>
        <v/>
      </c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9" t="n"/>
      <c r="AJ278" s="8" t="n"/>
      <c r="AK278" s="8" t="n"/>
      <c r="AL278" s="15" t="n"/>
      <c r="AM278" s="15" t="n"/>
      <c r="AN278" s="15" t="n"/>
      <c r="AO278" s="15" t="n"/>
      <c r="AP278" s="10" t="n"/>
      <c r="AQ278" s="15">
        <f>IF($B278="","",IF(OR(ISERROR(MATCH($B278,Community_Master!$A$2:$A$100,0)),$A278="",AND($H278&lt;&gt;"",$I278&gt;$H278),AND($H278&lt;&gt;"",$J278&gt;$H278),$I278&lt;0,$J278&lt;0,$K278&lt;0,$P278&lt;0,$Q278&lt;0,$Y278&lt;0,$Z278&lt;0,$AA278&lt;0,$AB278&lt;0,$AC278&lt;0),"ERROR","OK"))</f>
        <v/>
      </c>
      <c r="AR278" s="15">
        <f>IF($B278="","",TRIM(IF(ISERROR(MATCH($B278,Community_Master!$A$2:$A$100,0)),"Invalid Community_ID; ","")&amp;IF($A278="","Missing Report_Month; ","")&amp;IF(AND($H278&lt;&gt;"",$I278&gt;$H278),"Occupied_Units greater than Total_Units; ","")&amp;IF(AND($H278&lt;&gt;"",$J278&gt;$H278),"Leased_Units greater than Total_Units; ","")&amp;IF($I278&lt;0,"Occupied_Units negative; ","")&amp;IF($J278&lt;0,"Leased_Units negative; ","")&amp;IF($P278&lt;0,"Avg_Market_Rent negative; ","")))</f>
        <v/>
      </c>
    </row>
    <row r="279" ht="15" customHeight="1">
      <c r="A279" s="5" t="n"/>
      <c r="B279" s="15" t="n"/>
      <c r="C279" s="15">
        <f>IFERROR(VLOOKUP($B279,Community_Master!$A$2:$K$100,2,FALSE),"")</f>
        <v/>
      </c>
      <c r="D279" s="15">
        <f>IFERROR(VLOOKUP($B279,Community_Master!$A$2:$K$100,4,FALSE),"")</f>
        <v/>
      </c>
      <c r="E279" s="15">
        <f>IFERROR(VLOOKUP($B279,Community_Master!$A$2:$K$100,5,FALSE),"")</f>
        <v/>
      </c>
      <c r="F279" s="15">
        <f>IFERROR(VLOOKUP($B279,Community_Master!$A$2:$K$100,6,FALSE),"")</f>
        <v/>
      </c>
      <c r="G279" s="15">
        <f>IFERROR(VLOOKUP($B279,Community_Master!$A$2:$K$100,8,FALSE),"")</f>
        <v/>
      </c>
      <c r="H279" s="15">
        <f>IFERROR(VLOOKUP($B279,Community_Master!$A$2:$K$100,7,FALSE),"")</f>
        <v/>
      </c>
      <c r="I279" s="15" t="n"/>
      <c r="J279" s="15" t="n"/>
      <c r="K279" s="15" t="n"/>
      <c r="L279" s="15">
        <f>IF($H279="","",MAX($H279-$I279,0))</f>
        <v/>
      </c>
      <c r="M279" s="6">
        <f>IF($H279="","",IFERROR($I279/$H279,""))</f>
        <v/>
      </c>
      <c r="N279" s="6">
        <f>IF($H279="","",IFERROR($J279/$H279,""))</f>
        <v/>
      </c>
      <c r="O279" s="6" t="n"/>
      <c r="P279" s="7" t="n"/>
      <c r="Q279" s="7" t="n"/>
      <c r="R279" s="7" t="n"/>
      <c r="S279" s="7" t="n"/>
      <c r="T279" s="7">
        <f>IF($H279="","",IFERROR($H279*$P279,""))</f>
        <v/>
      </c>
      <c r="U279" s="7" t="n"/>
      <c r="V279" s="7" t="n"/>
      <c r="W279" s="7" t="n"/>
      <c r="X279" s="7">
        <f>IF(OR($U279="",$W279=""),"",($U279+$V279)-$W279)</f>
        <v/>
      </c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  <c r="AH279" s="8" t="n"/>
      <c r="AI279" s="9" t="n"/>
      <c r="AJ279" s="8" t="n"/>
      <c r="AK279" s="8" t="n"/>
      <c r="AL279" s="15" t="n"/>
      <c r="AM279" s="15" t="n"/>
      <c r="AN279" s="15" t="n"/>
      <c r="AO279" s="15" t="n"/>
      <c r="AP279" s="10" t="n"/>
      <c r="AQ279" s="15">
        <f>IF($B279="","",IF(OR(ISERROR(MATCH($B279,Community_Master!$A$2:$A$100,0)),$A279="",AND($H279&lt;&gt;"",$I279&gt;$H279),AND($H279&lt;&gt;"",$J279&gt;$H279),$I279&lt;0,$J279&lt;0,$K279&lt;0,$P279&lt;0,$Q279&lt;0,$Y279&lt;0,$Z279&lt;0,$AA279&lt;0,$AB279&lt;0,$AC279&lt;0),"ERROR","OK"))</f>
        <v/>
      </c>
      <c r="AR279" s="15">
        <f>IF($B279="","",TRIM(IF(ISERROR(MATCH($B279,Community_Master!$A$2:$A$100,0)),"Invalid Community_ID; ","")&amp;IF($A279="","Missing Report_Month; ","")&amp;IF(AND($H279&lt;&gt;"",$I279&gt;$H279),"Occupied_Units greater than Total_Units; ","")&amp;IF(AND($H279&lt;&gt;"",$J279&gt;$H279),"Leased_Units greater than Total_Units; ","")&amp;IF($I279&lt;0,"Occupied_Units negative; ","")&amp;IF($J279&lt;0,"Leased_Units negative; ","")&amp;IF($P279&lt;0,"Avg_Market_Rent negative; ","")))</f>
        <v/>
      </c>
    </row>
    <row r="280" ht="15" customHeight="1">
      <c r="A280" s="5" t="n"/>
      <c r="B280" s="15" t="n"/>
      <c r="C280" s="15">
        <f>IFERROR(VLOOKUP($B280,Community_Master!$A$2:$K$100,2,FALSE),"")</f>
        <v/>
      </c>
      <c r="D280" s="15">
        <f>IFERROR(VLOOKUP($B280,Community_Master!$A$2:$K$100,4,FALSE),"")</f>
        <v/>
      </c>
      <c r="E280" s="15">
        <f>IFERROR(VLOOKUP($B280,Community_Master!$A$2:$K$100,5,FALSE),"")</f>
        <v/>
      </c>
      <c r="F280" s="15">
        <f>IFERROR(VLOOKUP($B280,Community_Master!$A$2:$K$100,6,FALSE),"")</f>
        <v/>
      </c>
      <c r="G280" s="15">
        <f>IFERROR(VLOOKUP($B280,Community_Master!$A$2:$K$100,8,FALSE),"")</f>
        <v/>
      </c>
      <c r="H280" s="15">
        <f>IFERROR(VLOOKUP($B280,Community_Master!$A$2:$K$100,7,FALSE),"")</f>
        <v/>
      </c>
      <c r="I280" s="15" t="n"/>
      <c r="J280" s="15" t="n"/>
      <c r="K280" s="15" t="n"/>
      <c r="L280" s="15">
        <f>IF($H280="","",MAX($H280-$I280,0))</f>
        <v/>
      </c>
      <c r="M280" s="6">
        <f>IF($H280="","",IFERROR($I280/$H280,""))</f>
        <v/>
      </c>
      <c r="N280" s="6">
        <f>IF($H280="","",IFERROR($J280/$H280,""))</f>
        <v/>
      </c>
      <c r="O280" s="6" t="n"/>
      <c r="P280" s="7" t="n"/>
      <c r="Q280" s="7" t="n"/>
      <c r="R280" s="7" t="n"/>
      <c r="S280" s="7" t="n"/>
      <c r="T280" s="7">
        <f>IF($H280="","",IFERROR($H280*$P280,""))</f>
        <v/>
      </c>
      <c r="U280" s="7" t="n"/>
      <c r="V280" s="7" t="n"/>
      <c r="W280" s="7" t="n"/>
      <c r="X280" s="7">
        <f>IF(OR($U280="",$W280=""),"",($U280+$V280)-$W280)</f>
        <v/>
      </c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9" t="n"/>
      <c r="AJ280" s="8" t="n"/>
      <c r="AK280" s="8" t="n"/>
      <c r="AL280" s="15" t="n"/>
      <c r="AM280" s="15" t="n"/>
      <c r="AN280" s="15" t="n"/>
      <c r="AO280" s="15" t="n"/>
      <c r="AP280" s="10" t="n"/>
      <c r="AQ280" s="15">
        <f>IF($B280="","",IF(OR(ISERROR(MATCH($B280,Community_Master!$A$2:$A$100,0)),$A280="",AND($H280&lt;&gt;"",$I280&gt;$H280),AND($H280&lt;&gt;"",$J280&gt;$H280),$I280&lt;0,$J280&lt;0,$K280&lt;0,$P280&lt;0,$Q280&lt;0,$Y280&lt;0,$Z280&lt;0,$AA280&lt;0,$AB280&lt;0,$AC280&lt;0),"ERROR","OK"))</f>
        <v/>
      </c>
      <c r="AR280" s="15">
        <f>IF($B280="","",TRIM(IF(ISERROR(MATCH($B280,Community_Master!$A$2:$A$100,0)),"Invalid Community_ID; ","")&amp;IF($A280="","Missing Report_Month; ","")&amp;IF(AND($H280&lt;&gt;"",$I280&gt;$H280),"Occupied_Units greater than Total_Units; ","")&amp;IF(AND($H280&lt;&gt;"",$J280&gt;$H280),"Leased_Units greater than Total_Units; ","")&amp;IF($I280&lt;0,"Occupied_Units negative; ","")&amp;IF($J280&lt;0,"Leased_Units negative; ","")&amp;IF($P280&lt;0,"Avg_Market_Rent negative; ","")))</f>
        <v/>
      </c>
    </row>
    <row r="281" ht="15" customHeight="1">
      <c r="A281" s="5" t="n"/>
      <c r="B281" s="15" t="n"/>
      <c r="C281" s="15">
        <f>IFERROR(VLOOKUP($B281,Community_Master!$A$2:$K$100,2,FALSE),"")</f>
        <v/>
      </c>
      <c r="D281" s="15">
        <f>IFERROR(VLOOKUP($B281,Community_Master!$A$2:$K$100,4,FALSE),"")</f>
        <v/>
      </c>
      <c r="E281" s="15">
        <f>IFERROR(VLOOKUP($B281,Community_Master!$A$2:$K$100,5,FALSE),"")</f>
        <v/>
      </c>
      <c r="F281" s="15">
        <f>IFERROR(VLOOKUP($B281,Community_Master!$A$2:$K$100,6,FALSE),"")</f>
        <v/>
      </c>
      <c r="G281" s="15">
        <f>IFERROR(VLOOKUP($B281,Community_Master!$A$2:$K$100,8,FALSE),"")</f>
        <v/>
      </c>
      <c r="H281" s="15">
        <f>IFERROR(VLOOKUP($B281,Community_Master!$A$2:$K$100,7,FALSE),"")</f>
        <v/>
      </c>
      <c r="I281" s="15" t="n"/>
      <c r="J281" s="15" t="n"/>
      <c r="K281" s="15" t="n"/>
      <c r="L281" s="15">
        <f>IF($H281="","",MAX($H281-$I281,0))</f>
        <v/>
      </c>
      <c r="M281" s="6">
        <f>IF($H281="","",IFERROR($I281/$H281,""))</f>
        <v/>
      </c>
      <c r="N281" s="6">
        <f>IF($H281="","",IFERROR($J281/$H281,""))</f>
        <v/>
      </c>
      <c r="O281" s="6" t="n"/>
      <c r="P281" s="7" t="n"/>
      <c r="Q281" s="7" t="n"/>
      <c r="R281" s="7" t="n"/>
      <c r="S281" s="7" t="n"/>
      <c r="T281" s="7">
        <f>IF($H281="","",IFERROR($H281*$P281,""))</f>
        <v/>
      </c>
      <c r="U281" s="7" t="n"/>
      <c r="V281" s="7" t="n"/>
      <c r="W281" s="7" t="n"/>
      <c r="X281" s="7">
        <f>IF(OR($U281="",$W281=""),"",($U281+$V281)-$W281)</f>
        <v/>
      </c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9" t="n"/>
      <c r="AJ281" s="8" t="n"/>
      <c r="AK281" s="8" t="n"/>
      <c r="AL281" s="15" t="n"/>
      <c r="AM281" s="15" t="n"/>
      <c r="AN281" s="15" t="n"/>
      <c r="AO281" s="15" t="n"/>
      <c r="AP281" s="10" t="n"/>
      <c r="AQ281" s="15">
        <f>IF($B281="","",IF(OR(ISERROR(MATCH($B281,Community_Master!$A$2:$A$100,0)),$A281="",AND($H281&lt;&gt;"",$I281&gt;$H281),AND($H281&lt;&gt;"",$J281&gt;$H281),$I281&lt;0,$J281&lt;0,$K281&lt;0,$P281&lt;0,$Q281&lt;0,$Y281&lt;0,$Z281&lt;0,$AA281&lt;0,$AB281&lt;0,$AC281&lt;0),"ERROR","OK"))</f>
        <v/>
      </c>
      <c r="AR281" s="15">
        <f>IF($B281="","",TRIM(IF(ISERROR(MATCH($B281,Community_Master!$A$2:$A$100,0)),"Invalid Community_ID; ","")&amp;IF($A281="","Missing Report_Month; ","")&amp;IF(AND($H281&lt;&gt;"",$I281&gt;$H281),"Occupied_Units greater than Total_Units; ","")&amp;IF(AND($H281&lt;&gt;"",$J281&gt;$H281),"Leased_Units greater than Total_Units; ","")&amp;IF($I281&lt;0,"Occupied_Units negative; ","")&amp;IF($J281&lt;0,"Leased_Units negative; ","")&amp;IF($P281&lt;0,"Avg_Market_Rent negative; ","")))</f>
        <v/>
      </c>
    </row>
    <row r="282" ht="15" customHeight="1">
      <c r="A282" s="5" t="n"/>
      <c r="B282" s="15" t="n"/>
      <c r="C282" s="15">
        <f>IFERROR(VLOOKUP($B282,Community_Master!$A$2:$K$100,2,FALSE),"")</f>
        <v/>
      </c>
      <c r="D282" s="15">
        <f>IFERROR(VLOOKUP($B282,Community_Master!$A$2:$K$100,4,FALSE),"")</f>
        <v/>
      </c>
      <c r="E282" s="15">
        <f>IFERROR(VLOOKUP($B282,Community_Master!$A$2:$K$100,5,FALSE),"")</f>
        <v/>
      </c>
      <c r="F282" s="15">
        <f>IFERROR(VLOOKUP($B282,Community_Master!$A$2:$K$100,6,FALSE),"")</f>
        <v/>
      </c>
      <c r="G282" s="15">
        <f>IFERROR(VLOOKUP($B282,Community_Master!$A$2:$K$100,8,FALSE),"")</f>
        <v/>
      </c>
      <c r="H282" s="15">
        <f>IFERROR(VLOOKUP($B282,Community_Master!$A$2:$K$100,7,FALSE),"")</f>
        <v/>
      </c>
      <c r="I282" s="15" t="n"/>
      <c r="J282" s="15" t="n"/>
      <c r="K282" s="15" t="n"/>
      <c r="L282" s="15">
        <f>IF($H282="","",MAX($H282-$I282,0))</f>
        <v/>
      </c>
      <c r="M282" s="6">
        <f>IF($H282="","",IFERROR($I282/$H282,""))</f>
        <v/>
      </c>
      <c r="N282" s="6">
        <f>IF($H282="","",IFERROR($J282/$H282,""))</f>
        <v/>
      </c>
      <c r="O282" s="6" t="n"/>
      <c r="P282" s="7" t="n"/>
      <c r="Q282" s="7" t="n"/>
      <c r="R282" s="7" t="n"/>
      <c r="S282" s="7" t="n"/>
      <c r="T282" s="7">
        <f>IF($H282="","",IFERROR($H282*$P282,""))</f>
        <v/>
      </c>
      <c r="U282" s="7" t="n"/>
      <c r="V282" s="7" t="n"/>
      <c r="W282" s="7" t="n"/>
      <c r="X282" s="7">
        <f>IF(OR($U282="",$W282=""),"",($U282+$V282)-$W282)</f>
        <v/>
      </c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9" t="n"/>
      <c r="AJ282" s="8" t="n"/>
      <c r="AK282" s="8" t="n"/>
      <c r="AL282" s="15" t="n"/>
      <c r="AM282" s="15" t="n"/>
      <c r="AN282" s="15" t="n"/>
      <c r="AO282" s="15" t="n"/>
      <c r="AP282" s="10" t="n"/>
      <c r="AQ282" s="15">
        <f>IF($B282="","",IF(OR(ISERROR(MATCH($B282,Community_Master!$A$2:$A$100,0)),$A282="",AND($H282&lt;&gt;"",$I282&gt;$H282),AND($H282&lt;&gt;"",$J282&gt;$H282),$I282&lt;0,$J282&lt;0,$K282&lt;0,$P282&lt;0,$Q282&lt;0,$Y282&lt;0,$Z282&lt;0,$AA282&lt;0,$AB282&lt;0,$AC282&lt;0),"ERROR","OK"))</f>
        <v/>
      </c>
      <c r="AR282" s="15">
        <f>IF($B282="","",TRIM(IF(ISERROR(MATCH($B282,Community_Master!$A$2:$A$100,0)),"Invalid Community_ID; ","")&amp;IF($A282="","Missing Report_Month; ","")&amp;IF(AND($H282&lt;&gt;"",$I282&gt;$H282),"Occupied_Units greater than Total_Units; ","")&amp;IF(AND($H282&lt;&gt;"",$J282&gt;$H282),"Leased_Units greater than Total_Units; ","")&amp;IF($I282&lt;0,"Occupied_Units negative; ","")&amp;IF($J282&lt;0,"Leased_Units negative; ","")&amp;IF($P282&lt;0,"Avg_Market_Rent negative; ","")))</f>
        <v/>
      </c>
    </row>
    <row r="283" ht="15" customHeight="1">
      <c r="A283" s="5" t="n"/>
      <c r="B283" s="15" t="n"/>
      <c r="C283" s="15">
        <f>IFERROR(VLOOKUP($B283,Community_Master!$A$2:$K$100,2,FALSE),"")</f>
        <v/>
      </c>
      <c r="D283" s="15">
        <f>IFERROR(VLOOKUP($B283,Community_Master!$A$2:$K$100,4,FALSE),"")</f>
        <v/>
      </c>
      <c r="E283" s="15">
        <f>IFERROR(VLOOKUP($B283,Community_Master!$A$2:$K$100,5,FALSE),"")</f>
        <v/>
      </c>
      <c r="F283" s="15">
        <f>IFERROR(VLOOKUP($B283,Community_Master!$A$2:$K$100,6,FALSE),"")</f>
        <v/>
      </c>
      <c r="G283" s="15">
        <f>IFERROR(VLOOKUP($B283,Community_Master!$A$2:$K$100,8,FALSE),"")</f>
        <v/>
      </c>
      <c r="H283" s="15">
        <f>IFERROR(VLOOKUP($B283,Community_Master!$A$2:$K$100,7,FALSE),"")</f>
        <v/>
      </c>
      <c r="I283" s="15" t="n"/>
      <c r="J283" s="15" t="n"/>
      <c r="K283" s="15" t="n"/>
      <c r="L283" s="15">
        <f>IF($H283="","",MAX($H283-$I283,0))</f>
        <v/>
      </c>
      <c r="M283" s="6">
        <f>IF($H283="","",IFERROR($I283/$H283,""))</f>
        <v/>
      </c>
      <c r="N283" s="6">
        <f>IF($H283="","",IFERROR($J283/$H283,""))</f>
        <v/>
      </c>
      <c r="O283" s="6" t="n"/>
      <c r="P283" s="7" t="n"/>
      <c r="Q283" s="7" t="n"/>
      <c r="R283" s="7" t="n"/>
      <c r="S283" s="7" t="n"/>
      <c r="T283" s="7">
        <f>IF($H283="","",IFERROR($H283*$P283,""))</f>
        <v/>
      </c>
      <c r="U283" s="7" t="n"/>
      <c r="V283" s="7" t="n"/>
      <c r="W283" s="7" t="n"/>
      <c r="X283" s="7">
        <f>IF(OR($U283="",$W283=""),"",($U283+$V283)-$W283)</f>
        <v/>
      </c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9" t="n"/>
      <c r="AJ283" s="8" t="n"/>
      <c r="AK283" s="8" t="n"/>
      <c r="AL283" s="15" t="n"/>
      <c r="AM283" s="15" t="n"/>
      <c r="AN283" s="15" t="n"/>
      <c r="AO283" s="15" t="n"/>
      <c r="AP283" s="10" t="n"/>
      <c r="AQ283" s="15">
        <f>IF($B283="","",IF(OR(ISERROR(MATCH($B283,Community_Master!$A$2:$A$100,0)),$A283="",AND($H283&lt;&gt;"",$I283&gt;$H283),AND($H283&lt;&gt;"",$J283&gt;$H283),$I283&lt;0,$J283&lt;0,$K283&lt;0,$P283&lt;0,$Q283&lt;0,$Y283&lt;0,$Z283&lt;0,$AA283&lt;0,$AB283&lt;0,$AC283&lt;0),"ERROR","OK"))</f>
        <v/>
      </c>
      <c r="AR283" s="15">
        <f>IF($B283="","",TRIM(IF(ISERROR(MATCH($B283,Community_Master!$A$2:$A$100,0)),"Invalid Community_ID; ","")&amp;IF($A283="","Missing Report_Month; ","")&amp;IF(AND($H283&lt;&gt;"",$I283&gt;$H283),"Occupied_Units greater than Total_Units; ","")&amp;IF(AND($H283&lt;&gt;"",$J283&gt;$H283),"Leased_Units greater than Total_Units; ","")&amp;IF($I283&lt;0,"Occupied_Units negative; ","")&amp;IF($J283&lt;0,"Leased_Units negative; ","")&amp;IF($P283&lt;0,"Avg_Market_Rent negative; ","")))</f>
        <v/>
      </c>
    </row>
    <row r="284" ht="15" customHeight="1">
      <c r="A284" s="5" t="n"/>
      <c r="B284" s="15" t="n"/>
      <c r="C284" s="15">
        <f>IFERROR(VLOOKUP($B284,Community_Master!$A$2:$K$100,2,FALSE),"")</f>
        <v/>
      </c>
      <c r="D284" s="15">
        <f>IFERROR(VLOOKUP($B284,Community_Master!$A$2:$K$100,4,FALSE),"")</f>
        <v/>
      </c>
      <c r="E284" s="15">
        <f>IFERROR(VLOOKUP($B284,Community_Master!$A$2:$K$100,5,FALSE),"")</f>
        <v/>
      </c>
      <c r="F284" s="15">
        <f>IFERROR(VLOOKUP($B284,Community_Master!$A$2:$K$100,6,FALSE),"")</f>
        <v/>
      </c>
      <c r="G284" s="15">
        <f>IFERROR(VLOOKUP($B284,Community_Master!$A$2:$K$100,8,FALSE),"")</f>
        <v/>
      </c>
      <c r="H284" s="15">
        <f>IFERROR(VLOOKUP($B284,Community_Master!$A$2:$K$100,7,FALSE),"")</f>
        <v/>
      </c>
      <c r="I284" s="15" t="n"/>
      <c r="J284" s="15" t="n"/>
      <c r="K284" s="15" t="n"/>
      <c r="L284" s="15">
        <f>IF($H284="","",MAX($H284-$I284,0))</f>
        <v/>
      </c>
      <c r="M284" s="6">
        <f>IF($H284="","",IFERROR($I284/$H284,""))</f>
        <v/>
      </c>
      <c r="N284" s="6">
        <f>IF($H284="","",IFERROR($J284/$H284,""))</f>
        <v/>
      </c>
      <c r="O284" s="6" t="n"/>
      <c r="P284" s="7" t="n"/>
      <c r="Q284" s="7" t="n"/>
      <c r="R284" s="7" t="n"/>
      <c r="S284" s="7" t="n"/>
      <c r="T284" s="7">
        <f>IF($H284="","",IFERROR($H284*$P284,""))</f>
        <v/>
      </c>
      <c r="U284" s="7" t="n"/>
      <c r="V284" s="7" t="n"/>
      <c r="W284" s="7" t="n"/>
      <c r="X284" s="7">
        <f>IF(OR($U284="",$W284=""),"",($U284+$V284)-$W284)</f>
        <v/>
      </c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9" t="n"/>
      <c r="AJ284" s="8" t="n"/>
      <c r="AK284" s="8" t="n"/>
      <c r="AL284" s="15" t="n"/>
      <c r="AM284" s="15" t="n"/>
      <c r="AN284" s="15" t="n"/>
      <c r="AO284" s="15" t="n"/>
      <c r="AP284" s="10" t="n"/>
      <c r="AQ284" s="15">
        <f>IF($B284="","",IF(OR(ISERROR(MATCH($B284,Community_Master!$A$2:$A$100,0)),$A284="",AND($H284&lt;&gt;"",$I284&gt;$H284),AND($H284&lt;&gt;"",$J284&gt;$H284),$I284&lt;0,$J284&lt;0,$K284&lt;0,$P284&lt;0,$Q284&lt;0,$Y284&lt;0,$Z284&lt;0,$AA284&lt;0,$AB284&lt;0,$AC284&lt;0),"ERROR","OK"))</f>
        <v/>
      </c>
      <c r="AR284" s="15">
        <f>IF($B284="","",TRIM(IF(ISERROR(MATCH($B284,Community_Master!$A$2:$A$100,0)),"Invalid Community_ID; ","")&amp;IF($A284="","Missing Report_Month; ","")&amp;IF(AND($H284&lt;&gt;"",$I284&gt;$H284),"Occupied_Units greater than Total_Units; ","")&amp;IF(AND($H284&lt;&gt;"",$J284&gt;$H284),"Leased_Units greater than Total_Units; ","")&amp;IF($I284&lt;0,"Occupied_Units negative; ","")&amp;IF($J284&lt;0,"Leased_Units negative; ","")&amp;IF($P284&lt;0,"Avg_Market_Rent negative; ","")))</f>
        <v/>
      </c>
    </row>
    <row r="285" ht="15" customHeight="1">
      <c r="A285" s="5" t="n"/>
      <c r="B285" s="15" t="n"/>
      <c r="C285" s="15">
        <f>IFERROR(VLOOKUP($B285,Community_Master!$A$2:$K$100,2,FALSE),"")</f>
        <v/>
      </c>
      <c r="D285" s="15">
        <f>IFERROR(VLOOKUP($B285,Community_Master!$A$2:$K$100,4,FALSE),"")</f>
        <v/>
      </c>
      <c r="E285" s="15">
        <f>IFERROR(VLOOKUP($B285,Community_Master!$A$2:$K$100,5,FALSE),"")</f>
        <v/>
      </c>
      <c r="F285" s="15">
        <f>IFERROR(VLOOKUP($B285,Community_Master!$A$2:$K$100,6,FALSE),"")</f>
        <v/>
      </c>
      <c r="G285" s="15">
        <f>IFERROR(VLOOKUP($B285,Community_Master!$A$2:$K$100,8,FALSE),"")</f>
        <v/>
      </c>
      <c r="H285" s="15">
        <f>IFERROR(VLOOKUP($B285,Community_Master!$A$2:$K$100,7,FALSE),"")</f>
        <v/>
      </c>
      <c r="I285" s="15" t="n"/>
      <c r="J285" s="15" t="n"/>
      <c r="K285" s="15" t="n"/>
      <c r="L285" s="15">
        <f>IF($H285="","",MAX($H285-$I285,0))</f>
        <v/>
      </c>
      <c r="M285" s="6">
        <f>IF($H285="","",IFERROR($I285/$H285,""))</f>
        <v/>
      </c>
      <c r="N285" s="6">
        <f>IF($H285="","",IFERROR($J285/$H285,""))</f>
        <v/>
      </c>
      <c r="O285" s="6" t="n"/>
      <c r="P285" s="7" t="n"/>
      <c r="Q285" s="7" t="n"/>
      <c r="R285" s="7" t="n"/>
      <c r="S285" s="7" t="n"/>
      <c r="T285" s="7">
        <f>IF($H285="","",IFERROR($H285*$P285,""))</f>
        <v/>
      </c>
      <c r="U285" s="7" t="n"/>
      <c r="V285" s="7" t="n"/>
      <c r="W285" s="7" t="n"/>
      <c r="X285" s="7">
        <f>IF(OR($U285="",$W285=""),"",($U285+$V285)-$W285)</f>
        <v/>
      </c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  <c r="AH285" s="8" t="n"/>
      <c r="AI285" s="9" t="n"/>
      <c r="AJ285" s="8" t="n"/>
      <c r="AK285" s="8" t="n"/>
      <c r="AL285" s="15" t="n"/>
      <c r="AM285" s="15" t="n"/>
      <c r="AN285" s="15" t="n"/>
      <c r="AO285" s="15" t="n"/>
      <c r="AP285" s="10" t="n"/>
      <c r="AQ285" s="15">
        <f>IF($B285="","",IF(OR(ISERROR(MATCH($B285,Community_Master!$A$2:$A$100,0)),$A285="",AND($H285&lt;&gt;"",$I285&gt;$H285),AND($H285&lt;&gt;"",$J285&gt;$H285),$I285&lt;0,$J285&lt;0,$K285&lt;0,$P285&lt;0,$Q285&lt;0,$Y285&lt;0,$Z285&lt;0,$AA285&lt;0,$AB285&lt;0,$AC285&lt;0),"ERROR","OK"))</f>
        <v/>
      </c>
      <c r="AR285" s="15">
        <f>IF($B285="","",TRIM(IF(ISERROR(MATCH($B285,Community_Master!$A$2:$A$100,0)),"Invalid Community_ID; ","")&amp;IF($A285="","Missing Report_Month; ","")&amp;IF(AND($H285&lt;&gt;"",$I285&gt;$H285),"Occupied_Units greater than Total_Units; ","")&amp;IF(AND($H285&lt;&gt;"",$J285&gt;$H285),"Leased_Units greater than Total_Units; ","")&amp;IF($I285&lt;0,"Occupied_Units negative; ","")&amp;IF($J285&lt;0,"Leased_Units negative; ","")&amp;IF($P285&lt;0,"Avg_Market_Rent negative; ","")))</f>
        <v/>
      </c>
    </row>
    <row r="286" ht="15" customHeight="1">
      <c r="A286" s="5" t="n"/>
      <c r="B286" s="15" t="n"/>
      <c r="C286" s="15">
        <f>IFERROR(VLOOKUP($B286,Community_Master!$A$2:$K$100,2,FALSE),"")</f>
        <v/>
      </c>
      <c r="D286" s="15">
        <f>IFERROR(VLOOKUP($B286,Community_Master!$A$2:$K$100,4,FALSE),"")</f>
        <v/>
      </c>
      <c r="E286" s="15">
        <f>IFERROR(VLOOKUP($B286,Community_Master!$A$2:$K$100,5,FALSE),"")</f>
        <v/>
      </c>
      <c r="F286" s="15">
        <f>IFERROR(VLOOKUP($B286,Community_Master!$A$2:$K$100,6,FALSE),"")</f>
        <v/>
      </c>
      <c r="G286" s="15">
        <f>IFERROR(VLOOKUP($B286,Community_Master!$A$2:$K$100,8,FALSE),"")</f>
        <v/>
      </c>
      <c r="H286" s="15">
        <f>IFERROR(VLOOKUP($B286,Community_Master!$A$2:$K$100,7,FALSE),"")</f>
        <v/>
      </c>
      <c r="I286" s="15" t="n"/>
      <c r="J286" s="15" t="n"/>
      <c r="K286" s="15" t="n"/>
      <c r="L286" s="15">
        <f>IF($H286="","",MAX($H286-$I286,0))</f>
        <v/>
      </c>
      <c r="M286" s="6">
        <f>IF($H286="","",IFERROR($I286/$H286,""))</f>
        <v/>
      </c>
      <c r="N286" s="6">
        <f>IF($H286="","",IFERROR($J286/$H286,""))</f>
        <v/>
      </c>
      <c r="O286" s="6" t="n"/>
      <c r="P286" s="7" t="n"/>
      <c r="Q286" s="7" t="n"/>
      <c r="R286" s="7" t="n"/>
      <c r="S286" s="7" t="n"/>
      <c r="T286" s="7">
        <f>IF($H286="","",IFERROR($H286*$P286,""))</f>
        <v/>
      </c>
      <c r="U286" s="7" t="n"/>
      <c r="V286" s="7" t="n"/>
      <c r="W286" s="7" t="n"/>
      <c r="X286" s="7">
        <f>IF(OR($U286="",$W286=""),"",($U286+$V286)-$W286)</f>
        <v/>
      </c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9" t="n"/>
      <c r="AJ286" s="8" t="n"/>
      <c r="AK286" s="8" t="n"/>
      <c r="AL286" s="15" t="n"/>
      <c r="AM286" s="15" t="n"/>
      <c r="AN286" s="15" t="n"/>
      <c r="AO286" s="15" t="n"/>
      <c r="AP286" s="10" t="n"/>
      <c r="AQ286" s="15">
        <f>IF($B286="","",IF(OR(ISERROR(MATCH($B286,Community_Master!$A$2:$A$100,0)),$A286="",AND($H286&lt;&gt;"",$I286&gt;$H286),AND($H286&lt;&gt;"",$J286&gt;$H286),$I286&lt;0,$J286&lt;0,$K286&lt;0,$P286&lt;0,$Q286&lt;0,$Y286&lt;0,$Z286&lt;0,$AA286&lt;0,$AB286&lt;0,$AC286&lt;0),"ERROR","OK"))</f>
        <v/>
      </c>
      <c r="AR286" s="15">
        <f>IF($B286="","",TRIM(IF(ISERROR(MATCH($B286,Community_Master!$A$2:$A$100,0)),"Invalid Community_ID; ","")&amp;IF($A286="","Missing Report_Month; ","")&amp;IF(AND($H286&lt;&gt;"",$I286&gt;$H286),"Occupied_Units greater than Total_Units; ","")&amp;IF(AND($H286&lt;&gt;"",$J286&gt;$H286),"Leased_Units greater than Total_Units; ","")&amp;IF($I286&lt;0,"Occupied_Units negative; ","")&amp;IF($J286&lt;0,"Leased_Units negative; ","")&amp;IF($P286&lt;0,"Avg_Market_Rent negative; ","")))</f>
        <v/>
      </c>
    </row>
    <row r="287" ht="15" customHeight="1">
      <c r="A287" s="5" t="n"/>
      <c r="B287" s="15" t="n"/>
      <c r="C287" s="15">
        <f>IFERROR(VLOOKUP($B287,Community_Master!$A$2:$K$100,2,FALSE),"")</f>
        <v/>
      </c>
      <c r="D287" s="15">
        <f>IFERROR(VLOOKUP($B287,Community_Master!$A$2:$K$100,4,FALSE),"")</f>
        <v/>
      </c>
      <c r="E287" s="15">
        <f>IFERROR(VLOOKUP($B287,Community_Master!$A$2:$K$100,5,FALSE),"")</f>
        <v/>
      </c>
      <c r="F287" s="15">
        <f>IFERROR(VLOOKUP($B287,Community_Master!$A$2:$K$100,6,FALSE),"")</f>
        <v/>
      </c>
      <c r="G287" s="15">
        <f>IFERROR(VLOOKUP($B287,Community_Master!$A$2:$K$100,8,FALSE),"")</f>
        <v/>
      </c>
      <c r="H287" s="15">
        <f>IFERROR(VLOOKUP($B287,Community_Master!$A$2:$K$100,7,FALSE),"")</f>
        <v/>
      </c>
      <c r="I287" s="15" t="n"/>
      <c r="J287" s="15" t="n"/>
      <c r="K287" s="15" t="n"/>
      <c r="L287" s="15">
        <f>IF($H287="","",MAX($H287-$I287,0))</f>
        <v/>
      </c>
      <c r="M287" s="6">
        <f>IF($H287="","",IFERROR($I287/$H287,""))</f>
        <v/>
      </c>
      <c r="N287" s="6">
        <f>IF($H287="","",IFERROR($J287/$H287,""))</f>
        <v/>
      </c>
      <c r="O287" s="6" t="n"/>
      <c r="P287" s="7" t="n"/>
      <c r="Q287" s="7" t="n"/>
      <c r="R287" s="7" t="n"/>
      <c r="S287" s="7" t="n"/>
      <c r="T287" s="7">
        <f>IF($H287="","",IFERROR($H287*$P287,""))</f>
        <v/>
      </c>
      <c r="U287" s="7" t="n"/>
      <c r="V287" s="7" t="n"/>
      <c r="W287" s="7" t="n"/>
      <c r="X287" s="7">
        <f>IF(OR($U287="",$W287=""),"",($U287+$V287)-$W287)</f>
        <v/>
      </c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9" t="n"/>
      <c r="AJ287" s="8" t="n"/>
      <c r="AK287" s="8" t="n"/>
      <c r="AL287" s="15" t="n"/>
      <c r="AM287" s="15" t="n"/>
      <c r="AN287" s="15" t="n"/>
      <c r="AO287" s="15" t="n"/>
      <c r="AP287" s="10" t="n"/>
      <c r="AQ287" s="15">
        <f>IF($B287="","",IF(OR(ISERROR(MATCH($B287,Community_Master!$A$2:$A$100,0)),$A287="",AND($H287&lt;&gt;"",$I287&gt;$H287),AND($H287&lt;&gt;"",$J287&gt;$H287),$I287&lt;0,$J287&lt;0,$K287&lt;0,$P287&lt;0,$Q287&lt;0,$Y287&lt;0,$Z287&lt;0,$AA287&lt;0,$AB287&lt;0,$AC287&lt;0),"ERROR","OK"))</f>
        <v/>
      </c>
      <c r="AR287" s="15">
        <f>IF($B287="","",TRIM(IF(ISERROR(MATCH($B287,Community_Master!$A$2:$A$100,0)),"Invalid Community_ID; ","")&amp;IF($A287="","Missing Report_Month; ","")&amp;IF(AND($H287&lt;&gt;"",$I287&gt;$H287),"Occupied_Units greater than Total_Units; ","")&amp;IF(AND($H287&lt;&gt;"",$J287&gt;$H287),"Leased_Units greater than Total_Units; ","")&amp;IF($I287&lt;0,"Occupied_Units negative; ","")&amp;IF($J287&lt;0,"Leased_Units negative; ","")&amp;IF($P287&lt;0,"Avg_Market_Rent negative; ","")))</f>
        <v/>
      </c>
    </row>
    <row r="288" ht="15" customHeight="1">
      <c r="A288" s="5" t="n"/>
      <c r="B288" s="15" t="n"/>
      <c r="C288" s="15">
        <f>IFERROR(VLOOKUP($B288,Community_Master!$A$2:$K$100,2,FALSE),"")</f>
        <v/>
      </c>
      <c r="D288" s="15">
        <f>IFERROR(VLOOKUP($B288,Community_Master!$A$2:$K$100,4,FALSE),"")</f>
        <v/>
      </c>
      <c r="E288" s="15">
        <f>IFERROR(VLOOKUP($B288,Community_Master!$A$2:$K$100,5,FALSE),"")</f>
        <v/>
      </c>
      <c r="F288" s="15">
        <f>IFERROR(VLOOKUP($B288,Community_Master!$A$2:$K$100,6,FALSE),"")</f>
        <v/>
      </c>
      <c r="G288" s="15">
        <f>IFERROR(VLOOKUP($B288,Community_Master!$A$2:$K$100,8,FALSE),"")</f>
        <v/>
      </c>
      <c r="H288" s="15">
        <f>IFERROR(VLOOKUP($B288,Community_Master!$A$2:$K$100,7,FALSE),"")</f>
        <v/>
      </c>
      <c r="I288" s="15" t="n"/>
      <c r="J288" s="15" t="n"/>
      <c r="K288" s="15" t="n"/>
      <c r="L288" s="15">
        <f>IF($H288="","",MAX($H288-$I288,0))</f>
        <v/>
      </c>
      <c r="M288" s="6">
        <f>IF($H288="","",IFERROR($I288/$H288,""))</f>
        <v/>
      </c>
      <c r="N288" s="6">
        <f>IF($H288="","",IFERROR($J288/$H288,""))</f>
        <v/>
      </c>
      <c r="O288" s="6" t="n"/>
      <c r="P288" s="7" t="n"/>
      <c r="Q288" s="7" t="n"/>
      <c r="R288" s="7" t="n"/>
      <c r="S288" s="7" t="n"/>
      <c r="T288" s="7">
        <f>IF($H288="","",IFERROR($H288*$P288,""))</f>
        <v/>
      </c>
      <c r="U288" s="7" t="n"/>
      <c r="V288" s="7" t="n"/>
      <c r="W288" s="7" t="n"/>
      <c r="X288" s="7">
        <f>IF(OR($U288="",$W288=""),"",($U288+$V288)-$W288)</f>
        <v/>
      </c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9" t="n"/>
      <c r="AJ288" s="8" t="n"/>
      <c r="AK288" s="8" t="n"/>
      <c r="AL288" s="15" t="n"/>
      <c r="AM288" s="15" t="n"/>
      <c r="AN288" s="15" t="n"/>
      <c r="AO288" s="15" t="n"/>
      <c r="AP288" s="10" t="n"/>
      <c r="AQ288" s="15">
        <f>IF($B288="","",IF(OR(ISERROR(MATCH($B288,Community_Master!$A$2:$A$100,0)),$A288="",AND($H288&lt;&gt;"",$I288&gt;$H288),AND($H288&lt;&gt;"",$J288&gt;$H288),$I288&lt;0,$J288&lt;0,$K288&lt;0,$P288&lt;0,$Q288&lt;0,$Y288&lt;0,$Z288&lt;0,$AA288&lt;0,$AB288&lt;0,$AC288&lt;0),"ERROR","OK"))</f>
        <v/>
      </c>
      <c r="AR288" s="15">
        <f>IF($B288="","",TRIM(IF(ISERROR(MATCH($B288,Community_Master!$A$2:$A$100,0)),"Invalid Community_ID; ","")&amp;IF($A288="","Missing Report_Month; ","")&amp;IF(AND($H288&lt;&gt;"",$I288&gt;$H288),"Occupied_Units greater than Total_Units; ","")&amp;IF(AND($H288&lt;&gt;"",$J288&gt;$H288),"Leased_Units greater than Total_Units; ","")&amp;IF($I288&lt;0,"Occupied_Units negative; ","")&amp;IF($J288&lt;0,"Leased_Units negative; ","")&amp;IF($P288&lt;0,"Avg_Market_Rent negative; ","")))</f>
        <v/>
      </c>
    </row>
    <row r="289" ht="15" customHeight="1">
      <c r="A289" s="5" t="n"/>
      <c r="B289" s="15" t="n"/>
      <c r="C289" s="15">
        <f>IFERROR(VLOOKUP($B289,Community_Master!$A$2:$K$100,2,FALSE),"")</f>
        <v/>
      </c>
      <c r="D289" s="15">
        <f>IFERROR(VLOOKUP($B289,Community_Master!$A$2:$K$100,4,FALSE),"")</f>
        <v/>
      </c>
      <c r="E289" s="15">
        <f>IFERROR(VLOOKUP($B289,Community_Master!$A$2:$K$100,5,FALSE),"")</f>
        <v/>
      </c>
      <c r="F289" s="15">
        <f>IFERROR(VLOOKUP($B289,Community_Master!$A$2:$K$100,6,FALSE),"")</f>
        <v/>
      </c>
      <c r="G289" s="15">
        <f>IFERROR(VLOOKUP($B289,Community_Master!$A$2:$K$100,8,FALSE),"")</f>
        <v/>
      </c>
      <c r="H289" s="15">
        <f>IFERROR(VLOOKUP($B289,Community_Master!$A$2:$K$100,7,FALSE),"")</f>
        <v/>
      </c>
      <c r="I289" s="15" t="n"/>
      <c r="J289" s="15" t="n"/>
      <c r="K289" s="15" t="n"/>
      <c r="L289" s="15">
        <f>IF($H289="","",MAX($H289-$I289,0))</f>
        <v/>
      </c>
      <c r="M289" s="6">
        <f>IF($H289="","",IFERROR($I289/$H289,""))</f>
        <v/>
      </c>
      <c r="N289" s="6">
        <f>IF($H289="","",IFERROR($J289/$H289,""))</f>
        <v/>
      </c>
      <c r="O289" s="6" t="n"/>
      <c r="P289" s="7" t="n"/>
      <c r="Q289" s="7" t="n"/>
      <c r="R289" s="7" t="n"/>
      <c r="S289" s="7" t="n"/>
      <c r="T289" s="7">
        <f>IF($H289="","",IFERROR($H289*$P289,""))</f>
        <v/>
      </c>
      <c r="U289" s="7" t="n"/>
      <c r="V289" s="7" t="n"/>
      <c r="W289" s="7" t="n"/>
      <c r="X289" s="7">
        <f>IF(OR($U289="",$W289=""),"",($U289+$V289)-$W289)</f>
        <v/>
      </c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  <c r="AH289" s="8" t="n"/>
      <c r="AI289" s="9" t="n"/>
      <c r="AJ289" s="8" t="n"/>
      <c r="AK289" s="8" t="n"/>
      <c r="AL289" s="15" t="n"/>
      <c r="AM289" s="15" t="n"/>
      <c r="AN289" s="15" t="n"/>
      <c r="AO289" s="15" t="n"/>
      <c r="AP289" s="10" t="n"/>
      <c r="AQ289" s="15">
        <f>IF($B289="","",IF(OR(ISERROR(MATCH($B289,Community_Master!$A$2:$A$100,0)),$A289="",AND($H289&lt;&gt;"",$I289&gt;$H289),AND($H289&lt;&gt;"",$J289&gt;$H289),$I289&lt;0,$J289&lt;0,$K289&lt;0,$P289&lt;0,$Q289&lt;0,$Y289&lt;0,$Z289&lt;0,$AA289&lt;0,$AB289&lt;0,$AC289&lt;0),"ERROR","OK"))</f>
        <v/>
      </c>
      <c r="AR289" s="15">
        <f>IF($B289="","",TRIM(IF(ISERROR(MATCH($B289,Community_Master!$A$2:$A$100,0)),"Invalid Community_ID; ","")&amp;IF($A289="","Missing Report_Month; ","")&amp;IF(AND($H289&lt;&gt;"",$I289&gt;$H289),"Occupied_Units greater than Total_Units; ","")&amp;IF(AND($H289&lt;&gt;"",$J289&gt;$H289),"Leased_Units greater than Total_Units; ","")&amp;IF($I289&lt;0,"Occupied_Units negative; ","")&amp;IF($J289&lt;0,"Leased_Units negative; ","")&amp;IF($P289&lt;0,"Avg_Market_Rent negative; ","")))</f>
        <v/>
      </c>
    </row>
    <row r="290" ht="15" customHeight="1">
      <c r="A290" s="5" t="n"/>
      <c r="B290" s="15" t="n"/>
      <c r="C290" s="15">
        <f>IFERROR(VLOOKUP($B290,Community_Master!$A$2:$K$100,2,FALSE),"")</f>
        <v/>
      </c>
      <c r="D290" s="15">
        <f>IFERROR(VLOOKUP($B290,Community_Master!$A$2:$K$100,4,FALSE),"")</f>
        <v/>
      </c>
      <c r="E290" s="15">
        <f>IFERROR(VLOOKUP($B290,Community_Master!$A$2:$K$100,5,FALSE),"")</f>
        <v/>
      </c>
      <c r="F290" s="15">
        <f>IFERROR(VLOOKUP($B290,Community_Master!$A$2:$K$100,6,FALSE),"")</f>
        <v/>
      </c>
      <c r="G290" s="15">
        <f>IFERROR(VLOOKUP($B290,Community_Master!$A$2:$K$100,8,FALSE),"")</f>
        <v/>
      </c>
      <c r="H290" s="15">
        <f>IFERROR(VLOOKUP($B290,Community_Master!$A$2:$K$100,7,FALSE),"")</f>
        <v/>
      </c>
      <c r="I290" s="15" t="n"/>
      <c r="J290" s="15" t="n"/>
      <c r="K290" s="15" t="n"/>
      <c r="L290" s="15">
        <f>IF($H290="","",MAX($H290-$I290,0))</f>
        <v/>
      </c>
      <c r="M290" s="6">
        <f>IF($H290="","",IFERROR($I290/$H290,""))</f>
        <v/>
      </c>
      <c r="N290" s="6">
        <f>IF($H290="","",IFERROR($J290/$H290,""))</f>
        <v/>
      </c>
      <c r="O290" s="6" t="n"/>
      <c r="P290" s="7" t="n"/>
      <c r="Q290" s="7" t="n"/>
      <c r="R290" s="7" t="n"/>
      <c r="S290" s="7" t="n"/>
      <c r="T290" s="7">
        <f>IF($H290="","",IFERROR($H290*$P290,""))</f>
        <v/>
      </c>
      <c r="U290" s="7" t="n"/>
      <c r="V290" s="7" t="n"/>
      <c r="W290" s="7" t="n"/>
      <c r="X290" s="7">
        <f>IF(OR($U290="",$W290=""),"",($U290+$V290)-$W290)</f>
        <v/>
      </c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9" t="n"/>
      <c r="AJ290" s="8" t="n"/>
      <c r="AK290" s="8" t="n"/>
      <c r="AL290" s="15" t="n"/>
      <c r="AM290" s="15" t="n"/>
      <c r="AN290" s="15" t="n"/>
      <c r="AO290" s="15" t="n"/>
      <c r="AP290" s="10" t="n"/>
      <c r="AQ290" s="15">
        <f>IF($B290="","",IF(OR(ISERROR(MATCH($B290,Community_Master!$A$2:$A$100,0)),$A290="",AND($H290&lt;&gt;"",$I290&gt;$H290),AND($H290&lt;&gt;"",$J290&gt;$H290),$I290&lt;0,$J290&lt;0,$K290&lt;0,$P290&lt;0,$Q290&lt;0,$Y290&lt;0,$Z290&lt;0,$AA290&lt;0,$AB290&lt;0,$AC290&lt;0),"ERROR","OK"))</f>
        <v/>
      </c>
      <c r="AR290" s="15">
        <f>IF($B290="","",TRIM(IF(ISERROR(MATCH($B290,Community_Master!$A$2:$A$100,0)),"Invalid Community_ID; ","")&amp;IF($A290="","Missing Report_Month; ","")&amp;IF(AND($H290&lt;&gt;"",$I290&gt;$H290),"Occupied_Units greater than Total_Units; ","")&amp;IF(AND($H290&lt;&gt;"",$J290&gt;$H290),"Leased_Units greater than Total_Units; ","")&amp;IF($I290&lt;0,"Occupied_Units negative; ","")&amp;IF($J290&lt;0,"Leased_Units negative; ","")&amp;IF($P290&lt;0,"Avg_Market_Rent negative; ","")))</f>
        <v/>
      </c>
    </row>
    <row r="291" ht="15" customHeight="1">
      <c r="A291" s="5" t="n"/>
      <c r="B291" s="15" t="n"/>
      <c r="C291" s="15">
        <f>IFERROR(VLOOKUP($B291,Community_Master!$A$2:$K$100,2,FALSE),"")</f>
        <v/>
      </c>
      <c r="D291" s="15">
        <f>IFERROR(VLOOKUP($B291,Community_Master!$A$2:$K$100,4,FALSE),"")</f>
        <v/>
      </c>
      <c r="E291" s="15">
        <f>IFERROR(VLOOKUP($B291,Community_Master!$A$2:$K$100,5,FALSE),"")</f>
        <v/>
      </c>
      <c r="F291" s="15">
        <f>IFERROR(VLOOKUP($B291,Community_Master!$A$2:$K$100,6,FALSE),"")</f>
        <v/>
      </c>
      <c r="G291" s="15">
        <f>IFERROR(VLOOKUP($B291,Community_Master!$A$2:$K$100,8,FALSE),"")</f>
        <v/>
      </c>
      <c r="H291" s="15">
        <f>IFERROR(VLOOKUP($B291,Community_Master!$A$2:$K$100,7,FALSE),"")</f>
        <v/>
      </c>
      <c r="I291" s="15" t="n"/>
      <c r="J291" s="15" t="n"/>
      <c r="K291" s="15" t="n"/>
      <c r="L291" s="15">
        <f>IF($H291="","",MAX($H291-$I291,0))</f>
        <v/>
      </c>
      <c r="M291" s="6">
        <f>IF($H291="","",IFERROR($I291/$H291,""))</f>
        <v/>
      </c>
      <c r="N291" s="6">
        <f>IF($H291="","",IFERROR($J291/$H291,""))</f>
        <v/>
      </c>
      <c r="O291" s="6" t="n"/>
      <c r="P291" s="7" t="n"/>
      <c r="Q291" s="7" t="n"/>
      <c r="R291" s="7" t="n"/>
      <c r="S291" s="7" t="n"/>
      <c r="T291" s="7">
        <f>IF($H291="","",IFERROR($H291*$P291,""))</f>
        <v/>
      </c>
      <c r="U291" s="7" t="n"/>
      <c r="V291" s="7" t="n"/>
      <c r="W291" s="7" t="n"/>
      <c r="X291" s="7">
        <f>IF(OR($U291="",$W291=""),"",($U291+$V291)-$W291)</f>
        <v/>
      </c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9" t="n"/>
      <c r="AJ291" s="8" t="n"/>
      <c r="AK291" s="8" t="n"/>
      <c r="AL291" s="15" t="n"/>
      <c r="AM291" s="15" t="n"/>
      <c r="AN291" s="15" t="n"/>
      <c r="AO291" s="15" t="n"/>
      <c r="AP291" s="10" t="n"/>
      <c r="AQ291" s="15">
        <f>IF($B291="","",IF(OR(ISERROR(MATCH($B291,Community_Master!$A$2:$A$100,0)),$A291="",AND($H291&lt;&gt;"",$I291&gt;$H291),AND($H291&lt;&gt;"",$J291&gt;$H291),$I291&lt;0,$J291&lt;0,$K291&lt;0,$P291&lt;0,$Q291&lt;0,$Y291&lt;0,$Z291&lt;0,$AA291&lt;0,$AB291&lt;0,$AC291&lt;0),"ERROR","OK"))</f>
        <v/>
      </c>
      <c r="AR291" s="15">
        <f>IF($B291="","",TRIM(IF(ISERROR(MATCH($B291,Community_Master!$A$2:$A$100,0)),"Invalid Community_ID; ","")&amp;IF($A291="","Missing Report_Month; ","")&amp;IF(AND($H291&lt;&gt;"",$I291&gt;$H291),"Occupied_Units greater than Total_Units; ","")&amp;IF(AND($H291&lt;&gt;"",$J291&gt;$H291),"Leased_Units greater than Total_Units; ","")&amp;IF($I291&lt;0,"Occupied_Units negative; ","")&amp;IF($J291&lt;0,"Leased_Units negative; ","")&amp;IF($P291&lt;0,"Avg_Market_Rent negative; ","")))</f>
        <v/>
      </c>
    </row>
    <row r="292" ht="15" customHeight="1">
      <c r="A292" s="5" t="n"/>
      <c r="B292" s="15" t="n"/>
      <c r="C292" s="15">
        <f>IFERROR(VLOOKUP($B292,Community_Master!$A$2:$K$100,2,FALSE),"")</f>
        <v/>
      </c>
      <c r="D292" s="15">
        <f>IFERROR(VLOOKUP($B292,Community_Master!$A$2:$K$100,4,FALSE),"")</f>
        <v/>
      </c>
      <c r="E292" s="15">
        <f>IFERROR(VLOOKUP($B292,Community_Master!$A$2:$K$100,5,FALSE),"")</f>
        <v/>
      </c>
      <c r="F292" s="15">
        <f>IFERROR(VLOOKUP($B292,Community_Master!$A$2:$K$100,6,FALSE),"")</f>
        <v/>
      </c>
      <c r="G292" s="15">
        <f>IFERROR(VLOOKUP($B292,Community_Master!$A$2:$K$100,8,FALSE),"")</f>
        <v/>
      </c>
      <c r="H292" s="15">
        <f>IFERROR(VLOOKUP($B292,Community_Master!$A$2:$K$100,7,FALSE),"")</f>
        <v/>
      </c>
      <c r="I292" s="15" t="n"/>
      <c r="J292" s="15" t="n"/>
      <c r="K292" s="15" t="n"/>
      <c r="L292" s="15">
        <f>IF($H292="","",MAX($H292-$I292,0))</f>
        <v/>
      </c>
      <c r="M292" s="6">
        <f>IF($H292="","",IFERROR($I292/$H292,""))</f>
        <v/>
      </c>
      <c r="N292" s="6">
        <f>IF($H292="","",IFERROR($J292/$H292,""))</f>
        <v/>
      </c>
      <c r="O292" s="6" t="n"/>
      <c r="P292" s="7" t="n"/>
      <c r="Q292" s="7" t="n"/>
      <c r="R292" s="7" t="n"/>
      <c r="S292" s="7" t="n"/>
      <c r="T292" s="7">
        <f>IF($H292="","",IFERROR($H292*$P292,""))</f>
        <v/>
      </c>
      <c r="U292" s="7" t="n"/>
      <c r="V292" s="7" t="n"/>
      <c r="W292" s="7" t="n"/>
      <c r="X292" s="7">
        <f>IF(OR($U292="",$W292=""),"",($U292+$V292)-$W292)</f>
        <v/>
      </c>
      <c r="Y292" s="8" t="n"/>
      <c r="Z292" s="8" t="n"/>
      <c r="AA292" s="8" t="n"/>
      <c r="AB292" s="8" t="n"/>
      <c r="AC292" s="8" t="n"/>
      <c r="AD292" s="8" t="n"/>
      <c r="AE292" s="8" t="n"/>
      <c r="AF292" s="8" t="n"/>
      <c r="AG292" s="8" t="n"/>
      <c r="AH292" s="8" t="n"/>
      <c r="AI292" s="9" t="n"/>
      <c r="AJ292" s="8" t="n"/>
      <c r="AK292" s="8" t="n"/>
      <c r="AL292" s="15" t="n"/>
      <c r="AM292" s="15" t="n"/>
      <c r="AN292" s="15" t="n"/>
      <c r="AO292" s="15" t="n"/>
      <c r="AP292" s="10" t="n"/>
      <c r="AQ292" s="15">
        <f>IF($B292="","",IF(OR(ISERROR(MATCH($B292,Community_Master!$A$2:$A$100,0)),$A292="",AND($H292&lt;&gt;"",$I292&gt;$H292),AND($H292&lt;&gt;"",$J292&gt;$H292),$I292&lt;0,$J292&lt;0,$K292&lt;0,$P292&lt;0,$Q292&lt;0,$Y292&lt;0,$Z292&lt;0,$AA292&lt;0,$AB292&lt;0,$AC292&lt;0),"ERROR","OK"))</f>
        <v/>
      </c>
      <c r="AR292" s="15">
        <f>IF($B292="","",TRIM(IF(ISERROR(MATCH($B292,Community_Master!$A$2:$A$100,0)),"Invalid Community_ID; ","")&amp;IF($A292="","Missing Report_Month; ","")&amp;IF(AND($H292&lt;&gt;"",$I292&gt;$H292),"Occupied_Units greater than Total_Units; ","")&amp;IF(AND($H292&lt;&gt;"",$J292&gt;$H292),"Leased_Units greater than Total_Units; ","")&amp;IF($I292&lt;0,"Occupied_Units negative; ","")&amp;IF($J292&lt;0,"Leased_Units negative; ","")&amp;IF($P292&lt;0,"Avg_Market_Rent negative; ","")))</f>
        <v/>
      </c>
    </row>
    <row r="293" ht="15" customHeight="1">
      <c r="A293" s="5" t="n"/>
      <c r="B293" s="15" t="n"/>
      <c r="C293" s="15">
        <f>IFERROR(VLOOKUP($B293,Community_Master!$A$2:$K$100,2,FALSE),"")</f>
        <v/>
      </c>
      <c r="D293" s="15">
        <f>IFERROR(VLOOKUP($B293,Community_Master!$A$2:$K$100,4,FALSE),"")</f>
        <v/>
      </c>
      <c r="E293" s="15">
        <f>IFERROR(VLOOKUP($B293,Community_Master!$A$2:$K$100,5,FALSE),"")</f>
        <v/>
      </c>
      <c r="F293" s="15">
        <f>IFERROR(VLOOKUP($B293,Community_Master!$A$2:$K$100,6,FALSE),"")</f>
        <v/>
      </c>
      <c r="G293" s="15">
        <f>IFERROR(VLOOKUP($B293,Community_Master!$A$2:$K$100,8,FALSE),"")</f>
        <v/>
      </c>
      <c r="H293" s="15">
        <f>IFERROR(VLOOKUP($B293,Community_Master!$A$2:$K$100,7,FALSE),"")</f>
        <v/>
      </c>
      <c r="I293" s="15" t="n"/>
      <c r="J293" s="15" t="n"/>
      <c r="K293" s="15" t="n"/>
      <c r="L293" s="15">
        <f>IF($H293="","",MAX($H293-$I293,0))</f>
        <v/>
      </c>
      <c r="M293" s="6">
        <f>IF($H293="","",IFERROR($I293/$H293,""))</f>
        <v/>
      </c>
      <c r="N293" s="6">
        <f>IF($H293="","",IFERROR($J293/$H293,""))</f>
        <v/>
      </c>
      <c r="O293" s="6" t="n"/>
      <c r="P293" s="7" t="n"/>
      <c r="Q293" s="7" t="n"/>
      <c r="R293" s="7" t="n"/>
      <c r="S293" s="7" t="n"/>
      <c r="T293" s="7">
        <f>IF($H293="","",IFERROR($H293*$P293,""))</f>
        <v/>
      </c>
      <c r="U293" s="7" t="n"/>
      <c r="V293" s="7" t="n"/>
      <c r="W293" s="7" t="n"/>
      <c r="X293" s="7">
        <f>IF(OR($U293="",$W293=""),"",($U293+$V293)-$W293)</f>
        <v/>
      </c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9" t="n"/>
      <c r="AJ293" s="8" t="n"/>
      <c r="AK293" s="8" t="n"/>
      <c r="AL293" s="15" t="n"/>
      <c r="AM293" s="15" t="n"/>
      <c r="AN293" s="15" t="n"/>
      <c r="AO293" s="15" t="n"/>
      <c r="AP293" s="10" t="n"/>
      <c r="AQ293" s="15">
        <f>IF($B293="","",IF(OR(ISERROR(MATCH($B293,Community_Master!$A$2:$A$100,0)),$A293="",AND($H293&lt;&gt;"",$I293&gt;$H293),AND($H293&lt;&gt;"",$J293&gt;$H293),$I293&lt;0,$J293&lt;0,$K293&lt;0,$P293&lt;0,$Q293&lt;0,$Y293&lt;0,$Z293&lt;0,$AA293&lt;0,$AB293&lt;0,$AC293&lt;0),"ERROR","OK"))</f>
        <v/>
      </c>
      <c r="AR293" s="15">
        <f>IF($B293="","",TRIM(IF(ISERROR(MATCH($B293,Community_Master!$A$2:$A$100,0)),"Invalid Community_ID; ","")&amp;IF($A293="","Missing Report_Month; ","")&amp;IF(AND($H293&lt;&gt;"",$I293&gt;$H293),"Occupied_Units greater than Total_Units; ","")&amp;IF(AND($H293&lt;&gt;"",$J293&gt;$H293),"Leased_Units greater than Total_Units; ","")&amp;IF($I293&lt;0,"Occupied_Units negative; ","")&amp;IF($J293&lt;0,"Leased_Units negative; ","")&amp;IF($P293&lt;0,"Avg_Market_Rent negative; ","")))</f>
        <v/>
      </c>
    </row>
    <row r="294" ht="15" customHeight="1">
      <c r="A294" s="5" t="n"/>
      <c r="B294" s="15" t="n"/>
      <c r="C294" s="15">
        <f>IFERROR(VLOOKUP($B294,Community_Master!$A$2:$K$100,2,FALSE),"")</f>
        <v/>
      </c>
      <c r="D294" s="15">
        <f>IFERROR(VLOOKUP($B294,Community_Master!$A$2:$K$100,4,FALSE),"")</f>
        <v/>
      </c>
      <c r="E294" s="15">
        <f>IFERROR(VLOOKUP($B294,Community_Master!$A$2:$K$100,5,FALSE),"")</f>
        <v/>
      </c>
      <c r="F294" s="15">
        <f>IFERROR(VLOOKUP($B294,Community_Master!$A$2:$K$100,6,FALSE),"")</f>
        <v/>
      </c>
      <c r="G294" s="15">
        <f>IFERROR(VLOOKUP($B294,Community_Master!$A$2:$K$100,8,FALSE),"")</f>
        <v/>
      </c>
      <c r="H294" s="15">
        <f>IFERROR(VLOOKUP($B294,Community_Master!$A$2:$K$100,7,FALSE),"")</f>
        <v/>
      </c>
      <c r="I294" s="15" t="n"/>
      <c r="J294" s="15" t="n"/>
      <c r="K294" s="15" t="n"/>
      <c r="L294" s="15">
        <f>IF($H294="","",MAX($H294-$I294,0))</f>
        <v/>
      </c>
      <c r="M294" s="6">
        <f>IF($H294="","",IFERROR($I294/$H294,""))</f>
        <v/>
      </c>
      <c r="N294" s="6">
        <f>IF($H294="","",IFERROR($J294/$H294,""))</f>
        <v/>
      </c>
      <c r="O294" s="6" t="n"/>
      <c r="P294" s="7" t="n"/>
      <c r="Q294" s="7" t="n"/>
      <c r="R294" s="7" t="n"/>
      <c r="S294" s="7" t="n"/>
      <c r="T294" s="7">
        <f>IF($H294="","",IFERROR($H294*$P294,""))</f>
        <v/>
      </c>
      <c r="U294" s="7" t="n"/>
      <c r="V294" s="7" t="n"/>
      <c r="W294" s="7" t="n"/>
      <c r="X294" s="7">
        <f>IF(OR($U294="",$W294=""),"",($U294+$V294)-$W294)</f>
        <v/>
      </c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9" t="n"/>
      <c r="AJ294" s="8" t="n"/>
      <c r="AK294" s="8" t="n"/>
      <c r="AL294" s="15" t="n"/>
      <c r="AM294" s="15" t="n"/>
      <c r="AN294" s="15" t="n"/>
      <c r="AO294" s="15" t="n"/>
      <c r="AP294" s="10" t="n"/>
      <c r="AQ294" s="15">
        <f>IF($B294="","",IF(OR(ISERROR(MATCH($B294,Community_Master!$A$2:$A$100,0)),$A294="",AND($H294&lt;&gt;"",$I294&gt;$H294),AND($H294&lt;&gt;"",$J294&gt;$H294),$I294&lt;0,$J294&lt;0,$K294&lt;0,$P294&lt;0,$Q294&lt;0,$Y294&lt;0,$Z294&lt;0,$AA294&lt;0,$AB294&lt;0,$AC294&lt;0),"ERROR","OK"))</f>
        <v/>
      </c>
      <c r="AR294" s="15">
        <f>IF($B294="","",TRIM(IF(ISERROR(MATCH($B294,Community_Master!$A$2:$A$100,0)),"Invalid Community_ID; ","")&amp;IF($A294="","Missing Report_Month; ","")&amp;IF(AND($H294&lt;&gt;"",$I294&gt;$H294),"Occupied_Units greater than Total_Units; ","")&amp;IF(AND($H294&lt;&gt;"",$J294&gt;$H294),"Leased_Units greater than Total_Units; ","")&amp;IF($I294&lt;0,"Occupied_Units negative; ","")&amp;IF($J294&lt;0,"Leased_Units negative; ","")&amp;IF($P294&lt;0,"Avg_Market_Rent negative; ","")))</f>
        <v/>
      </c>
    </row>
    <row r="295" ht="15" customHeight="1">
      <c r="A295" s="5" t="n"/>
      <c r="B295" s="15" t="n"/>
      <c r="C295" s="15">
        <f>IFERROR(VLOOKUP($B295,Community_Master!$A$2:$K$100,2,FALSE),"")</f>
        <v/>
      </c>
      <c r="D295" s="15">
        <f>IFERROR(VLOOKUP($B295,Community_Master!$A$2:$K$100,4,FALSE),"")</f>
        <v/>
      </c>
      <c r="E295" s="15">
        <f>IFERROR(VLOOKUP($B295,Community_Master!$A$2:$K$100,5,FALSE),"")</f>
        <v/>
      </c>
      <c r="F295" s="15">
        <f>IFERROR(VLOOKUP($B295,Community_Master!$A$2:$K$100,6,FALSE),"")</f>
        <v/>
      </c>
      <c r="G295" s="15">
        <f>IFERROR(VLOOKUP($B295,Community_Master!$A$2:$K$100,8,FALSE),"")</f>
        <v/>
      </c>
      <c r="H295" s="15">
        <f>IFERROR(VLOOKUP($B295,Community_Master!$A$2:$K$100,7,FALSE),"")</f>
        <v/>
      </c>
      <c r="I295" s="15" t="n"/>
      <c r="J295" s="15" t="n"/>
      <c r="K295" s="15" t="n"/>
      <c r="L295" s="15">
        <f>IF($H295="","",MAX($H295-$I295,0))</f>
        <v/>
      </c>
      <c r="M295" s="6">
        <f>IF($H295="","",IFERROR($I295/$H295,""))</f>
        <v/>
      </c>
      <c r="N295" s="6">
        <f>IF($H295="","",IFERROR($J295/$H295,""))</f>
        <v/>
      </c>
      <c r="O295" s="6" t="n"/>
      <c r="P295" s="7" t="n"/>
      <c r="Q295" s="7" t="n"/>
      <c r="R295" s="7" t="n"/>
      <c r="S295" s="7" t="n"/>
      <c r="T295" s="7">
        <f>IF($H295="","",IFERROR($H295*$P295,""))</f>
        <v/>
      </c>
      <c r="U295" s="7" t="n"/>
      <c r="V295" s="7" t="n"/>
      <c r="W295" s="7" t="n"/>
      <c r="X295" s="7">
        <f>IF(OR($U295="",$W295=""),"",($U295+$V295)-$W295)</f>
        <v/>
      </c>
      <c r="Y295" s="8" t="n"/>
      <c r="Z295" s="8" t="n"/>
      <c r="AA295" s="8" t="n"/>
      <c r="AB295" s="8" t="n"/>
      <c r="AC295" s="8" t="n"/>
      <c r="AD295" s="8" t="n"/>
      <c r="AE295" s="8" t="n"/>
      <c r="AF295" s="8" t="n"/>
      <c r="AG295" s="8" t="n"/>
      <c r="AH295" s="8" t="n"/>
      <c r="AI295" s="9" t="n"/>
      <c r="AJ295" s="8" t="n"/>
      <c r="AK295" s="8" t="n"/>
      <c r="AL295" s="15" t="n"/>
      <c r="AM295" s="15" t="n"/>
      <c r="AN295" s="15" t="n"/>
      <c r="AO295" s="15" t="n"/>
      <c r="AP295" s="10" t="n"/>
      <c r="AQ295" s="15">
        <f>IF($B295="","",IF(OR(ISERROR(MATCH($B295,Community_Master!$A$2:$A$100,0)),$A295="",AND($H295&lt;&gt;"",$I295&gt;$H295),AND($H295&lt;&gt;"",$J295&gt;$H295),$I295&lt;0,$J295&lt;0,$K295&lt;0,$P295&lt;0,$Q295&lt;0,$Y295&lt;0,$Z295&lt;0,$AA295&lt;0,$AB295&lt;0,$AC295&lt;0),"ERROR","OK"))</f>
        <v/>
      </c>
      <c r="AR295" s="15">
        <f>IF($B295="","",TRIM(IF(ISERROR(MATCH($B295,Community_Master!$A$2:$A$100,0)),"Invalid Community_ID; ","")&amp;IF($A295="","Missing Report_Month; ","")&amp;IF(AND($H295&lt;&gt;"",$I295&gt;$H295),"Occupied_Units greater than Total_Units; ","")&amp;IF(AND($H295&lt;&gt;"",$J295&gt;$H295),"Leased_Units greater than Total_Units; ","")&amp;IF($I295&lt;0,"Occupied_Units negative; ","")&amp;IF($J295&lt;0,"Leased_Units negative; ","")&amp;IF($P295&lt;0,"Avg_Market_Rent negative; ","")))</f>
        <v/>
      </c>
    </row>
    <row r="296" ht="15" customHeight="1">
      <c r="A296" s="5" t="n"/>
      <c r="B296" s="15" t="n"/>
      <c r="C296" s="15">
        <f>IFERROR(VLOOKUP($B296,Community_Master!$A$2:$K$100,2,FALSE),"")</f>
        <v/>
      </c>
      <c r="D296" s="15">
        <f>IFERROR(VLOOKUP($B296,Community_Master!$A$2:$K$100,4,FALSE),"")</f>
        <v/>
      </c>
      <c r="E296" s="15">
        <f>IFERROR(VLOOKUP($B296,Community_Master!$A$2:$K$100,5,FALSE),"")</f>
        <v/>
      </c>
      <c r="F296" s="15">
        <f>IFERROR(VLOOKUP($B296,Community_Master!$A$2:$K$100,6,FALSE),"")</f>
        <v/>
      </c>
      <c r="G296" s="15">
        <f>IFERROR(VLOOKUP($B296,Community_Master!$A$2:$K$100,8,FALSE),"")</f>
        <v/>
      </c>
      <c r="H296" s="15">
        <f>IFERROR(VLOOKUP($B296,Community_Master!$A$2:$K$100,7,FALSE),"")</f>
        <v/>
      </c>
      <c r="I296" s="15" t="n"/>
      <c r="J296" s="15" t="n"/>
      <c r="K296" s="15" t="n"/>
      <c r="L296" s="15">
        <f>IF($H296="","",MAX($H296-$I296,0))</f>
        <v/>
      </c>
      <c r="M296" s="6">
        <f>IF($H296="","",IFERROR($I296/$H296,""))</f>
        <v/>
      </c>
      <c r="N296" s="6">
        <f>IF($H296="","",IFERROR($J296/$H296,""))</f>
        <v/>
      </c>
      <c r="O296" s="6" t="n"/>
      <c r="P296" s="7" t="n"/>
      <c r="Q296" s="7" t="n"/>
      <c r="R296" s="7" t="n"/>
      <c r="S296" s="7" t="n"/>
      <c r="T296" s="7">
        <f>IF($H296="","",IFERROR($H296*$P296,""))</f>
        <v/>
      </c>
      <c r="U296" s="7" t="n"/>
      <c r="V296" s="7" t="n"/>
      <c r="W296" s="7" t="n"/>
      <c r="X296" s="7">
        <f>IF(OR($U296="",$W296=""),"",($U296+$V296)-$W296)</f>
        <v/>
      </c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9" t="n"/>
      <c r="AJ296" s="8" t="n"/>
      <c r="AK296" s="8" t="n"/>
      <c r="AL296" s="15" t="n"/>
      <c r="AM296" s="15" t="n"/>
      <c r="AN296" s="15" t="n"/>
      <c r="AO296" s="15" t="n"/>
      <c r="AP296" s="10" t="n"/>
      <c r="AQ296" s="15">
        <f>IF($B296="","",IF(OR(ISERROR(MATCH($B296,Community_Master!$A$2:$A$100,0)),$A296="",AND($H296&lt;&gt;"",$I296&gt;$H296),AND($H296&lt;&gt;"",$J296&gt;$H296),$I296&lt;0,$J296&lt;0,$K296&lt;0,$P296&lt;0,$Q296&lt;0,$Y296&lt;0,$Z296&lt;0,$AA296&lt;0,$AB296&lt;0,$AC296&lt;0),"ERROR","OK"))</f>
        <v/>
      </c>
      <c r="AR296" s="15">
        <f>IF($B296="","",TRIM(IF(ISERROR(MATCH($B296,Community_Master!$A$2:$A$100,0)),"Invalid Community_ID; ","")&amp;IF($A296="","Missing Report_Month; ","")&amp;IF(AND($H296&lt;&gt;"",$I296&gt;$H296),"Occupied_Units greater than Total_Units; ","")&amp;IF(AND($H296&lt;&gt;"",$J296&gt;$H296),"Leased_Units greater than Total_Units; ","")&amp;IF($I296&lt;0,"Occupied_Units negative; ","")&amp;IF($J296&lt;0,"Leased_Units negative; ","")&amp;IF($P296&lt;0,"Avg_Market_Rent negative; ","")))</f>
        <v/>
      </c>
    </row>
    <row r="297" ht="15" customHeight="1">
      <c r="A297" s="5" t="n"/>
      <c r="B297" s="15" t="n"/>
      <c r="C297" s="15">
        <f>IFERROR(VLOOKUP($B297,Community_Master!$A$2:$K$100,2,FALSE),"")</f>
        <v/>
      </c>
      <c r="D297" s="15">
        <f>IFERROR(VLOOKUP($B297,Community_Master!$A$2:$K$100,4,FALSE),"")</f>
        <v/>
      </c>
      <c r="E297" s="15">
        <f>IFERROR(VLOOKUP($B297,Community_Master!$A$2:$K$100,5,FALSE),"")</f>
        <v/>
      </c>
      <c r="F297" s="15">
        <f>IFERROR(VLOOKUP($B297,Community_Master!$A$2:$K$100,6,FALSE),"")</f>
        <v/>
      </c>
      <c r="G297" s="15">
        <f>IFERROR(VLOOKUP($B297,Community_Master!$A$2:$K$100,8,FALSE),"")</f>
        <v/>
      </c>
      <c r="H297" s="15">
        <f>IFERROR(VLOOKUP($B297,Community_Master!$A$2:$K$100,7,FALSE),"")</f>
        <v/>
      </c>
      <c r="I297" s="15" t="n"/>
      <c r="J297" s="15" t="n"/>
      <c r="K297" s="15" t="n"/>
      <c r="L297" s="15">
        <f>IF($H297="","",MAX($H297-$I297,0))</f>
        <v/>
      </c>
      <c r="M297" s="6">
        <f>IF($H297="","",IFERROR($I297/$H297,""))</f>
        <v/>
      </c>
      <c r="N297" s="6">
        <f>IF($H297="","",IFERROR($J297/$H297,""))</f>
        <v/>
      </c>
      <c r="O297" s="6" t="n"/>
      <c r="P297" s="7" t="n"/>
      <c r="Q297" s="7" t="n"/>
      <c r="R297" s="7" t="n"/>
      <c r="S297" s="7" t="n"/>
      <c r="T297" s="7">
        <f>IF($H297="","",IFERROR($H297*$P297,""))</f>
        <v/>
      </c>
      <c r="U297" s="7" t="n"/>
      <c r="V297" s="7" t="n"/>
      <c r="W297" s="7" t="n"/>
      <c r="X297" s="7">
        <f>IF(OR($U297="",$W297=""),"",($U297+$V297)-$W297)</f>
        <v/>
      </c>
      <c r="Y297" s="8" t="n"/>
      <c r="Z297" s="8" t="n"/>
      <c r="AA297" s="8" t="n"/>
      <c r="AB297" s="8" t="n"/>
      <c r="AC297" s="8" t="n"/>
      <c r="AD297" s="8" t="n"/>
      <c r="AE297" s="8" t="n"/>
      <c r="AF297" s="8" t="n"/>
      <c r="AG297" s="8" t="n"/>
      <c r="AH297" s="8" t="n"/>
      <c r="AI297" s="9" t="n"/>
      <c r="AJ297" s="8" t="n"/>
      <c r="AK297" s="8" t="n"/>
      <c r="AL297" s="15" t="n"/>
      <c r="AM297" s="15" t="n"/>
      <c r="AN297" s="15" t="n"/>
      <c r="AO297" s="15" t="n"/>
      <c r="AP297" s="10" t="n"/>
      <c r="AQ297" s="15">
        <f>IF($B297="","",IF(OR(ISERROR(MATCH($B297,Community_Master!$A$2:$A$100,0)),$A297="",AND($H297&lt;&gt;"",$I297&gt;$H297),AND($H297&lt;&gt;"",$J297&gt;$H297),$I297&lt;0,$J297&lt;0,$K297&lt;0,$P297&lt;0,$Q297&lt;0,$Y297&lt;0,$Z297&lt;0,$AA297&lt;0,$AB297&lt;0,$AC297&lt;0),"ERROR","OK"))</f>
        <v/>
      </c>
      <c r="AR297" s="15">
        <f>IF($B297="","",TRIM(IF(ISERROR(MATCH($B297,Community_Master!$A$2:$A$100,0)),"Invalid Community_ID; ","")&amp;IF($A297="","Missing Report_Month; ","")&amp;IF(AND($H297&lt;&gt;"",$I297&gt;$H297),"Occupied_Units greater than Total_Units; ","")&amp;IF(AND($H297&lt;&gt;"",$J297&gt;$H297),"Leased_Units greater than Total_Units; ","")&amp;IF($I297&lt;0,"Occupied_Units negative; ","")&amp;IF($J297&lt;0,"Leased_Units negative; ","")&amp;IF($P297&lt;0,"Avg_Market_Rent negative; ","")))</f>
        <v/>
      </c>
    </row>
    <row r="298" ht="15" customHeight="1">
      <c r="A298" s="5" t="n"/>
      <c r="B298" s="15" t="n"/>
      <c r="C298" s="15">
        <f>IFERROR(VLOOKUP($B298,Community_Master!$A$2:$K$100,2,FALSE),"")</f>
        <v/>
      </c>
      <c r="D298" s="15">
        <f>IFERROR(VLOOKUP($B298,Community_Master!$A$2:$K$100,4,FALSE),"")</f>
        <v/>
      </c>
      <c r="E298" s="15">
        <f>IFERROR(VLOOKUP($B298,Community_Master!$A$2:$K$100,5,FALSE),"")</f>
        <v/>
      </c>
      <c r="F298" s="15">
        <f>IFERROR(VLOOKUP($B298,Community_Master!$A$2:$K$100,6,FALSE),"")</f>
        <v/>
      </c>
      <c r="G298" s="15">
        <f>IFERROR(VLOOKUP($B298,Community_Master!$A$2:$K$100,8,FALSE),"")</f>
        <v/>
      </c>
      <c r="H298" s="15">
        <f>IFERROR(VLOOKUP($B298,Community_Master!$A$2:$K$100,7,FALSE),"")</f>
        <v/>
      </c>
      <c r="I298" s="15" t="n"/>
      <c r="J298" s="15" t="n"/>
      <c r="K298" s="15" t="n"/>
      <c r="L298" s="15">
        <f>IF($H298="","",MAX($H298-$I298,0))</f>
        <v/>
      </c>
      <c r="M298" s="6">
        <f>IF($H298="","",IFERROR($I298/$H298,""))</f>
        <v/>
      </c>
      <c r="N298" s="6">
        <f>IF($H298="","",IFERROR($J298/$H298,""))</f>
        <v/>
      </c>
      <c r="O298" s="6" t="n"/>
      <c r="P298" s="7" t="n"/>
      <c r="Q298" s="7" t="n"/>
      <c r="R298" s="7" t="n"/>
      <c r="S298" s="7" t="n"/>
      <c r="T298" s="7">
        <f>IF($H298="","",IFERROR($H298*$P298,""))</f>
        <v/>
      </c>
      <c r="U298" s="7" t="n"/>
      <c r="V298" s="7" t="n"/>
      <c r="W298" s="7" t="n"/>
      <c r="X298" s="7">
        <f>IF(OR($U298="",$W298=""),"",($U298+$V298)-$W298)</f>
        <v/>
      </c>
      <c r="Y298" s="8" t="n"/>
      <c r="Z298" s="8" t="n"/>
      <c r="AA298" s="8" t="n"/>
      <c r="AB298" s="8" t="n"/>
      <c r="AC298" s="8" t="n"/>
      <c r="AD298" s="8" t="n"/>
      <c r="AE298" s="8" t="n"/>
      <c r="AF298" s="8" t="n"/>
      <c r="AG298" s="8" t="n"/>
      <c r="AH298" s="8" t="n"/>
      <c r="AI298" s="9" t="n"/>
      <c r="AJ298" s="8" t="n"/>
      <c r="AK298" s="8" t="n"/>
      <c r="AL298" s="15" t="n"/>
      <c r="AM298" s="15" t="n"/>
      <c r="AN298" s="15" t="n"/>
      <c r="AO298" s="15" t="n"/>
      <c r="AP298" s="10" t="n"/>
      <c r="AQ298" s="15">
        <f>IF($B298="","",IF(OR(ISERROR(MATCH($B298,Community_Master!$A$2:$A$100,0)),$A298="",AND($H298&lt;&gt;"",$I298&gt;$H298),AND($H298&lt;&gt;"",$J298&gt;$H298),$I298&lt;0,$J298&lt;0,$K298&lt;0,$P298&lt;0,$Q298&lt;0,$Y298&lt;0,$Z298&lt;0,$AA298&lt;0,$AB298&lt;0,$AC298&lt;0),"ERROR","OK"))</f>
        <v/>
      </c>
      <c r="AR298" s="15">
        <f>IF($B298="","",TRIM(IF(ISERROR(MATCH($B298,Community_Master!$A$2:$A$100,0)),"Invalid Community_ID; ","")&amp;IF($A298="","Missing Report_Month; ","")&amp;IF(AND($H298&lt;&gt;"",$I298&gt;$H298),"Occupied_Units greater than Total_Units; ","")&amp;IF(AND($H298&lt;&gt;"",$J298&gt;$H298),"Leased_Units greater than Total_Units; ","")&amp;IF($I298&lt;0,"Occupied_Units negative; ","")&amp;IF($J298&lt;0,"Leased_Units negative; ","")&amp;IF($P298&lt;0,"Avg_Market_Rent negative; ","")))</f>
        <v/>
      </c>
    </row>
    <row r="299" ht="15" customHeight="1">
      <c r="A299" s="5" t="n"/>
      <c r="B299" s="15" t="n"/>
      <c r="C299" s="15">
        <f>IFERROR(VLOOKUP($B299,Community_Master!$A$2:$K$100,2,FALSE),"")</f>
        <v/>
      </c>
      <c r="D299" s="15">
        <f>IFERROR(VLOOKUP($B299,Community_Master!$A$2:$K$100,4,FALSE),"")</f>
        <v/>
      </c>
      <c r="E299" s="15">
        <f>IFERROR(VLOOKUP($B299,Community_Master!$A$2:$K$100,5,FALSE),"")</f>
        <v/>
      </c>
      <c r="F299" s="15">
        <f>IFERROR(VLOOKUP($B299,Community_Master!$A$2:$K$100,6,FALSE),"")</f>
        <v/>
      </c>
      <c r="G299" s="15">
        <f>IFERROR(VLOOKUP($B299,Community_Master!$A$2:$K$100,8,FALSE),"")</f>
        <v/>
      </c>
      <c r="H299" s="15">
        <f>IFERROR(VLOOKUP($B299,Community_Master!$A$2:$K$100,7,FALSE),"")</f>
        <v/>
      </c>
      <c r="I299" s="15" t="n"/>
      <c r="J299" s="15" t="n"/>
      <c r="K299" s="15" t="n"/>
      <c r="L299" s="15">
        <f>IF($H299="","",MAX($H299-$I299,0))</f>
        <v/>
      </c>
      <c r="M299" s="6">
        <f>IF($H299="","",IFERROR($I299/$H299,""))</f>
        <v/>
      </c>
      <c r="N299" s="6">
        <f>IF($H299="","",IFERROR($J299/$H299,""))</f>
        <v/>
      </c>
      <c r="O299" s="6" t="n"/>
      <c r="P299" s="7" t="n"/>
      <c r="Q299" s="7" t="n"/>
      <c r="R299" s="7" t="n"/>
      <c r="S299" s="7" t="n"/>
      <c r="T299" s="7">
        <f>IF($H299="","",IFERROR($H299*$P299,""))</f>
        <v/>
      </c>
      <c r="U299" s="7" t="n"/>
      <c r="V299" s="7" t="n"/>
      <c r="W299" s="7" t="n"/>
      <c r="X299" s="7">
        <f>IF(OR($U299="",$W299=""),"",($U299+$V299)-$W299)</f>
        <v/>
      </c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  <c r="AH299" s="8" t="n"/>
      <c r="AI299" s="9" t="n"/>
      <c r="AJ299" s="8" t="n"/>
      <c r="AK299" s="8" t="n"/>
      <c r="AL299" s="15" t="n"/>
      <c r="AM299" s="15" t="n"/>
      <c r="AN299" s="15" t="n"/>
      <c r="AO299" s="15" t="n"/>
      <c r="AP299" s="10" t="n"/>
      <c r="AQ299" s="15">
        <f>IF($B299="","",IF(OR(ISERROR(MATCH($B299,Community_Master!$A$2:$A$100,0)),$A299="",AND($H299&lt;&gt;"",$I299&gt;$H299),AND($H299&lt;&gt;"",$J299&gt;$H299),$I299&lt;0,$J299&lt;0,$K299&lt;0,$P299&lt;0,$Q299&lt;0,$Y299&lt;0,$Z299&lt;0,$AA299&lt;0,$AB299&lt;0,$AC299&lt;0),"ERROR","OK"))</f>
        <v/>
      </c>
      <c r="AR299" s="15">
        <f>IF($B299="","",TRIM(IF(ISERROR(MATCH($B299,Community_Master!$A$2:$A$100,0)),"Invalid Community_ID; ","")&amp;IF($A299="","Missing Report_Month; ","")&amp;IF(AND($H299&lt;&gt;"",$I299&gt;$H299),"Occupied_Units greater than Total_Units; ","")&amp;IF(AND($H299&lt;&gt;"",$J299&gt;$H299),"Leased_Units greater than Total_Units; ","")&amp;IF($I299&lt;0,"Occupied_Units negative; ","")&amp;IF($J299&lt;0,"Leased_Units negative; ","")&amp;IF($P299&lt;0,"Avg_Market_Rent negative; ","")))</f>
        <v/>
      </c>
    </row>
    <row r="300" ht="15" customHeight="1">
      <c r="A300" s="5" t="n"/>
      <c r="B300" s="15" t="n"/>
      <c r="C300" s="15">
        <f>IFERROR(VLOOKUP($B300,Community_Master!$A$2:$K$100,2,FALSE),"")</f>
        <v/>
      </c>
      <c r="D300" s="15">
        <f>IFERROR(VLOOKUP($B300,Community_Master!$A$2:$K$100,4,FALSE),"")</f>
        <v/>
      </c>
      <c r="E300" s="15">
        <f>IFERROR(VLOOKUP($B300,Community_Master!$A$2:$K$100,5,FALSE),"")</f>
        <v/>
      </c>
      <c r="F300" s="15">
        <f>IFERROR(VLOOKUP($B300,Community_Master!$A$2:$K$100,6,FALSE),"")</f>
        <v/>
      </c>
      <c r="G300" s="15">
        <f>IFERROR(VLOOKUP($B300,Community_Master!$A$2:$K$100,8,FALSE),"")</f>
        <v/>
      </c>
      <c r="H300" s="15">
        <f>IFERROR(VLOOKUP($B300,Community_Master!$A$2:$K$100,7,FALSE),"")</f>
        <v/>
      </c>
      <c r="I300" s="15" t="n"/>
      <c r="J300" s="15" t="n"/>
      <c r="K300" s="15" t="n"/>
      <c r="L300" s="15">
        <f>IF($H300="","",MAX($H300-$I300,0))</f>
        <v/>
      </c>
      <c r="M300" s="6">
        <f>IF($H300="","",IFERROR($I300/$H300,""))</f>
        <v/>
      </c>
      <c r="N300" s="6">
        <f>IF($H300="","",IFERROR($J300/$H300,""))</f>
        <v/>
      </c>
      <c r="O300" s="6" t="n"/>
      <c r="P300" s="7" t="n"/>
      <c r="Q300" s="7" t="n"/>
      <c r="R300" s="7" t="n"/>
      <c r="S300" s="7" t="n"/>
      <c r="T300" s="7">
        <f>IF($H300="","",IFERROR($H300*$P300,""))</f>
        <v/>
      </c>
      <c r="U300" s="7" t="n"/>
      <c r="V300" s="7" t="n"/>
      <c r="W300" s="7" t="n"/>
      <c r="X300" s="7">
        <f>IF(OR($U300="",$W300=""),"",($U300+$V300)-$W300)</f>
        <v/>
      </c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9" t="n"/>
      <c r="AJ300" s="8" t="n"/>
      <c r="AK300" s="8" t="n"/>
      <c r="AL300" s="15" t="n"/>
      <c r="AM300" s="15" t="n"/>
      <c r="AN300" s="15" t="n"/>
      <c r="AO300" s="15" t="n"/>
      <c r="AP300" s="10" t="n"/>
      <c r="AQ300" s="15">
        <f>IF($B300="","",IF(OR(ISERROR(MATCH($B300,Community_Master!$A$2:$A$100,0)),$A300="",AND($H300&lt;&gt;"",$I300&gt;$H300),AND($H300&lt;&gt;"",$J300&gt;$H300),$I300&lt;0,$J300&lt;0,$K300&lt;0,$P300&lt;0,$Q300&lt;0,$Y300&lt;0,$Z300&lt;0,$AA300&lt;0,$AB300&lt;0,$AC300&lt;0),"ERROR","OK"))</f>
        <v/>
      </c>
      <c r="AR300" s="15">
        <f>IF($B300="","",TRIM(IF(ISERROR(MATCH($B300,Community_Master!$A$2:$A$100,0)),"Invalid Community_ID; ","")&amp;IF($A300="","Missing Report_Month; ","")&amp;IF(AND($H300&lt;&gt;"",$I300&gt;$H300),"Occupied_Units greater than Total_Units; ","")&amp;IF(AND($H300&lt;&gt;"",$J300&gt;$H300),"Leased_Units greater than Total_Units; ","")&amp;IF($I300&lt;0,"Occupied_Units negative; ","")&amp;IF($J300&lt;0,"Leased_Units negative; ","")&amp;IF($P300&lt;0,"Avg_Market_Rent negative; ","")))</f>
        <v/>
      </c>
    </row>
    <row r="301" ht="15" customHeight="1">
      <c r="A301" s="5" t="n"/>
      <c r="B301" s="15" t="n"/>
      <c r="C301" s="15">
        <f>IFERROR(VLOOKUP($B301,Community_Master!$A$2:$K$100,2,FALSE),"")</f>
        <v/>
      </c>
      <c r="D301" s="15">
        <f>IFERROR(VLOOKUP($B301,Community_Master!$A$2:$K$100,4,FALSE),"")</f>
        <v/>
      </c>
      <c r="E301" s="15">
        <f>IFERROR(VLOOKUP($B301,Community_Master!$A$2:$K$100,5,FALSE),"")</f>
        <v/>
      </c>
      <c r="F301" s="15">
        <f>IFERROR(VLOOKUP($B301,Community_Master!$A$2:$K$100,6,FALSE),"")</f>
        <v/>
      </c>
      <c r="G301" s="15">
        <f>IFERROR(VLOOKUP($B301,Community_Master!$A$2:$K$100,8,FALSE),"")</f>
        <v/>
      </c>
      <c r="H301" s="15">
        <f>IFERROR(VLOOKUP($B301,Community_Master!$A$2:$K$100,7,FALSE),"")</f>
        <v/>
      </c>
      <c r="I301" s="15" t="n"/>
      <c r="J301" s="15" t="n"/>
      <c r="K301" s="15" t="n"/>
      <c r="L301" s="15">
        <f>IF($H301="","",MAX($H301-$I301,0))</f>
        <v/>
      </c>
      <c r="M301" s="6">
        <f>IF($H301="","",IFERROR($I301/$H301,""))</f>
        <v/>
      </c>
      <c r="N301" s="6">
        <f>IF($H301="","",IFERROR($J301/$H301,""))</f>
        <v/>
      </c>
      <c r="O301" s="6" t="n"/>
      <c r="P301" s="7" t="n"/>
      <c r="Q301" s="7" t="n"/>
      <c r="R301" s="7" t="n"/>
      <c r="S301" s="7" t="n"/>
      <c r="T301" s="7">
        <f>IF($H301="","",IFERROR($H301*$P301,""))</f>
        <v/>
      </c>
      <c r="U301" s="7" t="n"/>
      <c r="V301" s="7" t="n"/>
      <c r="W301" s="7" t="n"/>
      <c r="X301" s="7">
        <f>IF(OR($U301="",$W301=""),"",($U301+$V301)-$W301)</f>
        <v/>
      </c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9" t="n"/>
      <c r="AJ301" s="8" t="n"/>
      <c r="AK301" s="8" t="n"/>
      <c r="AL301" s="15" t="n"/>
      <c r="AM301" s="15" t="n"/>
      <c r="AN301" s="15" t="n"/>
      <c r="AO301" s="15" t="n"/>
      <c r="AP301" s="10" t="n"/>
      <c r="AQ301" s="15">
        <f>IF($B301="","",IF(OR(ISERROR(MATCH($B301,Community_Master!$A$2:$A$100,0)),$A301="",AND($H301&lt;&gt;"",$I301&gt;$H301),AND($H301&lt;&gt;"",$J301&gt;$H301),$I301&lt;0,$J301&lt;0,$K301&lt;0,$P301&lt;0,$Q301&lt;0,$Y301&lt;0,$Z301&lt;0,$AA301&lt;0,$AB301&lt;0,$AC301&lt;0),"ERROR","OK"))</f>
        <v/>
      </c>
      <c r="AR301" s="15">
        <f>IF($B301="","",TRIM(IF(ISERROR(MATCH($B301,Community_Master!$A$2:$A$100,0)),"Invalid Community_ID; ","")&amp;IF($A301="","Missing Report_Month; ","")&amp;IF(AND($H301&lt;&gt;"",$I301&gt;$H301),"Occupied_Units greater than Total_Units; ","")&amp;IF(AND($H301&lt;&gt;"",$J301&gt;$H301),"Leased_Units greater than Total_Units; ","")&amp;IF($I301&lt;0,"Occupied_Units negative; ","")&amp;IF($J301&lt;0,"Leased_Units negative; ","")&amp;IF($P301&lt;0,"Avg_Market_Rent negative; ","")))</f>
        <v/>
      </c>
    </row>
    <row r="302" ht="15" customHeight="1">
      <c r="A302" s="5" t="n"/>
      <c r="B302" s="15" t="n"/>
      <c r="C302" s="15">
        <f>IFERROR(VLOOKUP($B302,Community_Master!$A$2:$K$100,2,FALSE),"")</f>
        <v/>
      </c>
      <c r="D302" s="15">
        <f>IFERROR(VLOOKUP($B302,Community_Master!$A$2:$K$100,4,FALSE),"")</f>
        <v/>
      </c>
      <c r="E302" s="15">
        <f>IFERROR(VLOOKUP($B302,Community_Master!$A$2:$K$100,5,FALSE),"")</f>
        <v/>
      </c>
      <c r="F302" s="15">
        <f>IFERROR(VLOOKUP($B302,Community_Master!$A$2:$K$100,6,FALSE),"")</f>
        <v/>
      </c>
      <c r="G302" s="15">
        <f>IFERROR(VLOOKUP($B302,Community_Master!$A$2:$K$100,8,FALSE),"")</f>
        <v/>
      </c>
      <c r="H302" s="15">
        <f>IFERROR(VLOOKUP($B302,Community_Master!$A$2:$K$100,7,FALSE),"")</f>
        <v/>
      </c>
      <c r="I302" s="15" t="n"/>
      <c r="J302" s="15" t="n"/>
      <c r="K302" s="15" t="n"/>
      <c r="L302" s="15">
        <f>IF($H302="","",MAX($H302-$I302,0))</f>
        <v/>
      </c>
      <c r="M302" s="6">
        <f>IF($H302="","",IFERROR($I302/$H302,""))</f>
        <v/>
      </c>
      <c r="N302" s="6">
        <f>IF($H302="","",IFERROR($J302/$H302,""))</f>
        <v/>
      </c>
      <c r="O302" s="6" t="n"/>
      <c r="P302" s="7" t="n"/>
      <c r="Q302" s="7" t="n"/>
      <c r="R302" s="7" t="n"/>
      <c r="S302" s="7" t="n"/>
      <c r="T302" s="7">
        <f>IF($H302="","",IFERROR($H302*$P302,""))</f>
        <v/>
      </c>
      <c r="U302" s="7" t="n"/>
      <c r="V302" s="7" t="n"/>
      <c r="W302" s="7" t="n"/>
      <c r="X302" s="7">
        <f>IF(OR($U302="",$W302=""),"",($U302+$V302)-$W302)</f>
        <v/>
      </c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9" t="n"/>
      <c r="AJ302" s="8" t="n"/>
      <c r="AK302" s="8" t="n"/>
      <c r="AL302" s="15" t="n"/>
      <c r="AM302" s="15" t="n"/>
      <c r="AN302" s="15" t="n"/>
      <c r="AO302" s="15" t="n"/>
      <c r="AP302" s="10" t="n"/>
      <c r="AQ302" s="15">
        <f>IF($B302="","",IF(OR(ISERROR(MATCH($B302,Community_Master!$A$2:$A$100,0)),$A302="",AND($H302&lt;&gt;"",$I302&gt;$H302),AND($H302&lt;&gt;"",$J302&gt;$H302),$I302&lt;0,$J302&lt;0,$K302&lt;0,$P302&lt;0,$Q302&lt;0,$Y302&lt;0,$Z302&lt;0,$AA302&lt;0,$AB302&lt;0,$AC302&lt;0),"ERROR","OK"))</f>
        <v/>
      </c>
      <c r="AR302" s="15">
        <f>IF($B302="","",TRIM(IF(ISERROR(MATCH($B302,Community_Master!$A$2:$A$100,0)),"Invalid Community_ID; ","")&amp;IF($A302="","Missing Report_Month; ","")&amp;IF(AND($H302&lt;&gt;"",$I302&gt;$H302),"Occupied_Units greater than Total_Units; ","")&amp;IF(AND($H302&lt;&gt;"",$J302&gt;$H302),"Leased_Units greater than Total_Units; ","")&amp;IF($I302&lt;0,"Occupied_Units negative; ","")&amp;IF($J302&lt;0,"Leased_Units negative; ","")&amp;IF($P302&lt;0,"Avg_Market_Rent negative; ","")))</f>
        <v/>
      </c>
    </row>
    <row r="303" ht="15" customHeight="1">
      <c r="A303" s="5" t="n"/>
      <c r="B303" s="15" t="n"/>
      <c r="C303" s="15">
        <f>IFERROR(VLOOKUP($B303,Community_Master!$A$2:$K$100,2,FALSE),"")</f>
        <v/>
      </c>
      <c r="D303" s="15">
        <f>IFERROR(VLOOKUP($B303,Community_Master!$A$2:$K$100,4,FALSE),"")</f>
        <v/>
      </c>
      <c r="E303" s="15">
        <f>IFERROR(VLOOKUP($B303,Community_Master!$A$2:$K$100,5,FALSE),"")</f>
        <v/>
      </c>
      <c r="F303" s="15">
        <f>IFERROR(VLOOKUP($B303,Community_Master!$A$2:$K$100,6,FALSE),"")</f>
        <v/>
      </c>
      <c r="G303" s="15">
        <f>IFERROR(VLOOKUP($B303,Community_Master!$A$2:$K$100,8,FALSE),"")</f>
        <v/>
      </c>
      <c r="H303" s="15">
        <f>IFERROR(VLOOKUP($B303,Community_Master!$A$2:$K$100,7,FALSE),"")</f>
        <v/>
      </c>
      <c r="I303" s="15" t="n"/>
      <c r="J303" s="15" t="n"/>
      <c r="K303" s="15" t="n"/>
      <c r="L303" s="15">
        <f>IF($H303="","",MAX($H303-$I303,0))</f>
        <v/>
      </c>
      <c r="M303" s="6">
        <f>IF($H303="","",IFERROR($I303/$H303,""))</f>
        <v/>
      </c>
      <c r="N303" s="6">
        <f>IF($H303="","",IFERROR($J303/$H303,""))</f>
        <v/>
      </c>
      <c r="O303" s="6" t="n"/>
      <c r="P303" s="7" t="n"/>
      <c r="Q303" s="7" t="n"/>
      <c r="R303" s="7" t="n"/>
      <c r="S303" s="7" t="n"/>
      <c r="T303" s="7">
        <f>IF($H303="","",IFERROR($H303*$P303,""))</f>
        <v/>
      </c>
      <c r="U303" s="7" t="n"/>
      <c r="V303" s="7" t="n"/>
      <c r="W303" s="7" t="n"/>
      <c r="X303" s="7">
        <f>IF(OR($U303="",$W303=""),"",($U303+$V303)-$W303)</f>
        <v/>
      </c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9" t="n"/>
      <c r="AJ303" s="8" t="n"/>
      <c r="AK303" s="8" t="n"/>
      <c r="AL303" s="15" t="n"/>
      <c r="AM303" s="15" t="n"/>
      <c r="AN303" s="15" t="n"/>
      <c r="AO303" s="15" t="n"/>
      <c r="AP303" s="10" t="n"/>
      <c r="AQ303" s="15">
        <f>IF($B303="","",IF(OR(ISERROR(MATCH($B303,Community_Master!$A$2:$A$100,0)),$A303="",AND($H303&lt;&gt;"",$I303&gt;$H303),AND($H303&lt;&gt;"",$J303&gt;$H303),$I303&lt;0,$J303&lt;0,$K303&lt;0,$P303&lt;0,$Q303&lt;0,$Y303&lt;0,$Z303&lt;0,$AA303&lt;0,$AB303&lt;0,$AC303&lt;0),"ERROR","OK"))</f>
        <v/>
      </c>
      <c r="AR303" s="15">
        <f>IF($B303="","",TRIM(IF(ISERROR(MATCH($B303,Community_Master!$A$2:$A$100,0)),"Invalid Community_ID; ","")&amp;IF($A303="","Missing Report_Month; ","")&amp;IF(AND($H303&lt;&gt;"",$I303&gt;$H303),"Occupied_Units greater than Total_Units; ","")&amp;IF(AND($H303&lt;&gt;"",$J303&gt;$H303),"Leased_Units greater than Total_Units; ","")&amp;IF($I303&lt;0,"Occupied_Units negative; ","")&amp;IF($J303&lt;0,"Leased_Units negative; ","")&amp;IF($P303&lt;0,"Avg_Market_Rent negative; ","")))</f>
        <v/>
      </c>
    </row>
    <row r="304" ht="15" customHeight="1">
      <c r="A304" s="5" t="n"/>
      <c r="B304" s="15" t="n"/>
      <c r="C304" s="15">
        <f>IFERROR(VLOOKUP($B304,Community_Master!$A$2:$K$100,2,FALSE),"")</f>
        <v/>
      </c>
      <c r="D304" s="15">
        <f>IFERROR(VLOOKUP($B304,Community_Master!$A$2:$K$100,4,FALSE),"")</f>
        <v/>
      </c>
      <c r="E304" s="15">
        <f>IFERROR(VLOOKUP($B304,Community_Master!$A$2:$K$100,5,FALSE),"")</f>
        <v/>
      </c>
      <c r="F304" s="15">
        <f>IFERROR(VLOOKUP($B304,Community_Master!$A$2:$K$100,6,FALSE),"")</f>
        <v/>
      </c>
      <c r="G304" s="15">
        <f>IFERROR(VLOOKUP($B304,Community_Master!$A$2:$K$100,8,FALSE),"")</f>
        <v/>
      </c>
      <c r="H304" s="15">
        <f>IFERROR(VLOOKUP($B304,Community_Master!$A$2:$K$100,7,FALSE),"")</f>
        <v/>
      </c>
      <c r="I304" s="15" t="n"/>
      <c r="J304" s="15" t="n"/>
      <c r="K304" s="15" t="n"/>
      <c r="L304" s="15">
        <f>IF($H304="","",MAX($H304-$I304,0))</f>
        <v/>
      </c>
      <c r="M304" s="6">
        <f>IF($H304="","",IFERROR($I304/$H304,""))</f>
        <v/>
      </c>
      <c r="N304" s="6">
        <f>IF($H304="","",IFERROR($J304/$H304,""))</f>
        <v/>
      </c>
      <c r="O304" s="6" t="n"/>
      <c r="P304" s="7" t="n"/>
      <c r="Q304" s="7" t="n"/>
      <c r="R304" s="7" t="n"/>
      <c r="S304" s="7" t="n"/>
      <c r="T304" s="7">
        <f>IF($H304="","",IFERROR($H304*$P304,""))</f>
        <v/>
      </c>
      <c r="U304" s="7" t="n"/>
      <c r="V304" s="7" t="n"/>
      <c r="W304" s="7" t="n"/>
      <c r="X304" s="7">
        <f>IF(OR($U304="",$W304=""),"",($U304+$V304)-$W304)</f>
        <v/>
      </c>
      <c r="Y304" s="8" t="n"/>
      <c r="Z304" s="8" t="n"/>
      <c r="AA304" s="8" t="n"/>
      <c r="AB304" s="8" t="n"/>
      <c r="AC304" s="8" t="n"/>
      <c r="AD304" s="8" t="n"/>
      <c r="AE304" s="8" t="n"/>
      <c r="AF304" s="8" t="n"/>
      <c r="AG304" s="8" t="n"/>
      <c r="AH304" s="8" t="n"/>
      <c r="AI304" s="9" t="n"/>
      <c r="AJ304" s="8" t="n"/>
      <c r="AK304" s="8" t="n"/>
      <c r="AL304" s="15" t="n"/>
      <c r="AM304" s="15" t="n"/>
      <c r="AN304" s="15" t="n"/>
      <c r="AO304" s="15" t="n"/>
      <c r="AP304" s="10" t="n"/>
      <c r="AQ304" s="15">
        <f>IF($B304="","",IF(OR(ISERROR(MATCH($B304,Community_Master!$A$2:$A$100,0)),$A304="",AND($H304&lt;&gt;"",$I304&gt;$H304),AND($H304&lt;&gt;"",$J304&gt;$H304),$I304&lt;0,$J304&lt;0,$K304&lt;0,$P304&lt;0,$Q304&lt;0,$Y304&lt;0,$Z304&lt;0,$AA304&lt;0,$AB304&lt;0,$AC304&lt;0),"ERROR","OK"))</f>
        <v/>
      </c>
      <c r="AR304" s="15">
        <f>IF($B304="","",TRIM(IF(ISERROR(MATCH($B304,Community_Master!$A$2:$A$100,0)),"Invalid Community_ID; ","")&amp;IF($A304="","Missing Report_Month; ","")&amp;IF(AND($H304&lt;&gt;"",$I304&gt;$H304),"Occupied_Units greater than Total_Units; ","")&amp;IF(AND($H304&lt;&gt;"",$J304&gt;$H304),"Leased_Units greater than Total_Units; ","")&amp;IF($I304&lt;0,"Occupied_Units negative; ","")&amp;IF($J304&lt;0,"Leased_Units negative; ","")&amp;IF($P304&lt;0,"Avg_Market_Rent negative; ","")))</f>
        <v/>
      </c>
    </row>
    <row r="305" ht="15" customHeight="1">
      <c r="A305" s="5" t="n"/>
      <c r="B305" s="15" t="n"/>
      <c r="C305" s="15">
        <f>IFERROR(VLOOKUP($B305,Community_Master!$A$2:$K$100,2,FALSE),"")</f>
        <v/>
      </c>
      <c r="D305" s="15">
        <f>IFERROR(VLOOKUP($B305,Community_Master!$A$2:$K$100,4,FALSE),"")</f>
        <v/>
      </c>
      <c r="E305" s="15">
        <f>IFERROR(VLOOKUP($B305,Community_Master!$A$2:$K$100,5,FALSE),"")</f>
        <v/>
      </c>
      <c r="F305" s="15">
        <f>IFERROR(VLOOKUP($B305,Community_Master!$A$2:$K$100,6,FALSE),"")</f>
        <v/>
      </c>
      <c r="G305" s="15">
        <f>IFERROR(VLOOKUP($B305,Community_Master!$A$2:$K$100,8,FALSE),"")</f>
        <v/>
      </c>
      <c r="H305" s="15">
        <f>IFERROR(VLOOKUP($B305,Community_Master!$A$2:$K$100,7,FALSE),"")</f>
        <v/>
      </c>
      <c r="I305" s="15" t="n"/>
      <c r="J305" s="15" t="n"/>
      <c r="K305" s="15" t="n"/>
      <c r="L305" s="15">
        <f>IF($H305="","",MAX($H305-$I305,0))</f>
        <v/>
      </c>
      <c r="M305" s="6">
        <f>IF($H305="","",IFERROR($I305/$H305,""))</f>
        <v/>
      </c>
      <c r="N305" s="6">
        <f>IF($H305="","",IFERROR($J305/$H305,""))</f>
        <v/>
      </c>
      <c r="O305" s="6" t="n"/>
      <c r="P305" s="7" t="n"/>
      <c r="Q305" s="7" t="n"/>
      <c r="R305" s="7" t="n"/>
      <c r="S305" s="7" t="n"/>
      <c r="T305" s="7">
        <f>IF($H305="","",IFERROR($H305*$P305,""))</f>
        <v/>
      </c>
      <c r="U305" s="7" t="n"/>
      <c r="V305" s="7" t="n"/>
      <c r="W305" s="7" t="n"/>
      <c r="X305" s="7">
        <f>IF(OR($U305="",$W305=""),"",($U305+$V305)-$W305)</f>
        <v/>
      </c>
      <c r="Y305" s="8" t="n"/>
      <c r="Z305" s="8" t="n"/>
      <c r="AA305" s="8" t="n"/>
      <c r="AB305" s="8" t="n"/>
      <c r="AC305" s="8" t="n"/>
      <c r="AD305" s="8" t="n"/>
      <c r="AE305" s="8" t="n"/>
      <c r="AF305" s="8" t="n"/>
      <c r="AG305" s="8" t="n"/>
      <c r="AH305" s="8" t="n"/>
      <c r="AI305" s="9" t="n"/>
      <c r="AJ305" s="8" t="n"/>
      <c r="AK305" s="8" t="n"/>
      <c r="AL305" s="15" t="n"/>
      <c r="AM305" s="15" t="n"/>
      <c r="AN305" s="15" t="n"/>
      <c r="AO305" s="15" t="n"/>
      <c r="AP305" s="10" t="n"/>
      <c r="AQ305" s="15">
        <f>IF($B305="","",IF(OR(ISERROR(MATCH($B305,Community_Master!$A$2:$A$100,0)),$A305="",AND($H305&lt;&gt;"",$I305&gt;$H305),AND($H305&lt;&gt;"",$J305&gt;$H305),$I305&lt;0,$J305&lt;0,$K305&lt;0,$P305&lt;0,$Q305&lt;0,$Y305&lt;0,$Z305&lt;0,$AA305&lt;0,$AB305&lt;0,$AC305&lt;0),"ERROR","OK"))</f>
        <v/>
      </c>
      <c r="AR305" s="15">
        <f>IF($B305="","",TRIM(IF(ISERROR(MATCH($B305,Community_Master!$A$2:$A$100,0)),"Invalid Community_ID; ","")&amp;IF($A305="","Missing Report_Month; ","")&amp;IF(AND($H305&lt;&gt;"",$I305&gt;$H305),"Occupied_Units greater than Total_Units; ","")&amp;IF(AND($H305&lt;&gt;"",$J305&gt;$H305),"Leased_Units greater than Total_Units; ","")&amp;IF($I305&lt;0,"Occupied_Units negative; ","")&amp;IF($J305&lt;0,"Leased_Units negative; ","")&amp;IF($P305&lt;0,"Avg_Market_Rent negative; ","")))</f>
        <v/>
      </c>
    </row>
    <row r="306" ht="15" customHeight="1">
      <c r="A306" s="5" t="n"/>
      <c r="B306" s="15" t="n"/>
      <c r="C306" s="15">
        <f>IFERROR(VLOOKUP($B306,Community_Master!$A$2:$K$100,2,FALSE),"")</f>
        <v/>
      </c>
      <c r="D306" s="15">
        <f>IFERROR(VLOOKUP($B306,Community_Master!$A$2:$K$100,4,FALSE),"")</f>
        <v/>
      </c>
      <c r="E306" s="15">
        <f>IFERROR(VLOOKUP($B306,Community_Master!$A$2:$K$100,5,FALSE),"")</f>
        <v/>
      </c>
      <c r="F306" s="15">
        <f>IFERROR(VLOOKUP($B306,Community_Master!$A$2:$K$100,6,FALSE),"")</f>
        <v/>
      </c>
      <c r="G306" s="15">
        <f>IFERROR(VLOOKUP($B306,Community_Master!$A$2:$K$100,8,FALSE),"")</f>
        <v/>
      </c>
      <c r="H306" s="15">
        <f>IFERROR(VLOOKUP($B306,Community_Master!$A$2:$K$100,7,FALSE),"")</f>
        <v/>
      </c>
      <c r="I306" s="15" t="n"/>
      <c r="J306" s="15" t="n"/>
      <c r="K306" s="15" t="n"/>
      <c r="L306" s="15">
        <f>IF($H306="","",MAX($H306-$I306,0))</f>
        <v/>
      </c>
      <c r="M306" s="6">
        <f>IF($H306="","",IFERROR($I306/$H306,""))</f>
        <v/>
      </c>
      <c r="N306" s="6">
        <f>IF($H306="","",IFERROR($J306/$H306,""))</f>
        <v/>
      </c>
      <c r="O306" s="6" t="n"/>
      <c r="P306" s="7" t="n"/>
      <c r="Q306" s="7" t="n"/>
      <c r="R306" s="7" t="n"/>
      <c r="S306" s="7" t="n"/>
      <c r="T306" s="7">
        <f>IF($H306="","",IFERROR($H306*$P306,""))</f>
        <v/>
      </c>
      <c r="U306" s="7" t="n"/>
      <c r="V306" s="7" t="n"/>
      <c r="W306" s="7" t="n"/>
      <c r="X306" s="7">
        <f>IF(OR($U306="",$W306=""),"",($U306+$V306)-$W306)</f>
        <v/>
      </c>
      <c r="Y306" s="8" t="n"/>
      <c r="Z306" s="8" t="n"/>
      <c r="AA306" s="8" t="n"/>
      <c r="AB306" s="8" t="n"/>
      <c r="AC306" s="8" t="n"/>
      <c r="AD306" s="8" t="n"/>
      <c r="AE306" s="8" t="n"/>
      <c r="AF306" s="8" t="n"/>
      <c r="AG306" s="8" t="n"/>
      <c r="AH306" s="8" t="n"/>
      <c r="AI306" s="9" t="n"/>
      <c r="AJ306" s="8" t="n"/>
      <c r="AK306" s="8" t="n"/>
      <c r="AL306" s="15" t="n"/>
      <c r="AM306" s="15" t="n"/>
      <c r="AN306" s="15" t="n"/>
      <c r="AO306" s="15" t="n"/>
      <c r="AP306" s="10" t="n"/>
      <c r="AQ306" s="15">
        <f>IF($B306="","",IF(OR(ISERROR(MATCH($B306,Community_Master!$A$2:$A$100,0)),$A306="",AND($H306&lt;&gt;"",$I306&gt;$H306),AND($H306&lt;&gt;"",$J306&gt;$H306),$I306&lt;0,$J306&lt;0,$K306&lt;0,$P306&lt;0,$Q306&lt;0,$Y306&lt;0,$Z306&lt;0,$AA306&lt;0,$AB306&lt;0,$AC306&lt;0),"ERROR","OK"))</f>
        <v/>
      </c>
      <c r="AR306" s="15">
        <f>IF($B306="","",TRIM(IF(ISERROR(MATCH($B306,Community_Master!$A$2:$A$100,0)),"Invalid Community_ID; ","")&amp;IF($A306="","Missing Report_Month; ","")&amp;IF(AND($H306&lt;&gt;"",$I306&gt;$H306),"Occupied_Units greater than Total_Units; ","")&amp;IF(AND($H306&lt;&gt;"",$J306&gt;$H306),"Leased_Units greater than Total_Units; ","")&amp;IF($I306&lt;0,"Occupied_Units negative; ","")&amp;IF($J306&lt;0,"Leased_Units negative; ","")&amp;IF($P306&lt;0,"Avg_Market_Rent negative; ","")))</f>
        <v/>
      </c>
    </row>
    <row r="307" ht="15" customHeight="1">
      <c r="A307" s="5" t="n"/>
      <c r="B307" s="15" t="n"/>
      <c r="C307" s="15">
        <f>IFERROR(VLOOKUP($B307,Community_Master!$A$2:$K$100,2,FALSE),"")</f>
        <v/>
      </c>
      <c r="D307" s="15">
        <f>IFERROR(VLOOKUP($B307,Community_Master!$A$2:$K$100,4,FALSE),"")</f>
        <v/>
      </c>
      <c r="E307" s="15">
        <f>IFERROR(VLOOKUP($B307,Community_Master!$A$2:$K$100,5,FALSE),"")</f>
        <v/>
      </c>
      <c r="F307" s="15">
        <f>IFERROR(VLOOKUP($B307,Community_Master!$A$2:$K$100,6,FALSE),"")</f>
        <v/>
      </c>
      <c r="G307" s="15">
        <f>IFERROR(VLOOKUP($B307,Community_Master!$A$2:$K$100,8,FALSE),"")</f>
        <v/>
      </c>
      <c r="H307" s="15">
        <f>IFERROR(VLOOKUP($B307,Community_Master!$A$2:$K$100,7,FALSE),"")</f>
        <v/>
      </c>
      <c r="I307" s="15" t="n"/>
      <c r="J307" s="15" t="n"/>
      <c r="K307" s="15" t="n"/>
      <c r="L307" s="15">
        <f>IF($H307="","",MAX($H307-$I307,0))</f>
        <v/>
      </c>
      <c r="M307" s="6">
        <f>IF($H307="","",IFERROR($I307/$H307,""))</f>
        <v/>
      </c>
      <c r="N307" s="6">
        <f>IF($H307="","",IFERROR($J307/$H307,""))</f>
        <v/>
      </c>
      <c r="O307" s="6" t="n"/>
      <c r="P307" s="7" t="n"/>
      <c r="Q307" s="7" t="n"/>
      <c r="R307" s="7" t="n"/>
      <c r="S307" s="7" t="n"/>
      <c r="T307" s="7">
        <f>IF($H307="","",IFERROR($H307*$P307,""))</f>
        <v/>
      </c>
      <c r="U307" s="7" t="n"/>
      <c r="V307" s="7" t="n"/>
      <c r="W307" s="7" t="n"/>
      <c r="X307" s="7">
        <f>IF(OR($U307="",$W307=""),"",($U307+$V307)-$W307)</f>
        <v/>
      </c>
      <c r="Y307" s="8" t="n"/>
      <c r="Z307" s="8" t="n"/>
      <c r="AA307" s="8" t="n"/>
      <c r="AB307" s="8" t="n"/>
      <c r="AC307" s="8" t="n"/>
      <c r="AD307" s="8" t="n"/>
      <c r="AE307" s="8" t="n"/>
      <c r="AF307" s="8" t="n"/>
      <c r="AG307" s="8" t="n"/>
      <c r="AH307" s="8" t="n"/>
      <c r="AI307" s="9" t="n"/>
      <c r="AJ307" s="8" t="n"/>
      <c r="AK307" s="8" t="n"/>
      <c r="AL307" s="15" t="n"/>
      <c r="AM307" s="15" t="n"/>
      <c r="AN307" s="15" t="n"/>
      <c r="AO307" s="15" t="n"/>
      <c r="AP307" s="10" t="n"/>
      <c r="AQ307" s="15">
        <f>IF($B307="","",IF(OR(ISERROR(MATCH($B307,Community_Master!$A$2:$A$100,0)),$A307="",AND($H307&lt;&gt;"",$I307&gt;$H307),AND($H307&lt;&gt;"",$J307&gt;$H307),$I307&lt;0,$J307&lt;0,$K307&lt;0,$P307&lt;0,$Q307&lt;0,$Y307&lt;0,$Z307&lt;0,$AA307&lt;0,$AB307&lt;0,$AC307&lt;0),"ERROR","OK"))</f>
        <v/>
      </c>
      <c r="AR307" s="15">
        <f>IF($B307="","",TRIM(IF(ISERROR(MATCH($B307,Community_Master!$A$2:$A$100,0)),"Invalid Community_ID; ","")&amp;IF($A307="","Missing Report_Month; ","")&amp;IF(AND($H307&lt;&gt;"",$I307&gt;$H307),"Occupied_Units greater than Total_Units; ","")&amp;IF(AND($H307&lt;&gt;"",$J307&gt;$H307),"Leased_Units greater than Total_Units; ","")&amp;IF($I307&lt;0,"Occupied_Units negative; ","")&amp;IF($J307&lt;0,"Leased_Units negative; ","")&amp;IF($P307&lt;0,"Avg_Market_Rent negative; ","")))</f>
        <v/>
      </c>
    </row>
    <row r="308" ht="15" customHeight="1">
      <c r="A308" s="5" t="n"/>
      <c r="B308" s="15" t="n"/>
      <c r="C308" s="15">
        <f>IFERROR(VLOOKUP($B308,Community_Master!$A$2:$K$100,2,FALSE),"")</f>
        <v/>
      </c>
      <c r="D308" s="15">
        <f>IFERROR(VLOOKUP($B308,Community_Master!$A$2:$K$100,4,FALSE),"")</f>
        <v/>
      </c>
      <c r="E308" s="15">
        <f>IFERROR(VLOOKUP($B308,Community_Master!$A$2:$K$100,5,FALSE),"")</f>
        <v/>
      </c>
      <c r="F308" s="15">
        <f>IFERROR(VLOOKUP($B308,Community_Master!$A$2:$K$100,6,FALSE),"")</f>
        <v/>
      </c>
      <c r="G308" s="15">
        <f>IFERROR(VLOOKUP($B308,Community_Master!$A$2:$K$100,8,FALSE),"")</f>
        <v/>
      </c>
      <c r="H308" s="15">
        <f>IFERROR(VLOOKUP($B308,Community_Master!$A$2:$K$100,7,FALSE),"")</f>
        <v/>
      </c>
      <c r="I308" s="15" t="n"/>
      <c r="J308" s="15" t="n"/>
      <c r="K308" s="15" t="n"/>
      <c r="L308" s="15">
        <f>IF($H308="","",MAX($H308-$I308,0))</f>
        <v/>
      </c>
      <c r="M308" s="6">
        <f>IF($H308="","",IFERROR($I308/$H308,""))</f>
        <v/>
      </c>
      <c r="N308" s="6">
        <f>IF($H308="","",IFERROR($J308/$H308,""))</f>
        <v/>
      </c>
      <c r="O308" s="6" t="n"/>
      <c r="P308" s="7" t="n"/>
      <c r="Q308" s="7" t="n"/>
      <c r="R308" s="7" t="n"/>
      <c r="S308" s="7" t="n"/>
      <c r="T308" s="7">
        <f>IF($H308="","",IFERROR($H308*$P308,""))</f>
        <v/>
      </c>
      <c r="U308" s="7" t="n"/>
      <c r="V308" s="7" t="n"/>
      <c r="W308" s="7" t="n"/>
      <c r="X308" s="7">
        <f>IF(OR($U308="",$W308=""),"",($U308+$V308)-$W308)</f>
        <v/>
      </c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9" t="n"/>
      <c r="AJ308" s="8" t="n"/>
      <c r="AK308" s="8" t="n"/>
      <c r="AL308" s="15" t="n"/>
      <c r="AM308" s="15" t="n"/>
      <c r="AN308" s="15" t="n"/>
      <c r="AO308" s="15" t="n"/>
      <c r="AP308" s="10" t="n"/>
      <c r="AQ308" s="15">
        <f>IF($B308="","",IF(OR(ISERROR(MATCH($B308,Community_Master!$A$2:$A$100,0)),$A308="",AND($H308&lt;&gt;"",$I308&gt;$H308),AND($H308&lt;&gt;"",$J308&gt;$H308),$I308&lt;0,$J308&lt;0,$K308&lt;0,$P308&lt;0,$Q308&lt;0,$Y308&lt;0,$Z308&lt;0,$AA308&lt;0,$AB308&lt;0,$AC308&lt;0),"ERROR","OK"))</f>
        <v/>
      </c>
      <c r="AR308" s="15">
        <f>IF($B308="","",TRIM(IF(ISERROR(MATCH($B308,Community_Master!$A$2:$A$100,0)),"Invalid Community_ID; ","")&amp;IF($A308="","Missing Report_Month; ","")&amp;IF(AND($H308&lt;&gt;"",$I308&gt;$H308),"Occupied_Units greater than Total_Units; ","")&amp;IF(AND($H308&lt;&gt;"",$J308&gt;$H308),"Leased_Units greater than Total_Units; ","")&amp;IF($I308&lt;0,"Occupied_Units negative; ","")&amp;IF($J308&lt;0,"Leased_Units negative; ","")&amp;IF($P308&lt;0,"Avg_Market_Rent negative; ","")))</f>
        <v/>
      </c>
    </row>
    <row r="309" ht="15" customHeight="1">
      <c r="A309" s="5" t="n"/>
      <c r="B309" s="15" t="n"/>
      <c r="C309" s="15">
        <f>IFERROR(VLOOKUP($B309,Community_Master!$A$2:$K$100,2,FALSE),"")</f>
        <v/>
      </c>
      <c r="D309" s="15">
        <f>IFERROR(VLOOKUP($B309,Community_Master!$A$2:$K$100,4,FALSE),"")</f>
        <v/>
      </c>
      <c r="E309" s="15">
        <f>IFERROR(VLOOKUP($B309,Community_Master!$A$2:$K$100,5,FALSE),"")</f>
        <v/>
      </c>
      <c r="F309" s="15">
        <f>IFERROR(VLOOKUP($B309,Community_Master!$A$2:$K$100,6,FALSE),"")</f>
        <v/>
      </c>
      <c r="G309" s="15">
        <f>IFERROR(VLOOKUP($B309,Community_Master!$A$2:$K$100,8,FALSE),"")</f>
        <v/>
      </c>
      <c r="H309" s="15">
        <f>IFERROR(VLOOKUP($B309,Community_Master!$A$2:$K$100,7,FALSE),"")</f>
        <v/>
      </c>
      <c r="I309" s="15" t="n"/>
      <c r="J309" s="15" t="n"/>
      <c r="K309" s="15" t="n"/>
      <c r="L309" s="15">
        <f>IF($H309="","",MAX($H309-$I309,0))</f>
        <v/>
      </c>
      <c r="M309" s="6">
        <f>IF($H309="","",IFERROR($I309/$H309,""))</f>
        <v/>
      </c>
      <c r="N309" s="6">
        <f>IF($H309="","",IFERROR($J309/$H309,""))</f>
        <v/>
      </c>
      <c r="O309" s="6" t="n"/>
      <c r="P309" s="7" t="n"/>
      <c r="Q309" s="7" t="n"/>
      <c r="R309" s="7" t="n"/>
      <c r="S309" s="7" t="n"/>
      <c r="T309" s="7">
        <f>IF($H309="","",IFERROR($H309*$P309,""))</f>
        <v/>
      </c>
      <c r="U309" s="7" t="n"/>
      <c r="V309" s="7" t="n"/>
      <c r="W309" s="7" t="n"/>
      <c r="X309" s="7">
        <f>IF(OR($U309="",$W309=""),"",($U309+$V309)-$W309)</f>
        <v/>
      </c>
      <c r="Y309" s="8" t="n"/>
      <c r="Z309" s="8" t="n"/>
      <c r="AA309" s="8" t="n"/>
      <c r="AB309" s="8" t="n"/>
      <c r="AC309" s="8" t="n"/>
      <c r="AD309" s="8" t="n"/>
      <c r="AE309" s="8" t="n"/>
      <c r="AF309" s="8" t="n"/>
      <c r="AG309" s="8" t="n"/>
      <c r="AH309" s="8" t="n"/>
      <c r="AI309" s="9" t="n"/>
      <c r="AJ309" s="8" t="n"/>
      <c r="AK309" s="8" t="n"/>
      <c r="AL309" s="15" t="n"/>
      <c r="AM309" s="15" t="n"/>
      <c r="AN309" s="15" t="n"/>
      <c r="AO309" s="15" t="n"/>
      <c r="AP309" s="10" t="n"/>
      <c r="AQ309" s="15">
        <f>IF($B309="","",IF(OR(ISERROR(MATCH($B309,Community_Master!$A$2:$A$100,0)),$A309="",AND($H309&lt;&gt;"",$I309&gt;$H309),AND($H309&lt;&gt;"",$J309&gt;$H309),$I309&lt;0,$J309&lt;0,$K309&lt;0,$P309&lt;0,$Q309&lt;0,$Y309&lt;0,$Z309&lt;0,$AA309&lt;0,$AB309&lt;0,$AC309&lt;0),"ERROR","OK"))</f>
        <v/>
      </c>
      <c r="AR309" s="15">
        <f>IF($B309="","",TRIM(IF(ISERROR(MATCH($B309,Community_Master!$A$2:$A$100,0)),"Invalid Community_ID; ","")&amp;IF($A309="","Missing Report_Month; ","")&amp;IF(AND($H309&lt;&gt;"",$I309&gt;$H309),"Occupied_Units greater than Total_Units; ","")&amp;IF(AND($H309&lt;&gt;"",$J309&gt;$H309),"Leased_Units greater than Total_Units; ","")&amp;IF($I309&lt;0,"Occupied_Units negative; ","")&amp;IF($J309&lt;0,"Leased_Units negative; ","")&amp;IF($P309&lt;0,"Avg_Market_Rent negative; ","")))</f>
        <v/>
      </c>
    </row>
    <row r="310" ht="15" customHeight="1">
      <c r="A310" s="5" t="n"/>
      <c r="B310" s="15" t="n"/>
      <c r="C310" s="15">
        <f>IFERROR(VLOOKUP($B310,Community_Master!$A$2:$K$100,2,FALSE),"")</f>
        <v/>
      </c>
      <c r="D310" s="15">
        <f>IFERROR(VLOOKUP($B310,Community_Master!$A$2:$K$100,4,FALSE),"")</f>
        <v/>
      </c>
      <c r="E310" s="15">
        <f>IFERROR(VLOOKUP($B310,Community_Master!$A$2:$K$100,5,FALSE),"")</f>
        <v/>
      </c>
      <c r="F310" s="15">
        <f>IFERROR(VLOOKUP($B310,Community_Master!$A$2:$K$100,6,FALSE),"")</f>
        <v/>
      </c>
      <c r="G310" s="15">
        <f>IFERROR(VLOOKUP($B310,Community_Master!$A$2:$K$100,8,FALSE),"")</f>
        <v/>
      </c>
      <c r="H310" s="15">
        <f>IFERROR(VLOOKUP($B310,Community_Master!$A$2:$K$100,7,FALSE),"")</f>
        <v/>
      </c>
      <c r="I310" s="15" t="n"/>
      <c r="J310" s="15" t="n"/>
      <c r="K310" s="15" t="n"/>
      <c r="L310" s="15">
        <f>IF($H310="","",MAX($H310-$I310,0))</f>
        <v/>
      </c>
      <c r="M310" s="6">
        <f>IF($H310="","",IFERROR($I310/$H310,""))</f>
        <v/>
      </c>
      <c r="N310" s="6">
        <f>IF($H310="","",IFERROR($J310/$H310,""))</f>
        <v/>
      </c>
      <c r="O310" s="6" t="n"/>
      <c r="P310" s="7" t="n"/>
      <c r="Q310" s="7" t="n"/>
      <c r="R310" s="7" t="n"/>
      <c r="S310" s="7" t="n"/>
      <c r="T310" s="7">
        <f>IF($H310="","",IFERROR($H310*$P310,""))</f>
        <v/>
      </c>
      <c r="U310" s="7" t="n"/>
      <c r="V310" s="7" t="n"/>
      <c r="W310" s="7" t="n"/>
      <c r="X310" s="7">
        <f>IF(OR($U310="",$W310=""),"",($U310+$V310)-$W310)</f>
        <v/>
      </c>
      <c r="Y310" s="8" t="n"/>
      <c r="Z310" s="8" t="n"/>
      <c r="AA310" s="8" t="n"/>
      <c r="AB310" s="8" t="n"/>
      <c r="AC310" s="8" t="n"/>
      <c r="AD310" s="8" t="n"/>
      <c r="AE310" s="8" t="n"/>
      <c r="AF310" s="8" t="n"/>
      <c r="AG310" s="8" t="n"/>
      <c r="AH310" s="8" t="n"/>
      <c r="AI310" s="9" t="n"/>
      <c r="AJ310" s="8" t="n"/>
      <c r="AK310" s="8" t="n"/>
      <c r="AL310" s="15" t="n"/>
      <c r="AM310" s="15" t="n"/>
      <c r="AN310" s="15" t="n"/>
      <c r="AO310" s="15" t="n"/>
      <c r="AP310" s="10" t="n"/>
      <c r="AQ310" s="15">
        <f>IF($B310="","",IF(OR(ISERROR(MATCH($B310,Community_Master!$A$2:$A$100,0)),$A310="",AND($H310&lt;&gt;"",$I310&gt;$H310),AND($H310&lt;&gt;"",$J310&gt;$H310),$I310&lt;0,$J310&lt;0,$K310&lt;0,$P310&lt;0,$Q310&lt;0,$Y310&lt;0,$Z310&lt;0,$AA310&lt;0,$AB310&lt;0,$AC310&lt;0),"ERROR","OK"))</f>
        <v/>
      </c>
      <c r="AR310" s="15">
        <f>IF($B310="","",TRIM(IF(ISERROR(MATCH($B310,Community_Master!$A$2:$A$100,0)),"Invalid Community_ID; ","")&amp;IF($A310="","Missing Report_Month; ","")&amp;IF(AND($H310&lt;&gt;"",$I310&gt;$H310),"Occupied_Units greater than Total_Units; ","")&amp;IF(AND($H310&lt;&gt;"",$J310&gt;$H310),"Leased_Units greater than Total_Units; ","")&amp;IF($I310&lt;0,"Occupied_Units negative; ","")&amp;IF($J310&lt;0,"Leased_Units negative; ","")&amp;IF($P310&lt;0,"Avg_Market_Rent negative; ","")))</f>
        <v/>
      </c>
    </row>
    <row r="311" ht="15" customHeight="1">
      <c r="A311" s="5" t="n"/>
      <c r="B311" s="15" t="n"/>
      <c r="C311" s="15">
        <f>IFERROR(VLOOKUP($B311,Community_Master!$A$2:$K$100,2,FALSE),"")</f>
        <v/>
      </c>
      <c r="D311" s="15">
        <f>IFERROR(VLOOKUP($B311,Community_Master!$A$2:$K$100,4,FALSE),"")</f>
        <v/>
      </c>
      <c r="E311" s="15">
        <f>IFERROR(VLOOKUP($B311,Community_Master!$A$2:$K$100,5,FALSE),"")</f>
        <v/>
      </c>
      <c r="F311" s="15">
        <f>IFERROR(VLOOKUP($B311,Community_Master!$A$2:$K$100,6,FALSE),"")</f>
        <v/>
      </c>
      <c r="G311" s="15">
        <f>IFERROR(VLOOKUP($B311,Community_Master!$A$2:$K$100,8,FALSE),"")</f>
        <v/>
      </c>
      <c r="H311" s="15">
        <f>IFERROR(VLOOKUP($B311,Community_Master!$A$2:$K$100,7,FALSE),"")</f>
        <v/>
      </c>
      <c r="I311" s="15" t="n"/>
      <c r="J311" s="15" t="n"/>
      <c r="K311" s="15" t="n"/>
      <c r="L311" s="15">
        <f>IF($H311="","",MAX($H311-$I311,0))</f>
        <v/>
      </c>
      <c r="M311" s="6">
        <f>IF($H311="","",IFERROR($I311/$H311,""))</f>
        <v/>
      </c>
      <c r="N311" s="6">
        <f>IF($H311="","",IFERROR($J311/$H311,""))</f>
        <v/>
      </c>
      <c r="O311" s="6" t="n"/>
      <c r="P311" s="7" t="n"/>
      <c r="Q311" s="7" t="n"/>
      <c r="R311" s="7" t="n"/>
      <c r="S311" s="7" t="n"/>
      <c r="T311" s="7">
        <f>IF($H311="","",IFERROR($H311*$P311,""))</f>
        <v/>
      </c>
      <c r="U311" s="7" t="n"/>
      <c r="V311" s="7" t="n"/>
      <c r="W311" s="7" t="n"/>
      <c r="X311" s="7">
        <f>IF(OR($U311="",$W311=""),"",($U311+$V311)-$W311)</f>
        <v/>
      </c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9" t="n"/>
      <c r="AJ311" s="8" t="n"/>
      <c r="AK311" s="8" t="n"/>
      <c r="AL311" s="15" t="n"/>
      <c r="AM311" s="15" t="n"/>
      <c r="AN311" s="15" t="n"/>
      <c r="AO311" s="15" t="n"/>
      <c r="AP311" s="10" t="n"/>
      <c r="AQ311" s="15">
        <f>IF($B311="","",IF(OR(ISERROR(MATCH($B311,Community_Master!$A$2:$A$100,0)),$A311="",AND($H311&lt;&gt;"",$I311&gt;$H311),AND($H311&lt;&gt;"",$J311&gt;$H311),$I311&lt;0,$J311&lt;0,$K311&lt;0,$P311&lt;0,$Q311&lt;0,$Y311&lt;0,$Z311&lt;0,$AA311&lt;0,$AB311&lt;0,$AC311&lt;0),"ERROR","OK"))</f>
        <v/>
      </c>
      <c r="AR311" s="15">
        <f>IF($B311="","",TRIM(IF(ISERROR(MATCH($B311,Community_Master!$A$2:$A$100,0)),"Invalid Community_ID; ","")&amp;IF($A311="","Missing Report_Month; ","")&amp;IF(AND($H311&lt;&gt;"",$I311&gt;$H311),"Occupied_Units greater than Total_Units; ","")&amp;IF(AND($H311&lt;&gt;"",$J311&gt;$H311),"Leased_Units greater than Total_Units; ","")&amp;IF($I311&lt;0,"Occupied_Units negative; ","")&amp;IF($J311&lt;0,"Leased_Units negative; ","")&amp;IF($P311&lt;0,"Avg_Market_Rent negative; ","")))</f>
        <v/>
      </c>
    </row>
    <row r="312" ht="15" customHeight="1">
      <c r="A312" s="5" t="n"/>
      <c r="B312" s="15" t="n"/>
      <c r="C312" s="15">
        <f>IFERROR(VLOOKUP($B312,Community_Master!$A$2:$K$100,2,FALSE),"")</f>
        <v/>
      </c>
      <c r="D312" s="15">
        <f>IFERROR(VLOOKUP($B312,Community_Master!$A$2:$K$100,4,FALSE),"")</f>
        <v/>
      </c>
      <c r="E312" s="15">
        <f>IFERROR(VLOOKUP($B312,Community_Master!$A$2:$K$100,5,FALSE),"")</f>
        <v/>
      </c>
      <c r="F312" s="15">
        <f>IFERROR(VLOOKUP($B312,Community_Master!$A$2:$K$100,6,FALSE),"")</f>
        <v/>
      </c>
      <c r="G312" s="15">
        <f>IFERROR(VLOOKUP($B312,Community_Master!$A$2:$K$100,8,FALSE),"")</f>
        <v/>
      </c>
      <c r="H312" s="15">
        <f>IFERROR(VLOOKUP($B312,Community_Master!$A$2:$K$100,7,FALSE),"")</f>
        <v/>
      </c>
      <c r="I312" s="15" t="n"/>
      <c r="J312" s="15" t="n"/>
      <c r="K312" s="15" t="n"/>
      <c r="L312" s="15">
        <f>IF($H312="","",MAX($H312-$I312,0))</f>
        <v/>
      </c>
      <c r="M312" s="6">
        <f>IF($H312="","",IFERROR($I312/$H312,""))</f>
        <v/>
      </c>
      <c r="N312" s="6">
        <f>IF($H312="","",IFERROR($J312/$H312,""))</f>
        <v/>
      </c>
      <c r="O312" s="6" t="n"/>
      <c r="P312" s="7" t="n"/>
      <c r="Q312" s="7" t="n"/>
      <c r="R312" s="7" t="n"/>
      <c r="S312" s="7" t="n"/>
      <c r="T312" s="7">
        <f>IF($H312="","",IFERROR($H312*$P312,""))</f>
        <v/>
      </c>
      <c r="U312" s="7" t="n"/>
      <c r="V312" s="7" t="n"/>
      <c r="W312" s="7" t="n"/>
      <c r="X312" s="7">
        <f>IF(OR($U312="",$W312=""),"",($U312+$V312)-$W312)</f>
        <v/>
      </c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9" t="n"/>
      <c r="AJ312" s="8" t="n"/>
      <c r="AK312" s="8" t="n"/>
      <c r="AL312" s="15" t="n"/>
      <c r="AM312" s="15" t="n"/>
      <c r="AN312" s="15" t="n"/>
      <c r="AO312" s="15" t="n"/>
      <c r="AP312" s="10" t="n"/>
      <c r="AQ312" s="15">
        <f>IF($B312="","",IF(OR(ISERROR(MATCH($B312,Community_Master!$A$2:$A$100,0)),$A312="",AND($H312&lt;&gt;"",$I312&gt;$H312),AND($H312&lt;&gt;"",$J312&gt;$H312),$I312&lt;0,$J312&lt;0,$K312&lt;0,$P312&lt;0,$Q312&lt;0,$Y312&lt;0,$Z312&lt;0,$AA312&lt;0,$AB312&lt;0,$AC312&lt;0),"ERROR","OK"))</f>
        <v/>
      </c>
      <c r="AR312" s="15">
        <f>IF($B312="","",TRIM(IF(ISERROR(MATCH($B312,Community_Master!$A$2:$A$100,0)),"Invalid Community_ID; ","")&amp;IF($A312="","Missing Report_Month; ","")&amp;IF(AND($H312&lt;&gt;"",$I312&gt;$H312),"Occupied_Units greater than Total_Units; ","")&amp;IF(AND($H312&lt;&gt;"",$J312&gt;$H312),"Leased_Units greater than Total_Units; ","")&amp;IF($I312&lt;0,"Occupied_Units negative; ","")&amp;IF($J312&lt;0,"Leased_Units negative; ","")&amp;IF($P312&lt;0,"Avg_Market_Rent negative; ","")))</f>
        <v/>
      </c>
    </row>
    <row r="313" ht="15" customHeight="1">
      <c r="A313" s="5" t="n"/>
      <c r="B313" s="15" t="n"/>
      <c r="C313" s="15">
        <f>IFERROR(VLOOKUP($B313,Community_Master!$A$2:$K$100,2,FALSE),"")</f>
        <v/>
      </c>
      <c r="D313" s="15">
        <f>IFERROR(VLOOKUP($B313,Community_Master!$A$2:$K$100,4,FALSE),"")</f>
        <v/>
      </c>
      <c r="E313" s="15">
        <f>IFERROR(VLOOKUP($B313,Community_Master!$A$2:$K$100,5,FALSE),"")</f>
        <v/>
      </c>
      <c r="F313" s="15">
        <f>IFERROR(VLOOKUP($B313,Community_Master!$A$2:$K$100,6,FALSE),"")</f>
        <v/>
      </c>
      <c r="G313" s="15">
        <f>IFERROR(VLOOKUP($B313,Community_Master!$A$2:$K$100,8,FALSE),"")</f>
        <v/>
      </c>
      <c r="H313" s="15">
        <f>IFERROR(VLOOKUP($B313,Community_Master!$A$2:$K$100,7,FALSE),"")</f>
        <v/>
      </c>
      <c r="I313" s="15" t="n"/>
      <c r="J313" s="15" t="n"/>
      <c r="K313" s="15" t="n"/>
      <c r="L313" s="15">
        <f>IF($H313="","",MAX($H313-$I313,0))</f>
        <v/>
      </c>
      <c r="M313" s="6">
        <f>IF($H313="","",IFERROR($I313/$H313,""))</f>
        <v/>
      </c>
      <c r="N313" s="6">
        <f>IF($H313="","",IFERROR($J313/$H313,""))</f>
        <v/>
      </c>
      <c r="O313" s="6" t="n"/>
      <c r="P313" s="7" t="n"/>
      <c r="Q313" s="7" t="n"/>
      <c r="R313" s="7" t="n"/>
      <c r="S313" s="7" t="n"/>
      <c r="T313" s="7">
        <f>IF($H313="","",IFERROR($H313*$P313,""))</f>
        <v/>
      </c>
      <c r="U313" s="7" t="n"/>
      <c r="V313" s="7" t="n"/>
      <c r="W313" s="7" t="n"/>
      <c r="X313" s="7">
        <f>IF(OR($U313="",$W313=""),"",($U313+$V313)-$W313)</f>
        <v/>
      </c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9" t="n"/>
      <c r="AJ313" s="8" t="n"/>
      <c r="AK313" s="8" t="n"/>
      <c r="AL313" s="15" t="n"/>
      <c r="AM313" s="15" t="n"/>
      <c r="AN313" s="15" t="n"/>
      <c r="AO313" s="15" t="n"/>
      <c r="AP313" s="10" t="n"/>
      <c r="AQ313" s="15">
        <f>IF($B313="","",IF(OR(ISERROR(MATCH($B313,Community_Master!$A$2:$A$100,0)),$A313="",AND($H313&lt;&gt;"",$I313&gt;$H313),AND($H313&lt;&gt;"",$J313&gt;$H313),$I313&lt;0,$J313&lt;0,$K313&lt;0,$P313&lt;0,$Q313&lt;0,$Y313&lt;0,$Z313&lt;0,$AA313&lt;0,$AB313&lt;0,$AC313&lt;0),"ERROR","OK"))</f>
        <v/>
      </c>
      <c r="AR313" s="15">
        <f>IF($B313="","",TRIM(IF(ISERROR(MATCH($B313,Community_Master!$A$2:$A$100,0)),"Invalid Community_ID; ","")&amp;IF($A313="","Missing Report_Month; ","")&amp;IF(AND($H313&lt;&gt;"",$I313&gt;$H313),"Occupied_Units greater than Total_Units; ","")&amp;IF(AND($H313&lt;&gt;"",$J313&gt;$H313),"Leased_Units greater than Total_Units; ","")&amp;IF($I313&lt;0,"Occupied_Units negative; ","")&amp;IF($J313&lt;0,"Leased_Units negative; ","")&amp;IF($P313&lt;0,"Avg_Market_Rent negative; ","")))</f>
        <v/>
      </c>
    </row>
    <row r="314" ht="15" customHeight="1">
      <c r="A314" s="5" t="n"/>
      <c r="B314" s="15" t="n"/>
      <c r="C314" s="15">
        <f>IFERROR(VLOOKUP($B314,Community_Master!$A$2:$K$100,2,FALSE),"")</f>
        <v/>
      </c>
      <c r="D314" s="15">
        <f>IFERROR(VLOOKUP($B314,Community_Master!$A$2:$K$100,4,FALSE),"")</f>
        <v/>
      </c>
      <c r="E314" s="15">
        <f>IFERROR(VLOOKUP($B314,Community_Master!$A$2:$K$100,5,FALSE),"")</f>
        <v/>
      </c>
      <c r="F314" s="15">
        <f>IFERROR(VLOOKUP($B314,Community_Master!$A$2:$K$100,6,FALSE),"")</f>
        <v/>
      </c>
      <c r="G314" s="15">
        <f>IFERROR(VLOOKUP($B314,Community_Master!$A$2:$K$100,8,FALSE),"")</f>
        <v/>
      </c>
      <c r="H314" s="15">
        <f>IFERROR(VLOOKUP($B314,Community_Master!$A$2:$K$100,7,FALSE),"")</f>
        <v/>
      </c>
      <c r="I314" s="15" t="n"/>
      <c r="J314" s="15" t="n"/>
      <c r="K314" s="15" t="n"/>
      <c r="L314" s="15">
        <f>IF($H314="","",MAX($H314-$I314,0))</f>
        <v/>
      </c>
      <c r="M314" s="6">
        <f>IF($H314="","",IFERROR($I314/$H314,""))</f>
        <v/>
      </c>
      <c r="N314" s="6">
        <f>IF($H314="","",IFERROR($J314/$H314,""))</f>
        <v/>
      </c>
      <c r="O314" s="6" t="n"/>
      <c r="P314" s="7" t="n"/>
      <c r="Q314" s="7" t="n"/>
      <c r="R314" s="7" t="n"/>
      <c r="S314" s="7" t="n"/>
      <c r="T314" s="7">
        <f>IF($H314="","",IFERROR($H314*$P314,""))</f>
        <v/>
      </c>
      <c r="U314" s="7" t="n"/>
      <c r="V314" s="7" t="n"/>
      <c r="W314" s="7" t="n"/>
      <c r="X314" s="7">
        <f>IF(OR($U314="",$W314=""),"",($U314+$V314)-$W314)</f>
        <v/>
      </c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9" t="n"/>
      <c r="AJ314" s="8" t="n"/>
      <c r="AK314" s="8" t="n"/>
      <c r="AL314" s="15" t="n"/>
      <c r="AM314" s="15" t="n"/>
      <c r="AN314" s="15" t="n"/>
      <c r="AO314" s="15" t="n"/>
      <c r="AP314" s="10" t="n"/>
      <c r="AQ314" s="15">
        <f>IF($B314="","",IF(OR(ISERROR(MATCH($B314,Community_Master!$A$2:$A$100,0)),$A314="",AND($H314&lt;&gt;"",$I314&gt;$H314),AND($H314&lt;&gt;"",$J314&gt;$H314),$I314&lt;0,$J314&lt;0,$K314&lt;0,$P314&lt;0,$Q314&lt;0,$Y314&lt;0,$Z314&lt;0,$AA314&lt;0,$AB314&lt;0,$AC314&lt;0),"ERROR","OK"))</f>
        <v/>
      </c>
      <c r="AR314" s="15">
        <f>IF($B314="","",TRIM(IF(ISERROR(MATCH($B314,Community_Master!$A$2:$A$100,0)),"Invalid Community_ID; ","")&amp;IF($A314="","Missing Report_Month; ","")&amp;IF(AND($H314&lt;&gt;"",$I314&gt;$H314),"Occupied_Units greater than Total_Units; ","")&amp;IF(AND($H314&lt;&gt;"",$J314&gt;$H314),"Leased_Units greater than Total_Units; ","")&amp;IF($I314&lt;0,"Occupied_Units negative; ","")&amp;IF($J314&lt;0,"Leased_Units negative; ","")&amp;IF($P314&lt;0,"Avg_Market_Rent negative; ","")))</f>
        <v/>
      </c>
    </row>
    <row r="315" ht="15" customHeight="1">
      <c r="A315" s="5" t="n"/>
      <c r="B315" s="15" t="n"/>
      <c r="C315" s="15">
        <f>IFERROR(VLOOKUP($B315,Community_Master!$A$2:$K$100,2,FALSE),"")</f>
        <v/>
      </c>
      <c r="D315" s="15">
        <f>IFERROR(VLOOKUP($B315,Community_Master!$A$2:$K$100,4,FALSE),"")</f>
        <v/>
      </c>
      <c r="E315" s="15">
        <f>IFERROR(VLOOKUP($B315,Community_Master!$A$2:$K$100,5,FALSE),"")</f>
        <v/>
      </c>
      <c r="F315" s="15">
        <f>IFERROR(VLOOKUP($B315,Community_Master!$A$2:$K$100,6,FALSE),"")</f>
        <v/>
      </c>
      <c r="G315" s="15">
        <f>IFERROR(VLOOKUP($B315,Community_Master!$A$2:$K$100,8,FALSE),"")</f>
        <v/>
      </c>
      <c r="H315" s="15">
        <f>IFERROR(VLOOKUP($B315,Community_Master!$A$2:$K$100,7,FALSE),"")</f>
        <v/>
      </c>
      <c r="I315" s="15" t="n"/>
      <c r="J315" s="15" t="n"/>
      <c r="K315" s="15" t="n"/>
      <c r="L315" s="15">
        <f>IF($H315="","",MAX($H315-$I315,0))</f>
        <v/>
      </c>
      <c r="M315" s="6">
        <f>IF($H315="","",IFERROR($I315/$H315,""))</f>
        <v/>
      </c>
      <c r="N315" s="6">
        <f>IF($H315="","",IFERROR($J315/$H315,""))</f>
        <v/>
      </c>
      <c r="O315" s="6" t="n"/>
      <c r="P315" s="7" t="n"/>
      <c r="Q315" s="7" t="n"/>
      <c r="R315" s="7" t="n"/>
      <c r="S315" s="7" t="n"/>
      <c r="T315" s="7">
        <f>IF($H315="","",IFERROR($H315*$P315,""))</f>
        <v/>
      </c>
      <c r="U315" s="7" t="n"/>
      <c r="V315" s="7" t="n"/>
      <c r="W315" s="7" t="n"/>
      <c r="X315" s="7">
        <f>IF(OR($U315="",$W315=""),"",($U315+$V315)-$W315)</f>
        <v/>
      </c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9" t="n"/>
      <c r="AJ315" s="8" t="n"/>
      <c r="AK315" s="8" t="n"/>
      <c r="AL315" s="15" t="n"/>
      <c r="AM315" s="15" t="n"/>
      <c r="AN315" s="15" t="n"/>
      <c r="AO315" s="15" t="n"/>
      <c r="AP315" s="10" t="n"/>
      <c r="AQ315" s="15">
        <f>IF($B315="","",IF(OR(ISERROR(MATCH($B315,Community_Master!$A$2:$A$100,0)),$A315="",AND($H315&lt;&gt;"",$I315&gt;$H315),AND($H315&lt;&gt;"",$J315&gt;$H315),$I315&lt;0,$J315&lt;0,$K315&lt;0,$P315&lt;0,$Q315&lt;0,$Y315&lt;0,$Z315&lt;0,$AA315&lt;0,$AB315&lt;0,$AC315&lt;0),"ERROR","OK"))</f>
        <v/>
      </c>
      <c r="AR315" s="15">
        <f>IF($B315="","",TRIM(IF(ISERROR(MATCH($B315,Community_Master!$A$2:$A$100,0)),"Invalid Community_ID; ","")&amp;IF($A315="","Missing Report_Month; ","")&amp;IF(AND($H315&lt;&gt;"",$I315&gt;$H315),"Occupied_Units greater than Total_Units; ","")&amp;IF(AND($H315&lt;&gt;"",$J315&gt;$H315),"Leased_Units greater than Total_Units; ","")&amp;IF($I315&lt;0,"Occupied_Units negative; ","")&amp;IF($J315&lt;0,"Leased_Units negative; ","")&amp;IF($P315&lt;0,"Avg_Market_Rent negative; ","")))</f>
        <v/>
      </c>
    </row>
    <row r="316" ht="15" customHeight="1">
      <c r="A316" s="5" t="n"/>
      <c r="B316" s="15" t="n"/>
      <c r="C316" s="15">
        <f>IFERROR(VLOOKUP($B316,Community_Master!$A$2:$K$100,2,FALSE),"")</f>
        <v/>
      </c>
      <c r="D316" s="15">
        <f>IFERROR(VLOOKUP($B316,Community_Master!$A$2:$K$100,4,FALSE),"")</f>
        <v/>
      </c>
      <c r="E316" s="15">
        <f>IFERROR(VLOOKUP($B316,Community_Master!$A$2:$K$100,5,FALSE),"")</f>
        <v/>
      </c>
      <c r="F316" s="15">
        <f>IFERROR(VLOOKUP($B316,Community_Master!$A$2:$K$100,6,FALSE),"")</f>
        <v/>
      </c>
      <c r="G316" s="15">
        <f>IFERROR(VLOOKUP($B316,Community_Master!$A$2:$K$100,8,FALSE),"")</f>
        <v/>
      </c>
      <c r="H316" s="15">
        <f>IFERROR(VLOOKUP($B316,Community_Master!$A$2:$K$100,7,FALSE),"")</f>
        <v/>
      </c>
      <c r="I316" s="15" t="n"/>
      <c r="J316" s="15" t="n"/>
      <c r="K316" s="15" t="n"/>
      <c r="L316" s="15">
        <f>IF($H316="","",MAX($H316-$I316,0))</f>
        <v/>
      </c>
      <c r="M316" s="6">
        <f>IF($H316="","",IFERROR($I316/$H316,""))</f>
        <v/>
      </c>
      <c r="N316" s="6">
        <f>IF($H316="","",IFERROR($J316/$H316,""))</f>
        <v/>
      </c>
      <c r="O316" s="6" t="n"/>
      <c r="P316" s="7" t="n"/>
      <c r="Q316" s="7" t="n"/>
      <c r="R316" s="7" t="n"/>
      <c r="S316" s="7" t="n"/>
      <c r="T316" s="7">
        <f>IF($H316="","",IFERROR($H316*$P316,""))</f>
        <v/>
      </c>
      <c r="U316" s="7" t="n"/>
      <c r="V316" s="7" t="n"/>
      <c r="W316" s="7" t="n"/>
      <c r="X316" s="7">
        <f>IF(OR($U316="",$W316=""),"",($U316+$V316)-$W316)</f>
        <v/>
      </c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9" t="n"/>
      <c r="AJ316" s="8" t="n"/>
      <c r="AK316" s="8" t="n"/>
      <c r="AL316" s="15" t="n"/>
      <c r="AM316" s="15" t="n"/>
      <c r="AN316" s="15" t="n"/>
      <c r="AO316" s="15" t="n"/>
      <c r="AP316" s="10" t="n"/>
      <c r="AQ316" s="15">
        <f>IF($B316="","",IF(OR(ISERROR(MATCH($B316,Community_Master!$A$2:$A$100,0)),$A316="",AND($H316&lt;&gt;"",$I316&gt;$H316),AND($H316&lt;&gt;"",$J316&gt;$H316),$I316&lt;0,$J316&lt;0,$K316&lt;0,$P316&lt;0,$Q316&lt;0,$Y316&lt;0,$Z316&lt;0,$AA316&lt;0,$AB316&lt;0,$AC316&lt;0),"ERROR","OK"))</f>
        <v/>
      </c>
      <c r="AR316" s="15">
        <f>IF($B316="","",TRIM(IF(ISERROR(MATCH($B316,Community_Master!$A$2:$A$100,0)),"Invalid Community_ID; ","")&amp;IF($A316="","Missing Report_Month; ","")&amp;IF(AND($H316&lt;&gt;"",$I316&gt;$H316),"Occupied_Units greater than Total_Units; ","")&amp;IF(AND($H316&lt;&gt;"",$J316&gt;$H316),"Leased_Units greater than Total_Units; ","")&amp;IF($I316&lt;0,"Occupied_Units negative; ","")&amp;IF($J316&lt;0,"Leased_Units negative; ","")&amp;IF($P316&lt;0,"Avg_Market_Rent negative; ","")))</f>
        <v/>
      </c>
    </row>
    <row r="317" ht="15" customHeight="1">
      <c r="A317" s="5" t="n"/>
      <c r="B317" s="15" t="n"/>
      <c r="C317" s="15">
        <f>IFERROR(VLOOKUP($B317,Community_Master!$A$2:$K$100,2,FALSE),"")</f>
        <v/>
      </c>
      <c r="D317" s="15">
        <f>IFERROR(VLOOKUP($B317,Community_Master!$A$2:$K$100,4,FALSE),"")</f>
        <v/>
      </c>
      <c r="E317" s="15">
        <f>IFERROR(VLOOKUP($B317,Community_Master!$A$2:$K$100,5,FALSE),"")</f>
        <v/>
      </c>
      <c r="F317" s="15">
        <f>IFERROR(VLOOKUP($B317,Community_Master!$A$2:$K$100,6,FALSE),"")</f>
        <v/>
      </c>
      <c r="G317" s="15">
        <f>IFERROR(VLOOKUP($B317,Community_Master!$A$2:$K$100,8,FALSE),"")</f>
        <v/>
      </c>
      <c r="H317" s="15">
        <f>IFERROR(VLOOKUP($B317,Community_Master!$A$2:$K$100,7,FALSE),"")</f>
        <v/>
      </c>
      <c r="I317" s="15" t="n"/>
      <c r="J317" s="15" t="n"/>
      <c r="K317" s="15" t="n"/>
      <c r="L317" s="15">
        <f>IF($H317="","",MAX($H317-$I317,0))</f>
        <v/>
      </c>
      <c r="M317" s="6">
        <f>IF($H317="","",IFERROR($I317/$H317,""))</f>
        <v/>
      </c>
      <c r="N317" s="6">
        <f>IF($H317="","",IFERROR($J317/$H317,""))</f>
        <v/>
      </c>
      <c r="O317" s="6" t="n"/>
      <c r="P317" s="7" t="n"/>
      <c r="Q317" s="7" t="n"/>
      <c r="R317" s="7" t="n"/>
      <c r="S317" s="7" t="n"/>
      <c r="T317" s="7">
        <f>IF($H317="","",IFERROR($H317*$P317,""))</f>
        <v/>
      </c>
      <c r="U317" s="7" t="n"/>
      <c r="V317" s="7" t="n"/>
      <c r="W317" s="7" t="n"/>
      <c r="X317" s="7">
        <f>IF(OR($U317="",$W317=""),"",($U317+$V317)-$W317)</f>
        <v/>
      </c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9" t="n"/>
      <c r="AJ317" s="8" t="n"/>
      <c r="AK317" s="8" t="n"/>
      <c r="AL317" s="15" t="n"/>
      <c r="AM317" s="15" t="n"/>
      <c r="AN317" s="15" t="n"/>
      <c r="AO317" s="15" t="n"/>
      <c r="AP317" s="10" t="n"/>
      <c r="AQ317" s="15">
        <f>IF($B317="","",IF(OR(ISERROR(MATCH($B317,Community_Master!$A$2:$A$100,0)),$A317="",AND($H317&lt;&gt;"",$I317&gt;$H317),AND($H317&lt;&gt;"",$J317&gt;$H317),$I317&lt;0,$J317&lt;0,$K317&lt;0,$P317&lt;0,$Q317&lt;0,$Y317&lt;0,$Z317&lt;0,$AA317&lt;0,$AB317&lt;0,$AC317&lt;0),"ERROR","OK"))</f>
        <v/>
      </c>
      <c r="AR317" s="15">
        <f>IF($B317="","",TRIM(IF(ISERROR(MATCH($B317,Community_Master!$A$2:$A$100,0)),"Invalid Community_ID; ","")&amp;IF($A317="","Missing Report_Month; ","")&amp;IF(AND($H317&lt;&gt;"",$I317&gt;$H317),"Occupied_Units greater than Total_Units; ","")&amp;IF(AND($H317&lt;&gt;"",$J317&gt;$H317),"Leased_Units greater than Total_Units; ","")&amp;IF($I317&lt;0,"Occupied_Units negative; ","")&amp;IF($J317&lt;0,"Leased_Units negative; ","")&amp;IF($P317&lt;0,"Avg_Market_Rent negative; ","")))</f>
        <v/>
      </c>
    </row>
    <row r="318" ht="15" customHeight="1">
      <c r="A318" s="5" t="n"/>
      <c r="B318" s="15" t="n"/>
      <c r="C318" s="15">
        <f>IFERROR(VLOOKUP($B318,Community_Master!$A$2:$K$100,2,FALSE),"")</f>
        <v/>
      </c>
      <c r="D318" s="15">
        <f>IFERROR(VLOOKUP($B318,Community_Master!$A$2:$K$100,4,FALSE),"")</f>
        <v/>
      </c>
      <c r="E318" s="15">
        <f>IFERROR(VLOOKUP($B318,Community_Master!$A$2:$K$100,5,FALSE),"")</f>
        <v/>
      </c>
      <c r="F318" s="15">
        <f>IFERROR(VLOOKUP($B318,Community_Master!$A$2:$K$100,6,FALSE),"")</f>
        <v/>
      </c>
      <c r="G318" s="15">
        <f>IFERROR(VLOOKUP($B318,Community_Master!$A$2:$K$100,8,FALSE),"")</f>
        <v/>
      </c>
      <c r="H318" s="15">
        <f>IFERROR(VLOOKUP($B318,Community_Master!$A$2:$K$100,7,FALSE),"")</f>
        <v/>
      </c>
      <c r="I318" s="15" t="n"/>
      <c r="J318" s="15" t="n"/>
      <c r="K318" s="15" t="n"/>
      <c r="L318" s="15">
        <f>IF($H318="","",MAX($H318-$I318,0))</f>
        <v/>
      </c>
      <c r="M318" s="6">
        <f>IF($H318="","",IFERROR($I318/$H318,""))</f>
        <v/>
      </c>
      <c r="N318" s="6">
        <f>IF($H318="","",IFERROR($J318/$H318,""))</f>
        <v/>
      </c>
      <c r="O318" s="6" t="n"/>
      <c r="P318" s="7" t="n"/>
      <c r="Q318" s="7" t="n"/>
      <c r="R318" s="7" t="n"/>
      <c r="S318" s="7" t="n"/>
      <c r="T318" s="7">
        <f>IF($H318="","",IFERROR($H318*$P318,""))</f>
        <v/>
      </c>
      <c r="U318" s="7" t="n"/>
      <c r="V318" s="7" t="n"/>
      <c r="W318" s="7" t="n"/>
      <c r="X318" s="7">
        <f>IF(OR($U318="",$W318=""),"",($U318+$V318)-$W318)</f>
        <v/>
      </c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9" t="n"/>
      <c r="AJ318" s="8" t="n"/>
      <c r="AK318" s="8" t="n"/>
      <c r="AL318" s="15" t="n"/>
      <c r="AM318" s="15" t="n"/>
      <c r="AN318" s="15" t="n"/>
      <c r="AO318" s="15" t="n"/>
      <c r="AP318" s="10" t="n"/>
      <c r="AQ318" s="15">
        <f>IF($B318="","",IF(OR(ISERROR(MATCH($B318,Community_Master!$A$2:$A$100,0)),$A318="",AND($H318&lt;&gt;"",$I318&gt;$H318),AND($H318&lt;&gt;"",$J318&gt;$H318),$I318&lt;0,$J318&lt;0,$K318&lt;0,$P318&lt;0,$Q318&lt;0,$Y318&lt;0,$Z318&lt;0,$AA318&lt;0,$AB318&lt;0,$AC318&lt;0),"ERROR","OK"))</f>
        <v/>
      </c>
      <c r="AR318" s="15">
        <f>IF($B318="","",TRIM(IF(ISERROR(MATCH($B318,Community_Master!$A$2:$A$100,0)),"Invalid Community_ID; ","")&amp;IF($A318="","Missing Report_Month; ","")&amp;IF(AND($H318&lt;&gt;"",$I318&gt;$H318),"Occupied_Units greater than Total_Units; ","")&amp;IF(AND($H318&lt;&gt;"",$J318&gt;$H318),"Leased_Units greater than Total_Units; ","")&amp;IF($I318&lt;0,"Occupied_Units negative; ","")&amp;IF($J318&lt;0,"Leased_Units negative; ","")&amp;IF($P318&lt;0,"Avg_Market_Rent negative; ","")))</f>
        <v/>
      </c>
    </row>
    <row r="319" ht="15" customHeight="1">
      <c r="A319" s="5" t="n"/>
      <c r="B319" s="15" t="n"/>
      <c r="C319" s="15">
        <f>IFERROR(VLOOKUP($B319,Community_Master!$A$2:$K$100,2,FALSE),"")</f>
        <v/>
      </c>
      <c r="D319" s="15">
        <f>IFERROR(VLOOKUP($B319,Community_Master!$A$2:$K$100,4,FALSE),"")</f>
        <v/>
      </c>
      <c r="E319" s="15">
        <f>IFERROR(VLOOKUP($B319,Community_Master!$A$2:$K$100,5,FALSE),"")</f>
        <v/>
      </c>
      <c r="F319" s="15">
        <f>IFERROR(VLOOKUP($B319,Community_Master!$A$2:$K$100,6,FALSE),"")</f>
        <v/>
      </c>
      <c r="G319" s="15">
        <f>IFERROR(VLOOKUP($B319,Community_Master!$A$2:$K$100,8,FALSE),"")</f>
        <v/>
      </c>
      <c r="H319" s="15">
        <f>IFERROR(VLOOKUP($B319,Community_Master!$A$2:$K$100,7,FALSE),"")</f>
        <v/>
      </c>
      <c r="I319" s="15" t="n"/>
      <c r="J319" s="15" t="n"/>
      <c r="K319" s="15" t="n"/>
      <c r="L319" s="15">
        <f>IF($H319="","",MAX($H319-$I319,0))</f>
        <v/>
      </c>
      <c r="M319" s="6">
        <f>IF($H319="","",IFERROR($I319/$H319,""))</f>
        <v/>
      </c>
      <c r="N319" s="6">
        <f>IF($H319="","",IFERROR($J319/$H319,""))</f>
        <v/>
      </c>
      <c r="O319" s="6" t="n"/>
      <c r="P319" s="7" t="n"/>
      <c r="Q319" s="7" t="n"/>
      <c r="R319" s="7" t="n"/>
      <c r="S319" s="7" t="n"/>
      <c r="T319" s="7">
        <f>IF($H319="","",IFERROR($H319*$P319,""))</f>
        <v/>
      </c>
      <c r="U319" s="7" t="n"/>
      <c r="V319" s="7" t="n"/>
      <c r="W319" s="7" t="n"/>
      <c r="X319" s="7">
        <f>IF(OR($U319="",$W319=""),"",($U319+$V319)-$W319)</f>
        <v/>
      </c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9" t="n"/>
      <c r="AJ319" s="8" t="n"/>
      <c r="AK319" s="8" t="n"/>
      <c r="AL319" s="15" t="n"/>
      <c r="AM319" s="15" t="n"/>
      <c r="AN319" s="15" t="n"/>
      <c r="AO319" s="15" t="n"/>
      <c r="AP319" s="10" t="n"/>
      <c r="AQ319" s="15">
        <f>IF($B319="","",IF(OR(ISERROR(MATCH($B319,Community_Master!$A$2:$A$100,0)),$A319="",AND($H319&lt;&gt;"",$I319&gt;$H319),AND($H319&lt;&gt;"",$J319&gt;$H319),$I319&lt;0,$J319&lt;0,$K319&lt;0,$P319&lt;0,$Q319&lt;0,$Y319&lt;0,$Z319&lt;0,$AA319&lt;0,$AB319&lt;0,$AC319&lt;0),"ERROR","OK"))</f>
        <v/>
      </c>
      <c r="AR319" s="15">
        <f>IF($B319="","",TRIM(IF(ISERROR(MATCH($B319,Community_Master!$A$2:$A$100,0)),"Invalid Community_ID; ","")&amp;IF($A319="","Missing Report_Month; ","")&amp;IF(AND($H319&lt;&gt;"",$I319&gt;$H319),"Occupied_Units greater than Total_Units; ","")&amp;IF(AND($H319&lt;&gt;"",$J319&gt;$H319),"Leased_Units greater than Total_Units; ","")&amp;IF($I319&lt;0,"Occupied_Units negative; ","")&amp;IF($J319&lt;0,"Leased_Units negative; ","")&amp;IF($P319&lt;0,"Avg_Market_Rent negative; ","")))</f>
        <v/>
      </c>
    </row>
    <row r="320" ht="15" customHeight="1">
      <c r="A320" s="5" t="n"/>
      <c r="B320" s="15" t="n"/>
      <c r="C320" s="15">
        <f>IFERROR(VLOOKUP($B320,Community_Master!$A$2:$K$100,2,FALSE),"")</f>
        <v/>
      </c>
      <c r="D320" s="15">
        <f>IFERROR(VLOOKUP($B320,Community_Master!$A$2:$K$100,4,FALSE),"")</f>
        <v/>
      </c>
      <c r="E320" s="15">
        <f>IFERROR(VLOOKUP($B320,Community_Master!$A$2:$K$100,5,FALSE),"")</f>
        <v/>
      </c>
      <c r="F320" s="15">
        <f>IFERROR(VLOOKUP($B320,Community_Master!$A$2:$K$100,6,FALSE),"")</f>
        <v/>
      </c>
      <c r="G320" s="15">
        <f>IFERROR(VLOOKUP($B320,Community_Master!$A$2:$K$100,8,FALSE),"")</f>
        <v/>
      </c>
      <c r="H320" s="15">
        <f>IFERROR(VLOOKUP($B320,Community_Master!$A$2:$K$100,7,FALSE),"")</f>
        <v/>
      </c>
      <c r="I320" s="15" t="n"/>
      <c r="J320" s="15" t="n"/>
      <c r="K320" s="15" t="n"/>
      <c r="L320" s="15">
        <f>IF($H320="","",MAX($H320-$I320,0))</f>
        <v/>
      </c>
      <c r="M320" s="6">
        <f>IF($H320="","",IFERROR($I320/$H320,""))</f>
        <v/>
      </c>
      <c r="N320" s="6">
        <f>IF($H320="","",IFERROR($J320/$H320,""))</f>
        <v/>
      </c>
      <c r="O320" s="6" t="n"/>
      <c r="P320" s="7" t="n"/>
      <c r="Q320" s="7" t="n"/>
      <c r="R320" s="7" t="n"/>
      <c r="S320" s="7" t="n"/>
      <c r="T320" s="7">
        <f>IF($H320="","",IFERROR($H320*$P320,""))</f>
        <v/>
      </c>
      <c r="U320" s="7" t="n"/>
      <c r="V320" s="7" t="n"/>
      <c r="W320" s="7" t="n"/>
      <c r="X320" s="7">
        <f>IF(OR($U320="",$W320=""),"",($U320+$V320)-$W320)</f>
        <v/>
      </c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9" t="n"/>
      <c r="AJ320" s="8" t="n"/>
      <c r="AK320" s="8" t="n"/>
      <c r="AL320" s="15" t="n"/>
      <c r="AM320" s="15" t="n"/>
      <c r="AN320" s="15" t="n"/>
      <c r="AO320" s="15" t="n"/>
      <c r="AP320" s="10" t="n"/>
      <c r="AQ320" s="15">
        <f>IF($B320="","",IF(OR(ISERROR(MATCH($B320,Community_Master!$A$2:$A$100,0)),$A320="",AND($H320&lt;&gt;"",$I320&gt;$H320),AND($H320&lt;&gt;"",$J320&gt;$H320),$I320&lt;0,$J320&lt;0,$K320&lt;0,$P320&lt;0,$Q320&lt;0,$Y320&lt;0,$Z320&lt;0,$AA320&lt;0,$AB320&lt;0,$AC320&lt;0),"ERROR","OK"))</f>
        <v/>
      </c>
      <c r="AR320" s="15">
        <f>IF($B320="","",TRIM(IF(ISERROR(MATCH($B320,Community_Master!$A$2:$A$100,0)),"Invalid Community_ID; ","")&amp;IF($A320="","Missing Report_Month; ","")&amp;IF(AND($H320&lt;&gt;"",$I320&gt;$H320),"Occupied_Units greater than Total_Units; ","")&amp;IF(AND($H320&lt;&gt;"",$J320&gt;$H320),"Leased_Units greater than Total_Units; ","")&amp;IF($I320&lt;0,"Occupied_Units negative; ","")&amp;IF($J320&lt;0,"Leased_Units negative; ","")&amp;IF($P320&lt;0,"Avg_Market_Rent negative; ","")))</f>
        <v/>
      </c>
    </row>
    <row r="321" ht="15" customHeight="1">
      <c r="A321" s="5" t="n"/>
      <c r="B321" s="15" t="n"/>
      <c r="C321" s="15">
        <f>IFERROR(VLOOKUP($B321,Community_Master!$A$2:$K$100,2,FALSE),"")</f>
        <v/>
      </c>
      <c r="D321" s="15">
        <f>IFERROR(VLOOKUP($B321,Community_Master!$A$2:$K$100,4,FALSE),"")</f>
        <v/>
      </c>
      <c r="E321" s="15">
        <f>IFERROR(VLOOKUP($B321,Community_Master!$A$2:$K$100,5,FALSE),"")</f>
        <v/>
      </c>
      <c r="F321" s="15">
        <f>IFERROR(VLOOKUP($B321,Community_Master!$A$2:$K$100,6,FALSE),"")</f>
        <v/>
      </c>
      <c r="G321" s="15">
        <f>IFERROR(VLOOKUP($B321,Community_Master!$A$2:$K$100,8,FALSE),"")</f>
        <v/>
      </c>
      <c r="H321" s="15">
        <f>IFERROR(VLOOKUP($B321,Community_Master!$A$2:$K$100,7,FALSE),"")</f>
        <v/>
      </c>
      <c r="I321" s="15" t="n"/>
      <c r="J321" s="15" t="n"/>
      <c r="K321" s="15" t="n"/>
      <c r="L321" s="15">
        <f>IF($H321="","",MAX($H321-$I321,0))</f>
        <v/>
      </c>
      <c r="M321" s="6">
        <f>IF($H321="","",IFERROR($I321/$H321,""))</f>
        <v/>
      </c>
      <c r="N321" s="6">
        <f>IF($H321="","",IFERROR($J321/$H321,""))</f>
        <v/>
      </c>
      <c r="O321" s="6" t="n"/>
      <c r="P321" s="7" t="n"/>
      <c r="Q321" s="7" t="n"/>
      <c r="R321" s="7" t="n"/>
      <c r="S321" s="7" t="n"/>
      <c r="T321" s="7">
        <f>IF($H321="","",IFERROR($H321*$P321,""))</f>
        <v/>
      </c>
      <c r="U321" s="7" t="n"/>
      <c r="V321" s="7" t="n"/>
      <c r="W321" s="7" t="n"/>
      <c r="X321" s="7">
        <f>IF(OR($U321="",$W321=""),"",($U321+$V321)-$W321)</f>
        <v/>
      </c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9" t="n"/>
      <c r="AJ321" s="8" t="n"/>
      <c r="AK321" s="8" t="n"/>
      <c r="AL321" s="15" t="n"/>
      <c r="AM321" s="15" t="n"/>
      <c r="AN321" s="15" t="n"/>
      <c r="AO321" s="15" t="n"/>
      <c r="AP321" s="10" t="n"/>
      <c r="AQ321" s="15">
        <f>IF($B321="","",IF(OR(ISERROR(MATCH($B321,Community_Master!$A$2:$A$100,0)),$A321="",AND($H321&lt;&gt;"",$I321&gt;$H321),AND($H321&lt;&gt;"",$J321&gt;$H321),$I321&lt;0,$J321&lt;0,$K321&lt;0,$P321&lt;0,$Q321&lt;0,$Y321&lt;0,$Z321&lt;0,$AA321&lt;0,$AB321&lt;0,$AC321&lt;0),"ERROR","OK"))</f>
        <v/>
      </c>
      <c r="AR321" s="15">
        <f>IF($B321="","",TRIM(IF(ISERROR(MATCH($B321,Community_Master!$A$2:$A$100,0)),"Invalid Community_ID; ","")&amp;IF($A321="","Missing Report_Month; ","")&amp;IF(AND($H321&lt;&gt;"",$I321&gt;$H321),"Occupied_Units greater than Total_Units; ","")&amp;IF(AND($H321&lt;&gt;"",$J321&gt;$H321),"Leased_Units greater than Total_Units; ","")&amp;IF($I321&lt;0,"Occupied_Units negative; ","")&amp;IF($J321&lt;0,"Leased_Units negative; ","")&amp;IF($P321&lt;0,"Avg_Market_Rent negative; ","")))</f>
        <v/>
      </c>
    </row>
    <row r="322" ht="15" customHeight="1">
      <c r="A322" s="5" t="n"/>
      <c r="B322" s="15" t="n"/>
      <c r="C322" s="15">
        <f>IFERROR(VLOOKUP($B322,Community_Master!$A$2:$K$100,2,FALSE),"")</f>
        <v/>
      </c>
      <c r="D322" s="15">
        <f>IFERROR(VLOOKUP($B322,Community_Master!$A$2:$K$100,4,FALSE),"")</f>
        <v/>
      </c>
      <c r="E322" s="15">
        <f>IFERROR(VLOOKUP($B322,Community_Master!$A$2:$K$100,5,FALSE),"")</f>
        <v/>
      </c>
      <c r="F322" s="15">
        <f>IFERROR(VLOOKUP($B322,Community_Master!$A$2:$K$100,6,FALSE),"")</f>
        <v/>
      </c>
      <c r="G322" s="15">
        <f>IFERROR(VLOOKUP($B322,Community_Master!$A$2:$K$100,8,FALSE),"")</f>
        <v/>
      </c>
      <c r="H322" s="15">
        <f>IFERROR(VLOOKUP($B322,Community_Master!$A$2:$K$100,7,FALSE),"")</f>
        <v/>
      </c>
      <c r="I322" s="15" t="n"/>
      <c r="J322" s="15" t="n"/>
      <c r="K322" s="15" t="n"/>
      <c r="L322" s="15">
        <f>IF($H322="","",MAX($H322-$I322,0))</f>
        <v/>
      </c>
      <c r="M322" s="6">
        <f>IF($H322="","",IFERROR($I322/$H322,""))</f>
        <v/>
      </c>
      <c r="N322" s="6">
        <f>IF($H322="","",IFERROR($J322/$H322,""))</f>
        <v/>
      </c>
      <c r="O322" s="6" t="n"/>
      <c r="P322" s="7" t="n"/>
      <c r="Q322" s="7" t="n"/>
      <c r="R322" s="7" t="n"/>
      <c r="S322" s="7" t="n"/>
      <c r="T322" s="7">
        <f>IF($H322="","",IFERROR($H322*$P322,""))</f>
        <v/>
      </c>
      <c r="U322" s="7" t="n"/>
      <c r="V322" s="7" t="n"/>
      <c r="W322" s="7" t="n"/>
      <c r="X322" s="7">
        <f>IF(OR($U322="",$W322=""),"",($U322+$V322)-$W322)</f>
        <v/>
      </c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9" t="n"/>
      <c r="AJ322" s="8" t="n"/>
      <c r="AK322" s="8" t="n"/>
      <c r="AL322" s="15" t="n"/>
      <c r="AM322" s="15" t="n"/>
      <c r="AN322" s="15" t="n"/>
      <c r="AO322" s="15" t="n"/>
      <c r="AP322" s="10" t="n"/>
      <c r="AQ322" s="15">
        <f>IF($B322="","",IF(OR(ISERROR(MATCH($B322,Community_Master!$A$2:$A$100,0)),$A322="",AND($H322&lt;&gt;"",$I322&gt;$H322),AND($H322&lt;&gt;"",$J322&gt;$H322),$I322&lt;0,$J322&lt;0,$K322&lt;0,$P322&lt;0,$Q322&lt;0,$Y322&lt;0,$Z322&lt;0,$AA322&lt;0,$AB322&lt;0,$AC322&lt;0),"ERROR","OK"))</f>
        <v/>
      </c>
      <c r="AR322" s="15">
        <f>IF($B322="","",TRIM(IF(ISERROR(MATCH($B322,Community_Master!$A$2:$A$100,0)),"Invalid Community_ID; ","")&amp;IF($A322="","Missing Report_Month; ","")&amp;IF(AND($H322&lt;&gt;"",$I322&gt;$H322),"Occupied_Units greater than Total_Units; ","")&amp;IF(AND($H322&lt;&gt;"",$J322&gt;$H322),"Leased_Units greater than Total_Units; ","")&amp;IF($I322&lt;0,"Occupied_Units negative; ","")&amp;IF($J322&lt;0,"Leased_Units negative; ","")&amp;IF($P322&lt;0,"Avg_Market_Rent negative; ","")))</f>
        <v/>
      </c>
    </row>
    <row r="323" ht="15" customHeight="1">
      <c r="A323" s="5" t="n"/>
      <c r="B323" s="15" t="n"/>
      <c r="C323" s="15">
        <f>IFERROR(VLOOKUP($B323,Community_Master!$A$2:$K$100,2,FALSE),"")</f>
        <v/>
      </c>
      <c r="D323" s="15">
        <f>IFERROR(VLOOKUP($B323,Community_Master!$A$2:$K$100,4,FALSE),"")</f>
        <v/>
      </c>
      <c r="E323" s="15">
        <f>IFERROR(VLOOKUP($B323,Community_Master!$A$2:$K$100,5,FALSE),"")</f>
        <v/>
      </c>
      <c r="F323" s="15">
        <f>IFERROR(VLOOKUP($B323,Community_Master!$A$2:$K$100,6,FALSE),"")</f>
        <v/>
      </c>
      <c r="G323" s="15">
        <f>IFERROR(VLOOKUP($B323,Community_Master!$A$2:$K$100,8,FALSE),"")</f>
        <v/>
      </c>
      <c r="H323" s="15">
        <f>IFERROR(VLOOKUP($B323,Community_Master!$A$2:$K$100,7,FALSE),"")</f>
        <v/>
      </c>
      <c r="I323" s="15" t="n"/>
      <c r="J323" s="15" t="n"/>
      <c r="K323" s="15" t="n"/>
      <c r="L323" s="15">
        <f>IF($H323="","",MAX($H323-$I323,0))</f>
        <v/>
      </c>
      <c r="M323" s="6">
        <f>IF($H323="","",IFERROR($I323/$H323,""))</f>
        <v/>
      </c>
      <c r="N323" s="6">
        <f>IF($H323="","",IFERROR($J323/$H323,""))</f>
        <v/>
      </c>
      <c r="O323" s="6" t="n"/>
      <c r="P323" s="7" t="n"/>
      <c r="Q323" s="7" t="n"/>
      <c r="R323" s="7" t="n"/>
      <c r="S323" s="7" t="n"/>
      <c r="T323" s="7">
        <f>IF($H323="","",IFERROR($H323*$P323,""))</f>
        <v/>
      </c>
      <c r="U323" s="7" t="n"/>
      <c r="V323" s="7" t="n"/>
      <c r="W323" s="7" t="n"/>
      <c r="X323" s="7">
        <f>IF(OR($U323="",$W323=""),"",($U323+$V323)-$W323)</f>
        <v/>
      </c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9" t="n"/>
      <c r="AJ323" s="8" t="n"/>
      <c r="AK323" s="8" t="n"/>
      <c r="AL323" s="15" t="n"/>
      <c r="AM323" s="15" t="n"/>
      <c r="AN323" s="15" t="n"/>
      <c r="AO323" s="15" t="n"/>
      <c r="AP323" s="10" t="n"/>
      <c r="AQ323" s="15">
        <f>IF($B323="","",IF(OR(ISERROR(MATCH($B323,Community_Master!$A$2:$A$100,0)),$A323="",AND($H323&lt;&gt;"",$I323&gt;$H323),AND($H323&lt;&gt;"",$J323&gt;$H323),$I323&lt;0,$J323&lt;0,$K323&lt;0,$P323&lt;0,$Q323&lt;0,$Y323&lt;0,$Z323&lt;0,$AA323&lt;0,$AB323&lt;0,$AC323&lt;0),"ERROR","OK"))</f>
        <v/>
      </c>
      <c r="AR323" s="15">
        <f>IF($B323="","",TRIM(IF(ISERROR(MATCH($B323,Community_Master!$A$2:$A$100,0)),"Invalid Community_ID; ","")&amp;IF($A323="","Missing Report_Month; ","")&amp;IF(AND($H323&lt;&gt;"",$I323&gt;$H323),"Occupied_Units greater than Total_Units; ","")&amp;IF(AND($H323&lt;&gt;"",$J323&gt;$H323),"Leased_Units greater than Total_Units; ","")&amp;IF($I323&lt;0,"Occupied_Units negative; ","")&amp;IF($J323&lt;0,"Leased_Units negative; ","")&amp;IF($P323&lt;0,"Avg_Market_Rent negative; ","")))</f>
        <v/>
      </c>
    </row>
    <row r="324" ht="15" customHeight="1">
      <c r="A324" s="5" t="n"/>
      <c r="B324" s="15" t="n"/>
      <c r="C324" s="15">
        <f>IFERROR(VLOOKUP($B324,Community_Master!$A$2:$K$100,2,FALSE),"")</f>
        <v/>
      </c>
      <c r="D324" s="15">
        <f>IFERROR(VLOOKUP($B324,Community_Master!$A$2:$K$100,4,FALSE),"")</f>
        <v/>
      </c>
      <c r="E324" s="15">
        <f>IFERROR(VLOOKUP($B324,Community_Master!$A$2:$K$100,5,FALSE),"")</f>
        <v/>
      </c>
      <c r="F324" s="15">
        <f>IFERROR(VLOOKUP($B324,Community_Master!$A$2:$K$100,6,FALSE),"")</f>
        <v/>
      </c>
      <c r="G324" s="15">
        <f>IFERROR(VLOOKUP($B324,Community_Master!$A$2:$K$100,8,FALSE),"")</f>
        <v/>
      </c>
      <c r="H324" s="15">
        <f>IFERROR(VLOOKUP($B324,Community_Master!$A$2:$K$100,7,FALSE),"")</f>
        <v/>
      </c>
      <c r="I324" s="15" t="n"/>
      <c r="J324" s="15" t="n"/>
      <c r="K324" s="15" t="n"/>
      <c r="L324" s="15">
        <f>IF($H324="","",MAX($H324-$I324,0))</f>
        <v/>
      </c>
      <c r="M324" s="6">
        <f>IF($H324="","",IFERROR($I324/$H324,""))</f>
        <v/>
      </c>
      <c r="N324" s="6">
        <f>IF($H324="","",IFERROR($J324/$H324,""))</f>
        <v/>
      </c>
      <c r="O324" s="6" t="n"/>
      <c r="P324" s="7" t="n"/>
      <c r="Q324" s="7" t="n"/>
      <c r="R324" s="7" t="n"/>
      <c r="S324" s="7" t="n"/>
      <c r="T324" s="7">
        <f>IF($H324="","",IFERROR($H324*$P324,""))</f>
        <v/>
      </c>
      <c r="U324" s="7" t="n"/>
      <c r="V324" s="7" t="n"/>
      <c r="W324" s="7" t="n"/>
      <c r="X324" s="7">
        <f>IF(OR($U324="",$W324=""),"",($U324+$V324)-$W324)</f>
        <v/>
      </c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9" t="n"/>
      <c r="AJ324" s="8" t="n"/>
      <c r="AK324" s="8" t="n"/>
      <c r="AL324" s="15" t="n"/>
      <c r="AM324" s="15" t="n"/>
      <c r="AN324" s="15" t="n"/>
      <c r="AO324" s="15" t="n"/>
      <c r="AP324" s="10" t="n"/>
      <c r="AQ324" s="15">
        <f>IF($B324="","",IF(OR(ISERROR(MATCH($B324,Community_Master!$A$2:$A$100,0)),$A324="",AND($H324&lt;&gt;"",$I324&gt;$H324),AND($H324&lt;&gt;"",$J324&gt;$H324),$I324&lt;0,$J324&lt;0,$K324&lt;0,$P324&lt;0,$Q324&lt;0,$Y324&lt;0,$Z324&lt;0,$AA324&lt;0,$AB324&lt;0,$AC324&lt;0),"ERROR","OK"))</f>
        <v/>
      </c>
      <c r="AR324" s="15">
        <f>IF($B324="","",TRIM(IF(ISERROR(MATCH($B324,Community_Master!$A$2:$A$100,0)),"Invalid Community_ID; ","")&amp;IF($A324="","Missing Report_Month; ","")&amp;IF(AND($H324&lt;&gt;"",$I324&gt;$H324),"Occupied_Units greater than Total_Units; ","")&amp;IF(AND($H324&lt;&gt;"",$J324&gt;$H324),"Leased_Units greater than Total_Units; ","")&amp;IF($I324&lt;0,"Occupied_Units negative; ","")&amp;IF($J324&lt;0,"Leased_Units negative; ","")&amp;IF($P324&lt;0,"Avg_Market_Rent negative; ","")))</f>
        <v/>
      </c>
    </row>
    <row r="325" ht="15" customHeight="1">
      <c r="A325" s="5" t="n"/>
      <c r="B325" s="15" t="n"/>
      <c r="C325" s="15">
        <f>IFERROR(VLOOKUP($B325,Community_Master!$A$2:$K$100,2,FALSE),"")</f>
        <v/>
      </c>
      <c r="D325" s="15">
        <f>IFERROR(VLOOKUP($B325,Community_Master!$A$2:$K$100,4,FALSE),"")</f>
        <v/>
      </c>
      <c r="E325" s="15">
        <f>IFERROR(VLOOKUP($B325,Community_Master!$A$2:$K$100,5,FALSE),"")</f>
        <v/>
      </c>
      <c r="F325" s="15">
        <f>IFERROR(VLOOKUP($B325,Community_Master!$A$2:$K$100,6,FALSE),"")</f>
        <v/>
      </c>
      <c r="G325" s="15">
        <f>IFERROR(VLOOKUP($B325,Community_Master!$A$2:$K$100,8,FALSE),"")</f>
        <v/>
      </c>
      <c r="H325" s="15">
        <f>IFERROR(VLOOKUP($B325,Community_Master!$A$2:$K$100,7,FALSE),"")</f>
        <v/>
      </c>
      <c r="I325" s="15" t="n"/>
      <c r="J325" s="15" t="n"/>
      <c r="K325" s="15" t="n"/>
      <c r="L325" s="15">
        <f>IF($H325="","",MAX($H325-$I325,0))</f>
        <v/>
      </c>
      <c r="M325" s="6">
        <f>IF($H325="","",IFERROR($I325/$H325,""))</f>
        <v/>
      </c>
      <c r="N325" s="6">
        <f>IF($H325="","",IFERROR($J325/$H325,""))</f>
        <v/>
      </c>
      <c r="O325" s="6" t="n"/>
      <c r="P325" s="7" t="n"/>
      <c r="Q325" s="7" t="n"/>
      <c r="R325" s="7" t="n"/>
      <c r="S325" s="7" t="n"/>
      <c r="T325" s="7">
        <f>IF($H325="","",IFERROR($H325*$P325,""))</f>
        <v/>
      </c>
      <c r="U325" s="7" t="n"/>
      <c r="V325" s="7" t="n"/>
      <c r="W325" s="7" t="n"/>
      <c r="X325" s="7">
        <f>IF(OR($U325="",$W325=""),"",($U325+$V325)-$W325)</f>
        <v/>
      </c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9" t="n"/>
      <c r="AJ325" s="8" t="n"/>
      <c r="AK325" s="8" t="n"/>
      <c r="AL325" s="15" t="n"/>
      <c r="AM325" s="15" t="n"/>
      <c r="AN325" s="15" t="n"/>
      <c r="AO325" s="15" t="n"/>
      <c r="AP325" s="10" t="n"/>
      <c r="AQ325" s="15">
        <f>IF($B325="","",IF(OR(ISERROR(MATCH($B325,Community_Master!$A$2:$A$100,0)),$A325="",AND($H325&lt;&gt;"",$I325&gt;$H325),AND($H325&lt;&gt;"",$J325&gt;$H325),$I325&lt;0,$J325&lt;0,$K325&lt;0,$P325&lt;0,$Q325&lt;0,$Y325&lt;0,$Z325&lt;0,$AA325&lt;0,$AB325&lt;0,$AC325&lt;0),"ERROR","OK"))</f>
        <v/>
      </c>
      <c r="AR325" s="15">
        <f>IF($B325="","",TRIM(IF(ISERROR(MATCH($B325,Community_Master!$A$2:$A$100,0)),"Invalid Community_ID; ","")&amp;IF($A325="","Missing Report_Month; ","")&amp;IF(AND($H325&lt;&gt;"",$I325&gt;$H325),"Occupied_Units greater than Total_Units; ","")&amp;IF(AND($H325&lt;&gt;"",$J325&gt;$H325),"Leased_Units greater than Total_Units; ","")&amp;IF($I325&lt;0,"Occupied_Units negative; ","")&amp;IF($J325&lt;0,"Leased_Units negative; ","")&amp;IF($P325&lt;0,"Avg_Market_Rent negative; ","")))</f>
        <v/>
      </c>
    </row>
    <row r="326" ht="15" customHeight="1">
      <c r="A326" s="5" t="n"/>
      <c r="B326" s="15" t="n"/>
      <c r="C326" s="15">
        <f>IFERROR(VLOOKUP($B326,Community_Master!$A$2:$K$100,2,FALSE),"")</f>
        <v/>
      </c>
      <c r="D326" s="15">
        <f>IFERROR(VLOOKUP($B326,Community_Master!$A$2:$K$100,4,FALSE),"")</f>
        <v/>
      </c>
      <c r="E326" s="15">
        <f>IFERROR(VLOOKUP($B326,Community_Master!$A$2:$K$100,5,FALSE),"")</f>
        <v/>
      </c>
      <c r="F326" s="15">
        <f>IFERROR(VLOOKUP($B326,Community_Master!$A$2:$K$100,6,FALSE),"")</f>
        <v/>
      </c>
      <c r="G326" s="15">
        <f>IFERROR(VLOOKUP($B326,Community_Master!$A$2:$K$100,8,FALSE),"")</f>
        <v/>
      </c>
      <c r="H326" s="15">
        <f>IFERROR(VLOOKUP($B326,Community_Master!$A$2:$K$100,7,FALSE),"")</f>
        <v/>
      </c>
      <c r="I326" s="15" t="n"/>
      <c r="J326" s="15" t="n"/>
      <c r="K326" s="15" t="n"/>
      <c r="L326" s="15">
        <f>IF($H326="","",MAX($H326-$I326,0))</f>
        <v/>
      </c>
      <c r="M326" s="6">
        <f>IF($H326="","",IFERROR($I326/$H326,""))</f>
        <v/>
      </c>
      <c r="N326" s="6">
        <f>IF($H326="","",IFERROR($J326/$H326,""))</f>
        <v/>
      </c>
      <c r="O326" s="6" t="n"/>
      <c r="P326" s="7" t="n"/>
      <c r="Q326" s="7" t="n"/>
      <c r="R326" s="7" t="n"/>
      <c r="S326" s="7" t="n"/>
      <c r="T326" s="7">
        <f>IF($H326="","",IFERROR($H326*$P326,""))</f>
        <v/>
      </c>
      <c r="U326" s="7" t="n"/>
      <c r="V326" s="7" t="n"/>
      <c r="W326" s="7" t="n"/>
      <c r="X326" s="7">
        <f>IF(OR($U326="",$W326=""),"",($U326+$V326)-$W326)</f>
        <v/>
      </c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9" t="n"/>
      <c r="AJ326" s="8" t="n"/>
      <c r="AK326" s="8" t="n"/>
      <c r="AL326" s="15" t="n"/>
      <c r="AM326" s="15" t="n"/>
      <c r="AN326" s="15" t="n"/>
      <c r="AO326" s="15" t="n"/>
      <c r="AP326" s="10" t="n"/>
      <c r="AQ326" s="15">
        <f>IF($B326="","",IF(OR(ISERROR(MATCH($B326,Community_Master!$A$2:$A$100,0)),$A326="",AND($H326&lt;&gt;"",$I326&gt;$H326),AND($H326&lt;&gt;"",$J326&gt;$H326),$I326&lt;0,$J326&lt;0,$K326&lt;0,$P326&lt;0,$Q326&lt;0,$Y326&lt;0,$Z326&lt;0,$AA326&lt;0,$AB326&lt;0,$AC326&lt;0),"ERROR","OK"))</f>
        <v/>
      </c>
      <c r="AR326" s="15">
        <f>IF($B326="","",TRIM(IF(ISERROR(MATCH($B326,Community_Master!$A$2:$A$100,0)),"Invalid Community_ID; ","")&amp;IF($A326="","Missing Report_Month; ","")&amp;IF(AND($H326&lt;&gt;"",$I326&gt;$H326),"Occupied_Units greater than Total_Units; ","")&amp;IF(AND($H326&lt;&gt;"",$J326&gt;$H326),"Leased_Units greater than Total_Units; ","")&amp;IF($I326&lt;0,"Occupied_Units negative; ","")&amp;IF($J326&lt;0,"Leased_Units negative; ","")&amp;IF($P326&lt;0,"Avg_Market_Rent negative; ","")))</f>
        <v/>
      </c>
    </row>
    <row r="327" ht="15" customHeight="1">
      <c r="A327" s="5" t="n"/>
      <c r="B327" s="15" t="n"/>
      <c r="C327" s="15">
        <f>IFERROR(VLOOKUP($B327,Community_Master!$A$2:$K$100,2,FALSE),"")</f>
        <v/>
      </c>
      <c r="D327" s="15">
        <f>IFERROR(VLOOKUP($B327,Community_Master!$A$2:$K$100,4,FALSE),"")</f>
        <v/>
      </c>
      <c r="E327" s="15">
        <f>IFERROR(VLOOKUP($B327,Community_Master!$A$2:$K$100,5,FALSE),"")</f>
        <v/>
      </c>
      <c r="F327" s="15">
        <f>IFERROR(VLOOKUP($B327,Community_Master!$A$2:$K$100,6,FALSE),"")</f>
        <v/>
      </c>
      <c r="G327" s="15">
        <f>IFERROR(VLOOKUP($B327,Community_Master!$A$2:$K$100,8,FALSE),"")</f>
        <v/>
      </c>
      <c r="H327" s="15">
        <f>IFERROR(VLOOKUP($B327,Community_Master!$A$2:$K$100,7,FALSE),"")</f>
        <v/>
      </c>
      <c r="I327" s="15" t="n"/>
      <c r="J327" s="15" t="n"/>
      <c r="K327" s="15" t="n"/>
      <c r="L327" s="15">
        <f>IF($H327="","",MAX($H327-$I327,0))</f>
        <v/>
      </c>
      <c r="M327" s="6">
        <f>IF($H327="","",IFERROR($I327/$H327,""))</f>
        <v/>
      </c>
      <c r="N327" s="6">
        <f>IF($H327="","",IFERROR($J327/$H327,""))</f>
        <v/>
      </c>
      <c r="O327" s="6" t="n"/>
      <c r="P327" s="7" t="n"/>
      <c r="Q327" s="7" t="n"/>
      <c r="R327" s="7" t="n"/>
      <c r="S327" s="7" t="n"/>
      <c r="T327" s="7">
        <f>IF($H327="","",IFERROR($H327*$P327,""))</f>
        <v/>
      </c>
      <c r="U327" s="7" t="n"/>
      <c r="V327" s="7" t="n"/>
      <c r="W327" s="7" t="n"/>
      <c r="X327" s="7">
        <f>IF(OR($U327="",$W327=""),"",($U327+$V327)-$W327)</f>
        <v/>
      </c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9" t="n"/>
      <c r="AJ327" s="8" t="n"/>
      <c r="AK327" s="8" t="n"/>
      <c r="AL327" s="15" t="n"/>
      <c r="AM327" s="15" t="n"/>
      <c r="AN327" s="15" t="n"/>
      <c r="AO327" s="15" t="n"/>
      <c r="AP327" s="10" t="n"/>
      <c r="AQ327" s="15">
        <f>IF($B327="","",IF(OR(ISERROR(MATCH($B327,Community_Master!$A$2:$A$100,0)),$A327="",AND($H327&lt;&gt;"",$I327&gt;$H327),AND($H327&lt;&gt;"",$J327&gt;$H327),$I327&lt;0,$J327&lt;0,$K327&lt;0,$P327&lt;0,$Q327&lt;0,$Y327&lt;0,$Z327&lt;0,$AA327&lt;0,$AB327&lt;0,$AC327&lt;0),"ERROR","OK"))</f>
        <v/>
      </c>
      <c r="AR327" s="15">
        <f>IF($B327="","",TRIM(IF(ISERROR(MATCH($B327,Community_Master!$A$2:$A$100,0)),"Invalid Community_ID; ","")&amp;IF($A327="","Missing Report_Month; ","")&amp;IF(AND($H327&lt;&gt;"",$I327&gt;$H327),"Occupied_Units greater than Total_Units; ","")&amp;IF(AND($H327&lt;&gt;"",$J327&gt;$H327),"Leased_Units greater than Total_Units; ","")&amp;IF($I327&lt;0,"Occupied_Units negative; ","")&amp;IF($J327&lt;0,"Leased_Units negative; ","")&amp;IF($P327&lt;0,"Avg_Market_Rent negative; ","")))</f>
        <v/>
      </c>
    </row>
    <row r="328" ht="15" customHeight="1">
      <c r="A328" s="5" t="n"/>
      <c r="B328" s="15" t="n"/>
      <c r="C328" s="15">
        <f>IFERROR(VLOOKUP($B328,Community_Master!$A$2:$K$100,2,FALSE),"")</f>
        <v/>
      </c>
      <c r="D328" s="15">
        <f>IFERROR(VLOOKUP($B328,Community_Master!$A$2:$K$100,4,FALSE),"")</f>
        <v/>
      </c>
      <c r="E328" s="15">
        <f>IFERROR(VLOOKUP($B328,Community_Master!$A$2:$K$100,5,FALSE),"")</f>
        <v/>
      </c>
      <c r="F328" s="15">
        <f>IFERROR(VLOOKUP($B328,Community_Master!$A$2:$K$100,6,FALSE),"")</f>
        <v/>
      </c>
      <c r="G328" s="15">
        <f>IFERROR(VLOOKUP($B328,Community_Master!$A$2:$K$100,8,FALSE),"")</f>
        <v/>
      </c>
      <c r="H328" s="15">
        <f>IFERROR(VLOOKUP($B328,Community_Master!$A$2:$K$100,7,FALSE),"")</f>
        <v/>
      </c>
      <c r="I328" s="15" t="n"/>
      <c r="J328" s="15" t="n"/>
      <c r="K328" s="15" t="n"/>
      <c r="L328" s="15">
        <f>IF($H328="","",MAX($H328-$I328,0))</f>
        <v/>
      </c>
      <c r="M328" s="6">
        <f>IF($H328="","",IFERROR($I328/$H328,""))</f>
        <v/>
      </c>
      <c r="N328" s="6">
        <f>IF($H328="","",IFERROR($J328/$H328,""))</f>
        <v/>
      </c>
      <c r="O328" s="6" t="n"/>
      <c r="P328" s="7" t="n"/>
      <c r="Q328" s="7" t="n"/>
      <c r="R328" s="7" t="n"/>
      <c r="S328" s="7" t="n"/>
      <c r="T328" s="7">
        <f>IF($H328="","",IFERROR($H328*$P328,""))</f>
        <v/>
      </c>
      <c r="U328" s="7" t="n"/>
      <c r="V328" s="7" t="n"/>
      <c r="W328" s="7" t="n"/>
      <c r="X328" s="7">
        <f>IF(OR($U328="",$W328=""),"",($U328+$V328)-$W328)</f>
        <v/>
      </c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9" t="n"/>
      <c r="AJ328" s="8" t="n"/>
      <c r="AK328" s="8" t="n"/>
      <c r="AL328" s="15" t="n"/>
      <c r="AM328" s="15" t="n"/>
      <c r="AN328" s="15" t="n"/>
      <c r="AO328" s="15" t="n"/>
      <c r="AP328" s="10" t="n"/>
      <c r="AQ328" s="15">
        <f>IF($B328="","",IF(OR(ISERROR(MATCH($B328,Community_Master!$A$2:$A$100,0)),$A328="",AND($H328&lt;&gt;"",$I328&gt;$H328),AND($H328&lt;&gt;"",$J328&gt;$H328),$I328&lt;0,$J328&lt;0,$K328&lt;0,$P328&lt;0,$Q328&lt;0,$Y328&lt;0,$Z328&lt;0,$AA328&lt;0,$AB328&lt;0,$AC328&lt;0),"ERROR","OK"))</f>
        <v/>
      </c>
      <c r="AR328" s="15">
        <f>IF($B328="","",TRIM(IF(ISERROR(MATCH($B328,Community_Master!$A$2:$A$100,0)),"Invalid Community_ID; ","")&amp;IF($A328="","Missing Report_Month; ","")&amp;IF(AND($H328&lt;&gt;"",$I328&gt;$H328),"Occupied_Units greater than Total_Units; ","")&amp;IF(AND($H328&lt;&gt;"",$J328&gt;$H328),"Leased_Units greater than Total_Units; ","")&amp;IF($I328&lt;0,"Occupied_Units negative; ","")&amp;IF($J328&lt;0,"Leased_Units negative; ","")&amp;IF($P328&lt;0,"Avg_Market_Rent negative; ","")))</f>
        <v/>
      </c>
    </row>
    <row r="329" ht="15" customHeight="1">
      <c r="A329" s="5" t="n"/>
      <c r="B329" s="15" t="n"/>
      <c r="C329" s="15">
        <f>IFERROR(VLOOKUP($B329,Community_Master!$A$2:$K$100,2,FALSE),"")</f>
        <v/>
      </c>
      <c r="D329" s="15">
        <f>IFERROR(VLOOKUP($B329,Community_Master!$A$2:$K$100,4,FALSE),"")</f>
        <v/>
      </c>
      <c r="E329" s="15">
        <f>IFERROR(VLOOKUP($B329,Community_Master!$A$2:$K$100,5,FALSE),"")</f>
        <v/>
      </c>
      <c r="F329" s="15">
        <f>IFERROR(VLOOKUP($B329,Community_Master!$A$2:$K$100,6,FALSE),"")</f>
        <v/>
      </c>
      <c r="G329" s="15">
        <f>IFERROR(VLOOKUP($B329,Community_Master!$A$2:$K$100,8,FALSE),"")</f>
        <v/>
      </c>
      <c r="H329" s="15">
        <f>IFERROR(VLOOKUP($B329,Community_Master!$A$2:$K$100,7,FALSE),"")</f>
        <v/>
      </c>
      <c r="I329" s="15" t="n"/>
      <c r="J329" s="15" t="n"/>
      <c r="K329" s="15" t="n"/>
      <c r="L329" s="15">
        <f>IF($H329="","",MAX($H329-$I329,0))</f>
        <v/>
      </c>
      <c r="M329" s="6">
        <f>IF($H329="","",IFERROR($I329/$H329,""))</f>
        <v/>
      </c>
      <c r="N329" s="6">
        <f>IF($H329="","",IFERROR($J329/$H329,""))</f>
        <v/>
      </c>
      <c r="O329" s="6" t="n"/>
      <c r="P329" s="7" t="n"/>
      <c r="Q329" s="7" t="n"/>
      <c r="R329" s="7" t="n"/>
      <c r="S329" s="7" t="n"/>
      <c r="T329" s="7">
        <f>IF($H329="","",IFERROR($H329*$P329,""))</f>
        <v/>
      </c>
      <c r="U329" s="7" t="n"/>
      <c r="V329" s="7" t="n"/>
      <c r="W329" s="7" t="n"/>
      <c r="X329" s="7">
        <f>IF(OR($U329="",$W329=""),"",($U329+$V329)-$W329)</f>
        <v/>
      </c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9" t="n"/>
      <c r="AJ329" s="8" t="n"/>
      <c r="AK329" s="8" t="n"/>
      <c r="AL329" s="15" t="n"/>
      <c r="AM329" s="15" t="n"/>
      <c r="AN329" s="15" t="n"/>
      <c r="AO329" s="15" t="n"/>
      <c r="AP329" s="10" t="n"/>
      <c r="AQ329" s="15">
        <f>IF($B329="","",IF(OR(ISERROR(MATCH($B329,Community_Master!$A$2:$A$100,0)),$A329="",AND($H329&lt;&gt;"",$I329&gt;$H329),AND($H329&lt;&gt;"",$J329&gt;$H329),$I329&lt;0,$J329&lt;0,$K329&lt;0,$P329&lt;0,$Q329&lt;0,$Y329&lt;0,$Z329&lt;0,$AA329&lt;0,$AB329&lt;0,$AC329&lt;0),"ERROR","OK"))</f>
        <v/>
      </c>
      <c r="AR329" s="15">
        <f>IF($B329="","",TRIM(IF(ISERROR(MATCH($B329,Community_Master!$A$2:$A$100,0)),"Invalid Community_ID; ","")&amp;IF($A329="","Missing Report_Month; ","")&amp;IF(AND($H329&lt;&gt;"",$I329&gt;$H329),"Occupied_Units greater than Total_Units; ","")&amp;IF(AND($H329&lt;&gt;"",$J329&gt;$H329),"Leased_Units greater than Total_Units; ","")&amp;IF($I329&lt;0,"Occupied_Units negative; ","")&amp;IF($J329&lt;0,"Leased_Units negative; ","")&amp;IF($P329&lt;0,"Avg_Market_Rent negative; ","")))</f>
        <v/>
      </c>
    </row>
    <row r="330" ht="15" customHeight="1">
      <c r="A330" s="5" t="n"/>
      <c r="B330" s="15" t="n"/>
      <c r="C330" s="15">
        <f>IFERROR(VLOOKUP($B330,Community_Master!$A$2:$K$100,2,FALSE),"")</f>
        <v/>
      </c>
      <c r="D330" s="15">
        <f>IFERROR(VLOOKUP($B330,Community_Master!$A$2:$K$100,4,FALSE),"")</f>
        <v/>
      </c>
      <c r="E330" s="15">
        <f>IFERROR(VLOOKUP($B330,Community_Master!$A$2:$K$100,5,FALSE),"")</f>
        <v/>
      </c>
      <c r="F330" s="15">
        <f>IFERROR(VLOOKUP($B330,Community_Master!$A$2:$K$100,6,FALSE),"")</f>
        <v/>
      </c>
      <c r="G330" s="15">
        <f>IFERROR(VLOOKUP($B330,Community_Master!$A$2:$K$100,8,FALSE),"")</f>
        <v/>
      </c>
      <c r="H330" s="15">
        <f>IFERROR(VLOOKUP($B330,Community_Master!$A$2:$K$100,7,FALSE),"")</f>
        <v/>
      </c>
      <c r="I330" s="15" t="n"/>
      <c r="J330" s="15" t="n"/>
      <c r="K330" s="15" t="n"/>
      <c r="L330" s="15">
        <f>IF($H330="","",MAX($H330-$I330,0))</f>
        <v/>
      </c>
      <c r="M330" s="6">
        <f>IF($H330="","",IFERROR($I330/$H330,""))</f>
        <v/>
      </c>
      <c r="N330" s="6">
        <f>IF($H330="","",IFERROR($J330/$H330,""))</f>
        <v/>
      </c>
      <c r="O330" s="6" t="n"/>
      <c r="P330" s="7" t="n"/>
      <c r="Q330" s="7" t="n"/>
      <c r="R330" s="7" t="n"/>
      <c r="S330" s="7" t="n"/>
      <c r="T330" s="7">
        <f>IF($H330="","",IFERROR($H330*$P330,""))</f>
        <v/>
      </c>
      <c r="U330" s="7" t="n"/>
      <c r="V330" s="7" t="n"/>
      <c r="W330" s="7" t="n"/>
      <c r="X330" s="7">
        <f>IF(OR($U330="",$W330=""),"",($U330+$V330)-$W330)</f>
        <v/>
      </c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9" t="n"/>
      <c r="AJ330" s="8" t="n"/>
      <c r="AK330" s="8" t="n"/>
      <c r="AL330" s="15" t="n"/>
      <c r="AM330" s="15" t="n"/>
      <c r="AN330" s="15" t="n"/>
      <c r="AO330" s="15" t="n"/>
      <c r="AP330" s="10" t="n"/>
      <c r="AQ330" s="15">
        <f>IF($B330="","",IF(OR(ISERROR(MATCH($B330,Community_Master!$A$2:$A$100,0)),$A330="",AND($H330&lt;&gt;"",$I330&gt;$H330),AND($H330&lt;&gt;"",$J330&gt;$H330),$I330&lt;0,$J330&lt;0,$K330&lt;0,$P330&lt;0,$Q330&lt;0,$Y330&lt;0,$Z330&lt;0,$AA330&lt;0,$AB330&lt;0,$AC330&lt;0),"ERROR","OK"))</f>
        <v/>
      </c>
      <c r="AR330" s="15">
        <f>IF($B330="","",TRIM(IF(ISERROR(MATCH($B330,Community_Master!$A$2:$A$100,0)),"Invalid Community_ID; ","")&amp;IF($A330="","Missing Report_Month; ","")&amp;IF(AND($H330&lt;&gt;"",$I330&gt;$H330),"Occupied_Units greater than Total_Units; ","")&amp;IF(AND($H330&lt;&gt;"",$J330&gt;$H330),"Leased_Units greater than Total_Units; ","")&amp;IF($I330&lt;0,"Occupied_Units negative; ","")&amp;IF($J330&lt;0,"Leased_Units negative; ","")&amp;IF($P330&lt;0,"Avg_Market_Rent negative; ","")))</f>
        <v/>
      </c>
    </row>
    <row r="331" ht="15" customHeight="1">
      <c r="A331" s="5" t="n"/>
      <c r="B331" s="15" t="n"/>
      <c r="C331" s="15">
        <f>IFERROR(VLOOKUP($B331,Community_Master!$A$2:$K$100,2,FALSE),"")</f>
        <v/>
      </c>
      <c r="D331" s="15">
        <f>IFERROR(VLOOKUP($B331,Community_Master!$A$2:$K$100,4,FALSE),"")</f>
        <v/>
      </c>
      <c r="E331" s="15">
        <f>IFERROR(VLOOKUP($B331,Community_Master!$A$2:$K$100,5,FALSE),"")</f>
        <v/>
      </c>
      <c r="F331" s="15">
        <f>IFERROR(VLOOKUP($B331,Community_Master!$A$2:$K$100,6,FALSE),"")</f>
        <v/>
      </c>
      <c r="G331" s="15">
        <f>IFERROR(VLOOKUP($B331,Community_Master!$A$2:$K$100,8,FALSE),"")</f>
        <v/>
      </c>
      <c r="H331" s="15">
        <f>IFERROR(VLOOKUP($B331,Community_Master!$A$2:$K$100,7,FALSE),"")</f>
        <v/>
      </c>
      <c r="I331" s="15" t="n"/>
      <c r="J331" s="15" t="n"/>
      <c r="K331" s="15" t="n"/>
      <c r="L331" s="15">
        <f>IF($H331="","",MAX($H331-$I331,0))</f>
        <v/>
      </c>
      <c r="M331" s="6">
        <f>IF($H331="","",IFERROR($I331/$H331,""))</f>
        <v/>
      </c>
      <c r="N331" s="6">
        <f>IF($H331="","",IFERROR($J331/$H331,""))</f>
        <v/>
      </c>
      <c r="O331" s="6" t="n"/>
      <c r="P331" s="7" t="n"/>
      <c r="Q331" s="7" t="n"/>
      <c r="R331" s="7" t="n"/>
      <c r="S331" s="7" t="n"/>
      <c r="T331" s="7">
        <f>IF($H331="","",IFERROR($H331*$P331,""))</f>
        <v/>
      </c>
      <c r="U331" s="7" t="n"/>
      <c r="V331" s="7" t="n"/>
      <c r="W331" s="7" t="n"/>
      <c r="X331" s="7">
        <f>IF(OR($U331="",$W331=""),"",($U331+$V331)-$W331)</f>
        <v/>
      </c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9" t="n"/>
      <c r="AJ331" s="8" t="n"/>
      <c r="AK331" s="8" t="n"/>
      <c r="AL331" s="15" t="n"/>
      <c r="AM331" s="15" t="n"/>
      <c r="AN331" s="15" t="n"/>
      <c r="AO331" s="15" t="n"/>
      <c r="AP331" s="10" t="n"/>
      <c r="AQ331" s="15">
        <f>IF($B331="","",IF(OR(ISERROR(MATCH($B331,Community_Master!$A$2:$A$100,0)),$A331="",AND($H331&lt;&gt;"",$I331&gt;$H331),AND($H331&lt;&gt;"",$J331&gt;$H331),$I331&lt;0,$J331&lt;0,$K331&lt;0,$P331&lt;0,$Q331&lt;0,$Y331&lt;0,$Z331&lt;0,$AA331&lt;0,$AB331&lt;0,$AC331&lt;0),"ERROR","OK"))</f>
        <v/>
      </c>
      <c r="AR331" s="15">
        <f>IF($B331="","",TRIM(IF(ISERROR(MATCH($B331,Community_Master!$A$2:$A$100,0)),"Invalid Community_ID; ","")&amp;IF($A331="","Missing Report_Month; ","")&amp;IF(AND($H331&lt;&gt;"",$I331&gt;$H331),"Occupied_Units greater than Total_Units; ","")&amp;IF(AND($H331&lt;&gt;"",$J331&gt;$H331),"Leased_Units greater than Total_Units; ","")&amp;IF($I331&lt;0,"Occupied_Units negative; ","")&amp;IF($J331&lt;0,"Leased_Units negative; ","")&amp;IF($P331&lt;0,"Avg_Market_Rent negative; ","")))</f>
        <v/>
      </c>
    </row>
    <row r="332" ht="15" customHeight="1">
      <c r="A332" s="5" t="n"/>
      <c r="B332" s="15" t="n"/>
      <c r="C332" s="15">
        <f>IFERROR(VLOOKUP($B332,Community_Master!$A$2:$K$100,2,FALSE),"")</f>
        <v/>
      </c>
      <c r="D332" s="15">
        <f>IFERROR(VLOOKUP($B332,Community_Master!$A$2:$K$100,4,FALSE),"")</f>
        <v/>
      </c>
      <c r="E332" s="15">
        <f>IFERROR(VLOOKUP($B332,Community_Master!$A$2:$K$100,5,FALSE),"")</f>
        <v/>
      </c>
      <c r="F332" s="15">
        <f>IFERROR(VLOOKUP($B332,Community_Master!$A$2:$K$100,6,FALSE),"")</f>
        <v/>
      </c>
      <c r="G332" s="15">
        <f>IFERROR(VLOOKUP($B332,Community_Master!$A$2:$K$100,8,FALSE),"")</f>
        <v/>
      </c>
      <c r="H332" s="15">
        <f>IFERROR(VLOOKUP($B332,Community_Master!$A$2:$K$100,7,FALSE),"")</f>
        <v/>
      </c>
      <c r="I332" s="15" t="n"/>
      <c r="J332" s="15" t="n"/>
      <c r="K332" s="15" t="n"/>
      <c r="L332" s="15">
        <f>IF($H332="","",MAX($H332-$I332,0))</f>
        <v/>
      </c>
      <c r="M332" s="6">
        <f>IF($H332="","",IFERROR($I332/$H332,""))</f>
        <v/>
      </c>
      <c r="N332" s="6">
        <f>IF($H332="","",IFERROR($J332/$H332,""))</f>
        <v/>
      </c>
      <c r="O332" s="6" t="n"/>
      <c r="P332" s="7" t="n"/>
      <c r="Q332" s="7" t="n"/>
      <c r="R332" s="7" t="n"/>
      <c r="S332" s="7" t="n"/>
      <c r="T332" s="7">
        <f>IF($H332="","",IFERROR($H332*$P332,""))</f>
        <v/>
      </c>
      <c r="U332" s="7" t="n"/>
      <c r="V332" s="7" t="n"/>
      <c r="W332" s="7" t="n"/>
      <c r="X332" s="7">
        <f>IF(OR($U332="",$W332=""),"",($U332+$V332)-$W332)</f>
        <v/>
      </c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9" t="n"/>
      <c r="AJ332" s="8" t="n"/>
      <c r="AK332" s="8" t="n"/>
      <c r="AL332" s="15" t="n"/>
      <c r="AM332" s="15" t="n"/>
      <c r="AN332" s="15" t="n"/>
      <c r="AO332" s="15" t="n"/>
      <c r="AP332" s="10" t="n"/>
      <c r="AQ332" s="15">
        <f>IF($B332="","",IF(OR(ISERROR(MATCH($B332,Community_Master!$A$2:$A$100,0)),$A332="",AND($H332&lt;&gt;"",$I332&gt;$H332),AND($H332&lt;&gt;"",$J332&gt;$H332),$I332&lt;0,$J332&lt;0,$K332&lt;0,$P332&lt;0,$Q332&lt;0,$Y332&lt;0,$Z332&lt;0,$AA332&lt;0,$AB332&lt;0,$AC332&lt;0),"ERROR","OK"))</f>
        <v/>
      </c>
      <c r="AR332" s="15">
        <f>IF($B332="","",TRIM(IF(ISERROR(MATCH($B332,Community_Master!$A$2:$A$100,0)),"Invalid Community_ID; ","")&amp;IF($A332="","Missing Report_Month; ","")&amp;IF(AND($H332&lt;&gt;"",$I332&gt;$H332),"Occupied_Units greater than Total_Units; ","")&amp;IF(AND($H332&lt;&gt;"",$J332&gt;$H332),"Leased_Units greater than Total_Units; ","")&amp;IF($I332&lt;0,"Occupied_Units negative; ","")&amp;IF($J332&lt;0,"Leased_Units negative; ","")&amp;IF($P332&lt;0,"Avg_Market_Rent negative; ","")))</f>
        <v/>
      </c>
    </row>
    <row r="333" ht="15" customHeight="1">
      <c r="A333" s="5" t="n"/>
      <c r="B333" s="15" t="n"/>
      <c r="C333" s="15">
        <f>IFERROR(VLOOKUP($B333,Community_Master!$A$2:$K$100,2,FALSE),"")</f>
        <v/>
      </c>
      <c r="D333" s="15">
        <f>IFERROR(VLOOKUP($B333,Community_Master!$A$2:$K$100,4,FALSE),"")</f>
        <v/>
      </c>
      <c r="E333" s="15">
        <f>IFERROR(VLOOKUP($B333,Community_Master!$A$2:$K$100,5,FALSE),"")</f>
        <v/>
      </c>
      <c r="F333" s="15">
        <f>IFERROR(VLOOKUP($B333,Community_Master!$A$2:$K$100,6,FALSE),"")</f>
        <v/>
      </c>
      <c r="G333" s="15">
        <f>IFERROR(VLOOKUP($B333,Community_Master!$A$2:$K$100,8,FALSE),"")</f>
        <v/>
      </c>
      <c r="H333" s="15">
        <f>IFERROR(VLOOKUP($B333,Community_Master!$A$2:$K$100,7,FALSE),"")</f>
        <v/>
      </c>
      <c r="I333" s="15" t="n"/>
      <c r="J333" s="15" t="n"/>
      <c r="K333" s="15" t="n"/>
      <c r="L333" s="15">
        <f>IF($H333="","",MAX($H333-$I333,0))</f>
        <v/>
      </c>
      <c r="M333" s="6">
        <f>IF($H333="","",IFERROR($I333/$H333,""))</f>
        <v/>
      </c>
      <c r="N333" s="6">
        <f>IF($H333="","",IFERROR($J333/$H333,""))</f>
        <v/>
      </c>
      <c r="O333" s="6" t="n"/>
      <c r="P333" s="7" t="n"/>
      <c r="Q333" s="7" t="n"/>
      <c r="R333" s="7" t="n"/>
      <c r="S333" s="7" t="n"/>
      <c r="T333" s="7">
        <f>IF($H333="","",IFERROR($H333*$P333,""))</f>
        <v/>
      </c>
      <c r="U333" s="7" t="n"/>
      <c r="V333" s="7" t="n"/>
      <c r="W333" s="7" t="n"/>
      <c r="X333" s="7">
        <f>IF(OR($U333="",$W333=""),"",($U333+$V333)-$W333)</f>
        <v/>
      </c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9" t="n"/>
      <c r="AJ333" s="8" t="n"/>
      <c r="AK333" s="8" t="n"/>
      <c r="AL333" s="15" t="n"/>
      <c r="AM333" s="15" t="n"/>
      <c r="AN333" s="15" t="n"/>
      <c r="AO333" s="15" t="n"/>
      <c r="AP333" s="10" t="n"/>
      <c r="AQ333" s="15">
        <f>IF($B333="","",IF(OR(ISERROR(MATCH($B333,Community_Master!$A$2:$A$100,0)),$A333="",AND($H333&lt;&gt;"",$I333&gt;$H333),AND($H333&lt;&gt;"",$J333&gt;$H333),$I333&lt;0,$J333&lt;0,$K333&lt;0,$P333&lt;0,$Q333&lt;0,$Y333&lt;0,$Z333&lt;0,$AA333&lt;0,$AB333&lt;0,$AC333&lt;0),"ERROR","OK"))</f>
        <v/>
      </c>
      <c r="AR333" s="15">
        <f>IF($B333="","",TRIM(IF(ISERROR(MATCH($B333,Community_Master!$A$2:$A$100,0)),"Invalid Community_ID; ","")&amp;IF($A333="","Missing Report_Month; ","")&amp;IF(AND($H333&lt;&gt;"",$I333&gt;$H333),"Occupied_Units greater than Total_Units; ","")&amp;IF(AND($H333&lt;&gt;"",$J333&gt;$H333),"Leased_Units greater than Total_Units; ","")&amp;IF($I333&lt;0,"Occupied_Units negative; ","")&amp;IF($J333&lt;0,"Leased_Units negative; ","")&amp;IF($P333&lt;0,"Avg_Market_Rent negative; ","")))</f>
        <v/>
      </c>
    </row>
    <row r="334" ht="15" customHeight="1">
      <c r="A334" s="5" t="n"/>
      <c r="B334" s="15" t="n"/>
      <c r="C334" s="15">
        <f>IFERROR(VLOOKUP($B334,Community_Master!$A$2:$K$100,2,FALSE),"")</f>
        <v/>
      </c>
      <c r="D334" s="15">
        <f>IFERROR(VLOOKUP($B334,Community_Master!$A$2:$K$100,4,FALSE),"")</f>
        <v/>
      </c>
      <c r="E334" s="15">
        <f>IFERROR(VLOOKUP($B334,Community_Master!$A$2:$K$100,5,FALSE),"")</f>
        <v/>
      </c>
      <c r="F334" s="15">
        <f>IFERROR(VLOOKUP($B334,Community_Master!$A$2:$K$100,6,FALSE),"")</f>
        <v/>
      </c>
      <c r="G334" s="15">
        <f>IFERROR(VLOOKUP($B334,Community_Master!$A$2:$K$100,8,FALSE),"")</f>
        <v/>
      </c>
      <c r="H334" s="15">
        <f>IFERROR(VLOOKUP($B334,Community_Master!$A$2:$K$100,7,FALSE),"")</f>
        <v/>
      </c>
      <c r="I334" s="15" t="n"/>
      <c r="J334" s="15" t="n"/>
      <c r="K334" s="15" t="n"/>
      <c r="L334" s="15">
        <f>IF($H334="","",MAX($H334-$I334,0))</f>
        <v/>
      </c>
      <c r="M334" s="6">
        <f>IF($H334="","",IFERROR($I334/$H334,""))</f>
        <v/>
      </c>
      <c r="N334" s="6">
        <f>IF($H334="","",IFERROR($J334/$H334,""))</f>
        <v/>
      </c>
      <c r="O334" s="6" t="n"/>
      <c r="P334" s="7" t="n"/>
      <c r="Q334" s="7" t="n"/>
      <c r="R334" s="7" t="n"/>
      <c r="S334" s="7" t="n"/>
      <c r="T334" s="7">
        <f>IF($H334="","",IFERROR($H334*$P334,""))</f>
        <v/>
      </c>
      <c r="U334" s="7" t="n"/>
      <c r="V334" s="7" t="n"/>
      <c r="W334" s="7" t="n"/>
      <c r="X334" s="7">
        <f>IF(OR($U334="",$W334=""),"",($U334+$V334)-$W334)</f>
        <v/>
      </c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9" t="n"/>
      <c r="AJ334" s="8" t="n"/>
      <c r="AK334" s="8" t="n"/>
      <c r="AL334" s="15" t="n"/>
      <c r="AM334" s="15" t="n"/>
      <c r="AN334" s="15" t="n"/>
      <c r="AO334" s="15" t="n"/>
      <c r="AP334" s="10" t="n"/>
      <c r="AQ334" s="15">
        <f>IF($B334="","",IF(OR(ISERROR(MATCH($B334,Community_Master!$A$2:$A$100,0)),$A334="",AND($H334&lt;&gt;"",$I334&gt;$H334),AND($H334&lt;&gt;"",$J334&gt;$H334),$I334&lt;0,$J334&lt;0,$K334&lt;0,$P334&lt;0,$Q334&lt;0,$Y334&lt;0,$Z334&lt;0,$AA334&lt;0,$AB334&lt;0,$AC334&lt;0),"ERROR","OK"))</f>
        <v/>
      </c>
      <c r="AR334" s="15">
        <f>IF($B334="","",TRIM(IF(ISERROR(MATCH($B334,Community_Master!$A$2:$A$100,0)),"Invalid Community_ID; ","")&amp;IF($A334="","Missing Report_Month; ","")&amp;IF(AND($H334&lt;&gt;"",$I334&gt;$H334),"Occupied_Units greater than Total_Units; ","")&amp;IF(AND($H334&lt;&gt;"",$J334&gt;$H334),"Leased_Units greater than Total_Units; ","")&amp;IF($I334&lt;0,"Occupied_Units negative; ","")&amp;IF($J334&lt;0,"Leased_Units negative; ","")&amp;IF($P334&lt;0,"Avg_Market_Rent negative; ","")))</f>
        <v/>
      </c>
    </row>
    <row r="335" ht="15" customHeight="1">
      <c r="A335" s="5" t="n"/>
      <c r="B335" s="15" t="n"/>
      <c r="C335" s="15">
        <f>IFERROR(VLOOKUP($B335,Community_Master!$A$2:$K$100,2,FALSE),"")</f>
        <v/>
      </c>
      <c r="D335" s="15">
        <f>IFERROR(VLOOKUP($B335,Community_Master!$A$2:$K$100,4,FALSE),"")</f>
        <v/>
      </c>
      <c r="E335" s="15">
        <f>IFERROR(VLOOKUP($B335,Community_Master!$A$2:$K$100,5,FALSE),"")</f>
        <v/>
      </c>
      <c r="F335" s="15">
        <f>IFERROR(VLOOKUP($B335,Community_Master!$A$2:$K$100,6,FALSE),"")</f>
        <v/>
      </c>
      <c r="G335" s="15">
        <f>IFERROR(VLOOKUP($B335,Community_Master!$A$2:$K$100,8,FALSE),"")</f>
        <v/>
      </c>
      <c r="H335" s="15">
        <f>IFERROR(VLOOKUP($B335,Community_Master!$A$2:$K$100,7,FALSE),"")</f>
        <v/>
      </c>
      <c r="I335" s="15" t="n"/>
      <c r="J335" s="15" t="n"/>
      <c r="K335" s="15" t="n"/>
      <c r="L335" s="15">
        <f>IF($H335="","",MAX($H335-$I335,0))</f>
        <v/>
      </c>
      <c r="M335" s="6">
        <f>IF($H335="","",IFERROR($I335/$H335,""))</f>
        <v/>
      </c>
      <c r="N335" s="6">
        <f>IF($H335="","",IFERROR($J335/$H335,""))</f>
        <v/>
      </c>
      <c r="O335" s="6" t="n"/>
      <c r="P335" s="7" t="n"/>
      <c r="Q335" s="7" t="n"/>
      <c r="R335" s="7" t="n"/>
      <c r="S335" s="7" t="n"/>
      <c r="T335" s="7">
        <f>IF($H335="","",IFERROR($H335*$P335,""))</f>
        <v/>
      </c>
      <c r="U335" s="7" t="n"/>
      <c r="V335" s="7" t="n"/>
      <c r="W335" s="7" t="n"/>
      <c r="X335" s="7">
        <f>IF(OR($U335="",$W335=""),"",($U335+$V335)-$W335)</f>
        <v/>
      </c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9" t="n"/>
      <c r="AJ335" s="8" t="n"/>
      <c r="AK335" s="8" t="n"/>
      <c r="AL335" s="15" t="n"/>
      <c r="AM335" s="15" t="n"/>
      <c r="AN335" s="15" t="n"/>
      <c r="AO335" s="15" t="n"/>
      <c r="AP335" s="10" t="n"/>
      <c r="AQ335" s="15">
        <f>IF($B335="","",IF(OR(ISERROR(MATCH($B335,Community_Master!$A$2:$A$100,0)),$A335="",AND($H335&lt;&gt;"",$I335&gt;$H335),AND($H335&lt;&gt;"",$J335&gt;$H335),$I335&lt;0,$J335&lt;0,$K335&lt;0,$P335&lt;0,$Q335&lt;0,$Y335&lt;0,$Z335&lt;0,$AA335&lt;0,$AB335&lt;0,$AC335&lt;0),"ERROR","OK"))</f>
        <v/>
      </c>
      <c r="AR335" s="15">
        <f>IF($B335="","",TRIM(IF(ISERROR(MATCH($B335,Community_Master!$A$2:$A$100,0)),"Invalid Community_ID; ","")&amp;IF($A335="","Missing Report_Month; ","")&amp;IF(AND($H335&lt;&gt;"",$I335&gt;$H335),"Occupied_Units greater than Total_Units; ","")&amp;IF(AND($H335&lt;&gt;"",$J335&gt;$H335),"Leased_Units greater than Total_Units; ","")&amp;IF($I335&lt;0,"Occupied_Units negative; ","")&amp;IF($J335&lt;0,"Leased_Units negative; ","")&amp;IF($P335&lt;0,"Avg_Market_Rent negative; ","")))</f>
        <v/>
      </c>
    </row>
    <row r="336" ht="15" customHeight="1">
      <c r="A336" s="5" t="n"/>
      <c r="B336" s="15" t="n"/>
      <c r="C336" s="15">
        <f>IFERROR(VLOOKUP($B336,Community_Master!$A$2:$K$100,2,FALSE),"")</f>
        <v/>
      </c>
      <c r="D336" s="15">
        <f>IFERROR(VLOOKUP($B336,Community_Master!$A$2:$K$100,4,FALSE),"")</f>
        <v/>
      </c>
      <c r="E336" s="15">
        <f>IFERROR(VLOOKUP($B336,Community_Master!$A$2:$K$100,5,FALSE),"")</f>
        <v/>
      </c>
      <c r="F336" s="15">
        <f>IFERROR(VLOOKUP($B336,Community_Master!$A$2:$K$100,6,FALSE),"")</f>
        <v/>
      </c>
      <c r="G336" s="15">
        <f>IFERROR(VLOOKUP($B336,Community_Master!$A$2:$K$100,8,FALSE),"")</f>
        <v/>
      </c>
      <c r="H336" s="15">
        <f>IFERROR(VLOOKUP($B336,Community_Master!$A$2:$K$100,7,FALSE),"")</f>
        <v/>
      </c>
      <c r="I336" s="15" t="n"/>
      <c r="J336" s="15" t="n"/>
      <c r="K336" s="15" t="n"/>
      <c r="L336" s="15">
        <f>IF($H336="","",MAX($H336-$I336,0))</f>
        <v/>
      </c>
      <c r="M336" s="6">
        <f>IF($H336="","",IFERROR($I336/$H336,""))</f>
        <v/>
      </c>
      <c r="N336" s="6">
        <f>IF($H336="","",IFERROR($J336/$H336,""))</f>
        <v/>
      </c>
      <c r="O336" s="6" t="n"/>
      <c r="P336" s="7" t="n"/>
      <c r="Q336" s="7" t="n"/>
      <c r="R336" s="7" t="n"/>
      <c r="S336" s="7" t="n"/>
      <c r="T336" s="7">
        <f>IF($H336="","",IFERROR($H336*$P336,""))</f>
        <v/>
      </c>
      <c r="U336" s="7" t="n"/>
      <c r="V336" s="7" t="n"/>
      <c r="W336" s="7" t="n"/>
      <c r="X336" s="7">
        <f>IF(OR($U336="",$W336=""),"",($U336+$V336)-$W336)</f>
        <v/>
      </c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9" t="n"/>
      <c r="AJ336" s="8" t="n"/>
      <c r="AK336" s="8" t="n"/>
      <c r="AL336" s="15" t="n"/>
      <c r="AM336" s="15" t="n"/>
      <c r="AN336" s="15" t="n"/>
      <c r="AO336" s="15" t="n"/>
      <c r="AP336" s="10" t="n"/>
      <c r="AQ336" s="15">
        <f>IF($B336="","",IF(OR(ISERROR(MATCH($B336,Community_Master!$A$2:$A$100,0)),$A336="",AND($H336&lt;&gt;"",$I336&gt;$H336),AND($H336&lt;&gt;"",$J336&gt;$H336),$I336&lt;0,$J336&lt;0,$K336&lt;0,$P336&lt;0,$Q336&lt;0,$Y336&lt;0,$Z336&lt;0,$AA336&lt;0,$AB336&lt;0,$AC336&lt;0),"ERROR","OK"))</f>
        <v/>
      </c>
      <c r="AR336" s="15">
        <f>IF($B336="","",TRIM(IF(ISERROR(MATCH($B336,Community_Master!$A$2:$A$100,0)),"Invalid Community_ID; ","")&amp;IF($A336="","Missing Report_Month; ","")&amp;IF(AND($H336&lt;&gt;"",$I336&gt;$H336),"Occupied_Units greater than Total_Units; ","")&amp;IF(AND($H336&lt;&gt;"",$J336&gt;$H336),"Leased_Units greater than Total_Units; ","")&amp;IF($I336&lt;0,"Occupied_Units negative; ","")&amp;IF($J336&lt;0,"Leased_Units negative; ","")&amp;IF($P336&lt;0,"Avg_Market_Rent negative; ","")))</f>
        <v/>
      </c>
    </row>
    <row r="337" ht="15" customHeight="1">
      <c r="A337" s="5" t="n"/>
      <c r="B337" s="15" t="n"/>
      <c r="C337" s="15">
        <f>IFERROR(VLOOKUP($B337,Community_Master!$A$2:$K$100,2,FALSE),"")</f>
        <v/>
      </c>
      <c r="D337" s="15">
        <f>IFERROR(VLOOKUP($B337,Community_Master!$A$2:$K$100,4,FALSE),"")</f>
        <v/>
      </c>
      <c r="E337" s="15">
        <f>IFERROR(VLOOKUP($B337,Community_Master!$A$2:$K$100,5,FALSE),"")</f>
        <v/>
      </c>
      <c r="F337" s="15">
        <f>IFERROR(VLOOKUP($B337,Community_Master!$A$2:$K$100,6,FALSE),"")</f>
        <v/>
      </c>
      <c r="G337" s="15">
        <f>IFERROR(VLOOKUP($B337,Community_Master!$A$2:$K$100,8,FALSE),"")</f>
        <v/>
      </c>
      <c r="H337" s="15">
        <f>IFERROR(VLOOKUP($B337,Community_Master!$A$2:$K$100,7,FALSE),"")</f>
        <v/>
      </c>
      <c r="I337" s="15" t="n"/>
      <c r="J337" s="15" t="n"/>
      <c r="K337" s="15" t="n"/>
      <c r="L337" s="15">
        <f>IF($H337="","",MAX($H337-$I337,0))</f>
        <v/>
      </c>
      <c r="M337" s="6">
        <f>IF($H337="","",IFERROR($I337/$H337,""))</f>
        <v/>
      </c>
      <c r="N337" s="6">
        <f>IF($H337="","",IFERROR($J337/$H337,""))</f>
        <v/>
      </c>
      <c r="O337" s="6" t="n"/>
      <c r="P337" s="7" t="n"/>
      <c r="Q337" s="7" t="n"/>
      <c r="R337" s="7" t="n"/>
      <c r="S337" s="7" t="n"/>
      <c r="T337" s="7">
        <f>IF($H337="","",IFERROR($H337*$P337,""))</f>
        <v/>
      </c>
      <c r="U337" s="7" t="n"/>
      <c r="V337" s="7" t="n"/>
      <c r="W337" s="7" t="n"/>
      <c r="X337" s="7">
        <f>IF(OR($U337="",$W337=""),"",($U337+$V337)-$W337)</f>
        <v/>
      </c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9" t="n"/>
      <c r="AJ337" s="8" t="n"/>
      <c r="AK337" s="8" t="n"/>
      <c r="AL337" s="15" t="n"/>
      <c r="AM337" s="15" t="n"/>
      <c r="AN337" s="15" t="n"/>
      <c r="AO337" s="15" t="n"/>
      <c r="AP337" s="10" t="n"/>
      <c r="AQ337" s="15">
        <f>IF($B337="","",IF(OR(ISERROR(MATCH($B337,Community_Master!$A$2:$A$100,0)),$A337="",AND($H337&lt;&gt;"",$I337&gt;$H337),AND($H337&lt;&gt;"",$J337&gt;$H337),$I337&lt;0,$J337&lt;0,$K337&lt;0,$P337&lt;0,$Q337&lt;0,$Y337&lt;0,$Z337&lt;0,$AA337&lt;0,$AB337&lt;0,$AC337&lt;0),"ERROR","OK"))</f>
        <v/>
      </c>
      <c r="AR337" s="15">
        <f>IF($B337="","",TRIM(IF(ISERROR(MATCH($B337,Community_Master!$A$2:$A$100,0)),"Invalid Community_ID; ","")&amp;IF($A337="","Missing Report_Month; ","")&amp;IF(AND($H337&lt;&gt;"",$I337&gt;$H337),"Occupied_Units greater than Total_Units; ","")&amp;IF(AND($H337&lt;&gt;"",$J337&gt;$H337),"Leased_Units greater than Total_Units; ","")&amp;IF($I337&lt;0,"Occupied_Units negative; ","")&amp;IF($J337&lt;0,"Leased_Units negative; ","")&amp;IF($P337&lt;0,"Avg_Market_Rent negative; ","")))</f>
        <v/>
      </c>
    </row>
    <row r="338" ht="15" customHeight="1">
      <c r="A338" s="5" t="n"/>
      <c r="B338" s="15" t="n"/>
      <c r="C338" s="15">
        <f>IFERROR(VLOOKUP($B338,Community_Master!$A$2:$K$100,2,FALSE),"")</f>
        <v/>
      </c>
      <c r="D338" s="15">
        <f>IFERROR(VLOOKUP($B338,Community_Master!$A$2:$K$100,4,FALSE),"")</f>
        <v/>
      </c>
      <c r="E338" s="15">
        <f>IFERROR(VLOOKUP($B338,Community_Master!$A$2:$K$100,5,FALSE),"")</f>
        <v/>
      </c>
      <c r="F338" s="15">
        <f>IFERROR(VLOOKUP($B338,Community_Master!$A$2:$K$100,6,FALSE),"")</f>
        <v/>
      </c>
      <c r="G338" s="15">
        <f>IFERROR(VLOOKUP($B338,Community_Master!$A$2:$K$100,8,FALSE),"")</f>
        <v/>
      </c>
      <c r="H338" s="15">
        <f>IFERROR(VLOOKUP($B338,Community_Master!$A$2:$K$100,7,FALSE),"")</f>
        <v/>
      </c>
      <c r="I338" s="15" t="n"/>
      <c r="J338" s="15" t="n"/>
      <c r="K338" s="15" t="n"/>
      <c r="L338" s="15">
        <f>IF($H338="","",MAX($H338-$I338,0))</f>
        <v/>
      </c>
      <c r="M338" s="6">
        <f>IF($H338="","",IFERROR($I338/$H338,""))</f>
        <v/>
      </c>
      <c r="N338" s="6">
        <f>IF($H338="","",IFERROR($J338/$H338,""))</f>
        <v/>
      </c>
      <c r="O338" s="6" t="n"/>
      <c r="P338" s="7" t="n"/>
      <c r="Q338" s="7" t="n"/>
      <c r="R338" s="7" t="n"/>
      <c r="S338" s="7" t="n"/>
      <c r="T338" s="7">
        <f>IF($H338="","",IFERROR($H338*$P338,""))</f>
        <v/>
      </c>
      <c r="U338" s="7" t="n"/>
      <c r="V338" s="7" t="n"/>
      <c r="W338" s="7" t="n"/>
      <c r="X338" s="7">
        <f>IF(OR($U338="",$W338=""),"",($U338+$V338)-$W338)</f>
        <v/>
      </c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9" t="n"/>
      <c r="AJ338" s="8" t="n"/>
      <c r="AK338" s="8" t="n"/>
      <c r="AL338" s="15" t="n"/>
      <c r="AM338" s="15" t="n"/>
      <c r="AN338" s="15" t="n"/>
      <c r="AO338" s="15" t="n"/>
      <c r="AP338" s="10" t="n"/>
      <c r="AQ338" s="15">
        <f>IF($B338="","",IF(OR(ISERROR(MATCH($B338,Community_Master!$A$2:$A$100,0)),$A338="",AND($H338&lt;&gt;"",$I338&gt;$H338),AND($H338&lt;&gt;"",$J338&gt;$H338),$I338&lt;0,$J338&lt;0,$K338&lt;0,$P338&lt;0,$Q338&lt;0,$Y338&lt;0,$Z338&lt;0,$AA338&lt;0,$AB338&lt;0,$AC338&lt;0),"ERROR","OK"))</f>
        <v/>
      </c>
      <c r="AR338" s="15">
        <f>IF($B338="","",TRIM(IF(ISERROR(MATCH($B338,Community_Master!$A$2:$A$100,0)),"Invalid Community_ID; ","")&amp;IF($A338="","Missing Report_Month; ","")&amp;IF(AND($H338&lt;&gt;"",$I338&gt;$H338),"Occupied_Units greater than Total_Units; ","")&amp;IF(AND($H338&lt;&gt;"",$J338&gt;$H338),"Leased_Units greater than Total_Units; ","")&amp;IF($I338&lt;0,"Occupied_Units negative; ","")&amp;IF($J338&lt;0,"Leased_Units negative; ","")&amp;IF($P338&lt;0,"Avg_Market_Rent negative; ","")))</f>
        <v/>
      </c>
    </row>
    <row r="339" ht="15" customHeight="1">
      <c r="A339" s="5" t="n"/>
      <c r="B339" s="15" t="n"/>
      <c r="C339" s="15">
        <f>IFERROR(VLOOKUP($B339,Community_Master!$A$2:$K$100,2,FALSE),"")</f>
        <v/>
      </c>
      <c r="D339" s="15">
        <f>IFERROR(VLOOKUP($B339,Community_Master!$A$2:$K$100,4,FALSE),"")</f>
        <v/>
      </c>
      <c r="E339" s="15">
        <f>IFERROR(VLOOKUP($B339,Community_Master!$A$2:$K$100,5,FALSE),"")</f>
        <v/>
      </c>
      <c r="F339" s="15">
        <f>IFERROR(VLOOKUP($B339,Community_Master!$A$2:$K$100,6,FALSE),"")</f>
        <v/>
      </c>
      <c r="G339" s="15">
        <f>IFERROR(VLOOKUP($B339,Community_Master!$A$2:$K$100,8,FALSE),"")</f>
        <v/>
      </c>
      <c r="H339" s="15">
        <f>IFERROR(VLOOKUP($B339,Community_Master!$A$2:$K$100,7,FALSE),"")</f>
        <v/>
      </c>
      <c r="I339" s="15" t="n"/>
      <c r="J339" s="15" t="n"/>
      <c r="K339" s="15" t="n"/>
      <c r="L339" s="15">
        <f>IF($H339="","",MAX($H339-$I339,0))</f>
        <v/>
      </c>
      <c r="M339" s="6">
        <f>IF($H339="","",IFERROR($I339/$H339,""))</f>
        <v/>
      </c>
      <c r="N339" s="6">
        <f>IF($H339="","",IFERROR($J339/$H339,""))</f>
        <v/>
      </c>
      <c r="O339" s="6" t="n"/>
      <c r="P339" s="7" t="n"/>
      <c r="Q339" s="7" t="n"/>
      <c r="R339" s="7" t="n"/>
      <c r="S339" s="7" t="n"/>
      <c r="T339" s="7">
        <f>IF($H339="","",IFERROR($H339*$P339,""))</f>
        <v/>
      </c>
      <c r="U339" s="7" t="n"/>
      <c r="V339" s="7" t="n"/>
      <c r="W339" s="7" t="n"/>
      <c r="X339" s="7">
        <f>IF(OR($U339="",$W339=""),"",($U339+$V339)-$W339)</f>
        <v/>
      </c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9" t="n"/>
      <c r="AJ339" s="8" t="n"/>
      <c r="AK339" s="8" t="n"/>
      <c r="AL339" s="15" t="n"/>
      <c r="AM339" s="15" t="n"/>
      <c r="AN339" s="15" t="n"/>
      <c r="AO339" s="15" t="n"/>
      <c r="AP339" s="10" t="n"/>
      <c r="AQ339" s="15">
        <f>IF($B339="","",IF(OR(ISERROR(MATCH($B339,Community_Master!$A$2:$A$100,0)),$A339="",AND($H339&lt;&gt;"",$I339&gt;$H339),AND($H339&lt;&gt;"",$J339&gt;$H339),$I339&lt;0,$J339&lt;0,$K339&lt;0,$P339&lt;0,$Q339&lt;0,$Y339&lt;0,$Z339&lt;0,$AA339&lt;0,$AB339&lt;0,$AC339&lt;0),"ERROR","OK"))</f>
        <v/>
      </c>
      <c r="AR339" s="15">
        <f>IF($B339="","",TRIM(IF(ISERROR(MATCH($B339,Community_Master!$A$2:$A$100,0)),"Invalid Community_ID; ","")&amp;IF($A339="","Missing Report_Month; ","")&amp;IF(AND($H339&lt;&gt;"",$I339&gt;$H339),"Occupied_Units greater than Total_Units; ","")&amp;IF(AND($H339&lt;&gt;"",$J339&gt;$H339),"Leased_Units greater than Total_Units; ","")&amp;IF($I339&lt;0,"Occupied_Units negative; ","")&amp;IF($J339&lt;0,"Leased_Units negative; ","")&amp;IF($P339&lt;0,"Avg_Market_Rent negative; ","")))</f>
        <v/>
      </c>
    </row>
    <row r="340" ht="15" customHeight="1">
      <c r="A340" s="5" t="n"/>
      <c r="B340" s="15" t="n"/>
      <c r="C340" s="15">
        <f>IFERROR(VLOOKUP($B340,Community_Master!$A$2:$K$100,2,FALSE),"")</f>
        <v/>
      </c>
      <c r="D340" s="15">
        <f>IFERROR(VLOOKUP($B340,Community_Master!$A$2:$K$100,4,FALSE),"")</f>
        <v/>
      </c>
      <c r="E340" s="15">
        <f>IFERROR(VLOOKUP($B340,Community_Master!$A$2:$K$100,5,FALSE),"")</f>
        <v/>
      </c>
      <c r="F340" s="15">
        <f>IFERROR(VLOOKUP($B340,Community_Master!$A$2:$K$100,6,FALSE),"")</f>
        <v/>
      </c>
      <c r="G340" s="15">
        <f>IFERROR(VLOOKUP($B340,Community_Master!$A$2:$K$100,8,FALSE),"")</f>
        <v/>
      </c>
      <c r="H340" s="15">
        <f>IFERROR(VLOOKUP($B340,Community_Master!$A$2:$K$100,7,FALSE),"")</f>
        <v/>
      </c>
      <c r="I340" s="15" t="n"/>
      <c r="J340" s="15" t="n"/>
      <c r="K340" s="15" t="n"/>
      <c r="L340" s="15">
        <f>IF($H340="","",MAX($H340-$I340,0))</f>
        <v/>
      </c>
      <c r="M340" s="6">
        <f>IF($H340="","",IFERROR($I340/$H340,""))</f>
        <v/>
      </c>
      <c r="N340" s="6">
        <f>IF($H340="","",IFERROR($J340/$H340,""))</f>
        <v/>
      </c>
      <c r="O340" s="6" t="n"/>
      <c r="P340" s="7" t="n"/>
      <c r="Q340" s="7" t="n"/>
      <c r="R340" s="7" t="n"/>
      <c r="S340" s="7" t="n"/>
      <c r="T340" s="7">
        <f>IF($H340="","",IFERROR($H340*$P340,""))</f>
        <v/>
      </c>
      <c r="U340" s="7" t="n"/>
      <c r="V340" s="7" t="n"/>
      <c r="W340" s="7" t="n"/>
      <c r="X340" s="7">
        <f>IF(OR($U340="",$W340=""),"",($U340+$V340)-$W340)</f>
        <v/>
      </c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9" t="n"/>
      <c r="AJ340" s="8" t="n"/>
      <c r="AK340" s="8" t="n"/>
      <c r="AL340" s="15" t="n"/>
      <c r="AM340" s="15" t="n"/>
      <c r="AN340" s="15" t="n"/>
      <c r="AO340" s="15" t="n"/>
      <c r="AP340" s="10" t="n"/>
      <c r="AQ340" s="15">
        <f>IF($B340="","",IF(OR(ISERROR(MATCH($B340,Community_Master!$A$2:$A$100,0)),$A340="",AND($H340&lt;&gt;"",$I340&gt;$H340),AND($H340&lt;&gt;"",$J340&gt;$H340),$I340&lt;0,$J340&lt;0,$K340&lt;0,$P340&lt;0,$Q340&lt;0,$Y340&lt;0,$Z340&lt;0,$AA340&lt;0,$AB340&lt;0,$AC340&lt;0),"ERROR","OK"))</f>
        <v/>
      </c>
      <c r="AR340" s="15">
        <f>IF($B340="","",TRIM(IF(ISERROR(MATCH($B340,Community_Master!$A$2:$A$100,0)),"Invalid Community_ID; ","")&amp;IF($A340="","Missing Report_Month; ","")&amp;IF(AND($H340&lt;&gt;"",$I340&gt;$H340),"Occupied_Units greater than Total_Units; ","")&amp;IF(AND($H340&lt;&gt;"",$J340&gt;$H340),"Leased_Units greater than Total_Units; ","")&amp;IF($I340&lt;0,"Occupied_Units negative; ","")&amp;IF($J340&lt;0,"Leased_Units negative; ","")&amp;IF($P340&lt;0,"Avg_Market_Rent negative; ","")))</f>
        <v/>
      </c>
    </row>
    <row r="341" ht="15" customHeight="1">
      <c r="A341" s="5" t="n"/>
      <c r="B341" s="15" t="n"/>
      <c r="C341" s="15">
        <f>IFERROR(VLOOKUP($B341,Community_Master!$A$2:$K$100,2,FALSE),"")</f>
        <v/>
      </c>
      <c r="D341" s="15">
        <f>IFERROR(VLOOKUP($B341,Community_Master!$A$2:$K$100,4,FALSE),"")</f>
        <v/>
      </c>
      <c r="E341" s="15">
        <f>IFERROR(VLOOKUP($B341,Community_Master!$A$2:$K$100,5,FALSE),"")</f>
        <v/>
      </c>
      <c r="F341" s="15">
        <f>IFERROR(VLOOKUP($B341,Community_Master!$A$2:$K$100,6,FALSE),"")</f>
        <v/>
      </c>
      <c r="G341" s="15">
        <f>IFERROR(VLOOKUP($B341,Community_Master!$A$2:$K$100,8,FALSE),"")</f>
        <v/>
      </c>
      <c r="H341" s="15">
        <f>IFERROR(VLOOKUP($B341,Community_Master!$A$2:$K$100,7,FALSE),"")</f>
        <v/>
      </c>
      <c r="I341" s="15" t="n"/>
      <c r="J341" s="15" t="n"/>
      <c r="K341" s="15" t="n"/>
      <c r="L341" s="15">
        <f>IF($H341="","",MAX($H341-$I341,0))</f>
        <v/>
      </c>
      <c r="M341" s="6">
        <f>IF($H341="","",IFERROR($I341/$H341,""))</f>
        <v/>
      </c>
      <c r="N341" s="6">
        <f>IF($H341="","",IFERROR($J341/$H341,""))</f>
        <v/>
      </c>
      <c r="O341" s="6" t="n"/>
      <c r="P341" s="7" t="n"/>
      <c r="Q341" s="7" t="n"/>
      <c r="R341" s="7" t="n"/>
      <c r="S341" s="7" t="n"/>
      <c r="T341" s="7">
        <f>IF($H341="","",IFERROR($H341*$P341,""))</f>
        <v/>
      </c>
      <c r="U341" s="7" t="n"/>
      <c r="V341" s="7" t="n"/>
      <c r="W341" s="7" t="n"/>
      <c r="X341" s="7">
        <f>IF(OR($U341="",$W341=""),"",($U341+$V341)-$W341)</f>
        <v/>
      </c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9" t="n"/>
      <c r="AJ341" s="8" t="n"/>
      <c r="AK341" s="8" t="n"/>
      <c r="AL341" s="15" t="n"/>
      <c r="AM341" s="15" t="n"/>
      <c r="AN341" s="15" t="n"/>
      <c r="AO341" s="15" t="n"/>
      <c r="AP341" s="10" t="n"/>
      <c r="AQ341" s="15">
        <f>IF($B341="","",IF(OR(ISERROR(MATCH($B341,Community_Master!$A$2:$A$100,0)),$A341="",AND($H341&lt;&gt;"",$I341&gt;$H341),AND($H341&lt;&gt;"",$J341&gt;$H341),$I341&lt;0,$J341&lt;0,$K341&lt;0,$P341&lt;0,$Q341&lt;0,$Y341&lt;0,$Z341&lt;0,$AA341&lt;0,$AB341&lt;0,$AC341&lt;0),"ERROR","OK"))</f>
        <v/>
      </c>
      <c r="AR341" s="15">
        <f>IF($B341="","",TRIM(IF(ISERROR(MATCH($B341,Community_Master!$A$2:$A$100,0)),"Invalid Community_ID; ","")&amp;IF($A341="","Missing Report_Month; ","")&amp;IF(AND($H341&lt;&gt;"",$I341&gt;$H341),"Occupied_Units greater than Total_Units; ","")&amp;IF(AND($H341&lt;&gt;"",$J341&gt;$H341),"Leased_Units greater than Total_Units; ","")&amp;IF($I341&lt;0,"Occupied_Units negative; ","")&amp;IF($J341&lt;0,"Leased_Units negative; ","")&amp;IF($P341&lt;0,"Avg_Market_Rent negative; ","")))</f>
        <v/>
      </c>
    </row>
    <row r="342" ht="15" customHeight="1">
      <c r="A342" s="5" t="n"/>
      <c r="B342" s="15" t="n"/>
      <c r="C342" s="15">
        <f>IFERROR(VLOOKUP($B342,Community_Master!$A$2:$K$100,2,FALSE),"")</f>
        <v/>
      </c>
      <c r="D342" s="15">
        <f>IFERROR(VLOOKUP($B342,Community_Master!$A$2:$K$100,4,FALSE),"")</f>
        <v/>
      </c>
      <c r="E342" s="15">
        <f>IFERROR(VLOOKUP($B342,Community_Master!$A$2:$K$100,5,FALSE),"")</f>
        <v/>
      </c>
      <c r="F342" s="15">
        <f>IFERROR(VLOOKUP($B342,Community_Master!$A$2:$K$100,6,FALSE),"")</f>
        <v/>
      </c>
      <c r="G342" s="15">
        <f>IFERROR(VLOOKUP($B342,Community_Master!$A$2:$K$100,8,FALSE),"")</f>
        <v/>
      </c>
      <c r="H342" s="15">
        <f>IFERROR(VLOOKUP($B342,Community_Master!$A$2:$K$100,7,FALSE),"")</f>
        <v/>
      </c>
      <c r="I342" s="15" t="n"/>
      <c r="J342" s="15" t="n"/>
      <c r="K342" s="15" t="n"/>
      <c r="L342" s="15">
        <f>IF($H342="","",MAX($H342-$I342,0))</f>
        <v/>
      </c>
      <c r="M342" s="6">
        <f>IF($H342="","",IFERROR($I342/$H342,""))</f>
        <v/>
      </c>
      <c r="N342" s="6">
        <f>IF($H342="","",IFERROR($J342/$H342,""))</f>
        <v/>
      </c>
      <c r="O342" s="6" t="n"/>
      <c r="P342" s="7" t="n"/>
      <c r="Q342" s="7" t="n"/>
      <c r="R342" s="7" t="n"/>
      <c r="S342" s="7" t="n"/>
      <c r="T342" s="7">
        <f>IF($H342="","",IFERROR($H342*$P342,""))</f>
        <v/>
      </c>
      <c r="U342" s="7" t="n"/>
      <c r="V342" s="7" t="n"/>
      <c r="W342" s="7" t="n"/>
      <c r="X342" s="7">
        <f>IF(OR($U342="",$W342=""),"",($U342+$V342)-$W342)</f>
        <v/>
      </c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9" t="n"/>
      <c r="AJ342" s="8" t="n"/>
      <c r="AK342" s="8" t="n"/>
      <c r="AL342" s="15" t="n"/>
      <c r="AM342" s="15" t="n"/>
      <c r="AN342" s="15" t="n"/>
      <c r="AO342" s="15" t="n"/>
      <c r="AP342" s="10" t="n"/>
      <c r="AQ342" s="15">
        <f>IF($B342="","",IF(OR(ISERROR(MATCH($B342,Community_Master!$A$2:$A$100,0)),$A342="",AND($H342&lt;&gt;"",$I342&gt;$H342),AND($H342&lt;&gt;"",$J342&gt;$H342),$I342&lt;0,$J342&lt;0,$K342&lt;0,$P342&lt;0,$Q342&lt;0,$Y342&lt;0,$Z342&lt;0,$AA342&lt;0,$AB342&lt;0,$AC342&lt;0),"ERROR","OK"))</f>
        <v/>
      </c>
      <c r="AR342" s="15">
        <f>IF($B342="","",TRIM(IF(ISERROR(MATCH($B342,Community_Master!$A$2:$A$100,0)),"Invalid Community_ID; ","")&amp;IF($A342="","Missing Report_Month; ","")&amp;IF(AND($H342&lt;&gt;"",$I342&gt;$H342),"Occupied_Units greater than Total_Units; ","")&amp;IF(AND($H342&lt;&gt;"",$J342&gt;$H342),"Leased_Units greater than Total_Units; ","")&amp;IF($I342&lt;0,"Occupied_Units negative; ","")&amp;IF($J342&lt;0,"Leased_Units negative; ","")&amp;IF($P342&lt;0,"Avg_Market_Rent negative; ","")))</f>
        <v/>
      </c>
    </row>
    <row r="343" ht="15" customHeight="1">
      <c r="A343" s="5" t="n"/>
      <c r="B343" s="15" t="n"/>
      <c r="C343" s="15">
        <f>IFERROR(VLOOKUP($B343,Community_Master!$A$2:$K$100,2,FALSE),"")</f>
        <v/>
      </c>
      <c r="D343" s="15">
        <f>IFERROR(VLOOKUP($B343,Community_Master!$A$2:$K$100,4,FALSE),"")</f>
        <v/>
      </c>
      <c r="E343" s="15">
        <f>IFERROR(VLOOKUP($B343,Community_Master!$A$2:$K$100,5,FALSE),"")</f>
        <v/>
      </c>
      <c r="F343" s="15">
        <f>IFERROR(VLOOKUP($B343,Community_Master!$A$2:$K$100,6,FALSE),"")</f>
        <v/>
      </c>
      <c r="G343" s="15">
        <f>IFERROR(VLOOKUP($B343,Community_Master!$A$2:$K$100,8,FALSE),"")</f>
        <v/>
      </c>
      <c r="H343" s="15">
        <f>IFERROR(VLOOKUP($B343,Community_Master!$A$2:$K$100,7,FALSE),"")</f>
        <v/>
      </c>
      <c r="I343" s="15" t="n"/>
      <c r="J343" s="15" t="n"/>
      <c r="K343" s="15" t="n"/>
      <c r="L343" s="15">
        <f>IF($H343="","",MAX($H343-$I343,0))</f>
        <v/>
      </c>
      <c r="M343" s="6">
        <f>IF($H343="","",IFERROR($I343/$H343,""))</f>
        <v/>
      </c>
      <c r="N343" s="6">
        <f>IF($H343="","",IFERROR($J343/$H343,""))</f>
        <v/>
      </c>
      <c r="O343" s="6" t="n"/>
      <c r="P343" s="7" t="n"/>
      <c r="Q343" s="7" t="n"/>
      <c r="R343" s="7" t="n"/>
      <c r="S343" s="7" t="n"/>
      <c r="T343" s="7">
        <f>IF($H343="","",IFERROR($H343*$P343,""))</f>
        <v/>
      </c>
      <c r="U343" s="7" t="n"/>
      <c r="V343" s="7" t="n"/>
      <c r="W343" s="7" t="n"/>
      <c r="X343" s="7">
        <f>IF(OR($U343="",$W343=""),"",($U343+$V343)-$W343)</f>
        <v/>
      </c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9" t="n"/>
      <c r="AJ343" s="8" t="n"/>
      <c r="AK343" s="8" t="n"/>
      <c r="AL343" s="15" t="n"/>
      <c r="AM343" s="15" t="n"/>
      <c r="AN343" s="15" t="n"/>
      <c r="AO343" s="15" t="n"/>
      <c r="AP343" s="10" t="n"/>
      <c r="AQ343" s="15">
        <f>IF($B343="","",IF(OR(ISERROR(MATCH($B343,Community_Master!$A$2:$A$100,0)),$A343="",AND($H343&lt;&gt;"",$I343&gt;$H343),AND($H343&lt;&gt;"",$J343&gt;$H343),$I343&lt;0,$J343&lt;0,$K343&lt;0,$P343&lt;0,$Q343&lt;0,$Y343&lt;0,$Z343&lt;0,$AA343&lt;0,$AB343&lt;0,$AC343&lt;0),"ERROR","OK"))</f>
        <v/>
      </c>
      <c r="AR343" s="15">
        <f>IF($B343="","",TRIM(IF(ISERROR(MATCH($B343,Community_Master!$A$2:$A$100,0)),"Invalid Community_ID; ","")&amp;IF($A343="","Missing Report_Month; ","")&amp;IF(AND($H343&lt;&gt;"",$I343&gt;$H343),"Occupied_Units greater than Total_Units; ","")&amp;IF(AND($H343&lt;&gt;"",$J343&gt;$H343),"Leased_Units greater than Total_Units; ","")&amp;IF($I343&lt;0,"Occupied_Units negative; ","")&amp;IF($J343&lt;0,"Leased_Units negative; ","")&amp;IF($P343&lt;0,"Avg_Market_Rent negative; ","")))</f>
        <v/>
      </c>
    </row>
    <row r="344" ht="15" customHeight="1">
      <c r="A344" s="5" t="n"/>
      <c r="B344" s="15" t="n"/>
      <c r="C344" s="15">
        <f>IFERROR(VLOOKUP($B344,Community_Master!$A$2:$K$100,2,FALSE),"")</f>
        <v/>
      </c>
      <c r="D344" s="15">
        <f>IFERROR(VLOOKUP($B344,Community_Master!$A$2:$K$100,4,FALSE),"")</f>
        <v/>
      </c>
      <c r="E344" s="15">
        <f>IFERROR(VLOOKUP($B344,Community_Master!$A$2:$K$100,5,FALSE),"")</f>
        <v/>
      </c>
      <c r="F344" s="15">
        <f>IFERROR(VLOOKUP($B344,Community_Master!$A$2:$K$100,6,FALSE),"")</f>
        <v/>
      </c>
      <c r="G344" s="15">
        <f>IFERROR(VLOOKUP($B344,Community_Master!$A$2:$K$100,8,FALSE),"")</f>
        <v/>
      </c>
      <c r="H344" s="15">
        <f>IFERROR(VLOOKUP($B344,Community_Master!$A$2:$K$100,7,FALSE),"")</f>
        <v/>
      </c>
      <c r="I344" s="15" t="n"/>
      <c r="J344" s="15" t="n"/>
      <c r="K344" s="15" t="n"/>
      <c r="L344" s="15">
        <f>IF($H344="","",MAX($H344-$I344,0))</f>
        <v/>
      </c>
      <c r="M344" s="6">
        <f>IF($H344="","",IFERROR($I344/$H344,""))</f>
        <v/>
      </c>
      <c r="N344" s="6">
        <f>IF($H344="","",IFERROR($J344/$H344,""))</f>
        <v/>
      </c>
      <c r="O344" s="6" t="n"/>
      <c r="P344" s="7" t="n"/>
      <c r="Q344" s="7" t="n"/>
      <c r="R344" s="7" t="n"/>
      <c r="S344" s="7" t="n"/>
      <c r="T344" s="7">
        <f>IF($H344="","",IFERROR($H344*$P344,""))</f>
        <v/>
      </c>
      <c r="U344" s="7" t="n"/>
      <c r="V344" s="7" t="n"/>
      <c r="W344" s="7" t="n"/>
      <c r="X344" s="7">
        <f>IF(OR($U344="",$W344=""),"",($U344+$V344)-$W344)</f>
        <v/>
      </c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9" t="n"/>
      <c r="AJ344" s="8" t="n"/>
      <c r="AK344" s="8" t="n"/>
      <c r="AL344" s="15" t="n"/>
      <c r="AM344" s="15" t="n"/>
      <c r="AN344" s="15" t="n"/>
      <c r="AO344" s="15" t="n"/>
      <c r="AP344" s="10" t="n"/>
      <c r="AQ344" s="15">
        <f>IF($B344="","",IF(OR(ISERROR(MATCH($B344,Community_Master!$A$2:$A$100,0)),$A344="",AND($H344&lt;&gt;"",$I344&gt;$H344),AND($H344&lt;&gt;"",$J344&gt;$H344),$I344&lt;0,$J344&lt;0,$K344&lt;0,$P344&lt;0,$Q344&lt;0,$Y344&lt;0,$Z344&lt;0,$AA344&lt;0,$AB344&lt;0,$AC344&lt;0),"ERROR","OK"))</f>
        <v/>
      </c>
      <c r="AR344" s="15">
        <f>IF($B344="","",TRIM(IF(ISERROR(MATCH($B344,Community_Master!$A$2:$A$100,0)),"Invalid Community_ID; ","")&amp;IF($A344="","Missing Report_Month; ","")&amp;IF(AND($H344&lt;&gt;"",$I344&gt;$H344),"Occupied_Units greater than Total_Units; ","")&amp;IF(AND($H344&lt;&gt;"",$J344&gt;$H344),"Leased_Units greater than Total_Units; ","")&amp;IF($I344&lt;0,"Occupied_Units negative; ","")&amp;IF($J344&lt;0,"Leased_Units negative; ","")&amp;IF($P344&lt;0,"Avg_Market_Rent negative; ","")))</f>
        <v/>
      </c>
    </row>
    <row r="345" ht="15" customHeight="1">
      <c r="A345" s="5" t="n"/>
      <c r="B345" s="15" t="n"/>
      <c r="C345" s="15">
        <f>IFERROR(VLOOKUP($B345,Community_Master!$A$2:$K$100,2,FALSE),"")</f>
        <v/>
      </c>
      <c r="D345" s="15">
        <f>IFERROR(VLOOKUP($B345,Community_Master!$A$2:$K$100,4,FALSE),"")</f>
        <v/>
      </c>
      <c r="E345" s="15">
        <f>IFERROR(VLOOKUP($B345,Community_Master!$A$2:$K$100,5,FALSE),"")</f>
        <v/>
      </c>
      <c r="F345" s="15">
        <f>IFERROR(VLOOKUP($B345,Community_Master!$A$2:$K$100,6,FALSE),"")</f>
        <v/>
      </c>
      <c r="G345" s="15">
        <f>IFERROR(VLOOKUP($B345,Community_Master!$A$2:$K$100,8,FALSE),"")</f>
        <v/>
      </c>
      <c r="H345" s="15">
        <f>IFERROR(VLOOKUP($B345,Community_Master!$A$2:$K$100,7,FALSE),"")</f>
        <v/>
      </c>
      <c r="I345" s="15" t="n"/>
      <c r="J345" s="15" t="n"/>
      <c r="K345" s="15" t="n"/>
      <c r="L345" s="15">
        <f>IF($H345="","",MAX($H345-$I345,0))</f>
        <v/>
      </c>
      <c r="M345" s="6">
        <f>IF($H345="","",IFERROR($I345/$H345,""))</f>
        <v/>
      </c>
      <c r="N345" s="6">
        <f>IF($H345="","",IFERROR($J345/$H345,""))</f>
        <v/>
      </c>
      <c r="O345" s="6" t="n"/>
      <c r="P345" s="7" t="n"/>
      <c r="Q345" s="7" t="n"/>
      <c r="R345" s="7" t="n"/>
      <c r="S345" s="7" t="n"/>
      <c r="T345" s="7">
        <f>IF($H345="","",IFERROR($H345*$P345,""))</f>
        <v/>
      </c>
      <c r="U345" s="7" t="n"/>
      <c r="V345" s="7" t="n"/>
      <c r="W345" s="7" t="n"/>
      <c r="X345" s="7">
        <f>IF(OR($U345="",$W345=""),"",($U345+$V345)-$W345)</f>
        <v/>
      </c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9" t="n"/>
      <c r="AJ345" s="8" t="n"/>
      <c r="AK345" s="8" t="n"/>
      <c r="AL345" s="15" t="n"/>
      <c r="AM345" s="15" t="n"/>
      <c r="AN345" s="15" t="n"/>
      <c r="AO345" s="15" t="n"/>
      <c r="AP345" s="10" t="n"/>
      <c r="AQ345" s="15">
        <f>IF($B345="","",IF(OR(ISERROR(MATCH($B345,Community_Master!$A$2:$A$100,0)),$A345="",AND($H345&lt;&gt;"",$I345&gt;$H345),AND($H345&lt;&gt;"",$J345&gt;$H345),$I345&lt;0,$J345&lt;0,$K345&lt;0,$P345&lt;0,$Q345&lt;0,$Y345&lt;0,$Z345&lt;0,$AA345&lt;0,$AB345&lt;0,$AC345&lt;0),"ERROR","OK"))</f>
        <v/>
      </c>
      <c r="AR345" s="15">
        <f>IF($B345="","",TRIM(IF(ISERROR(MATCH($B345,Community_Master!$A$2:$A$100,0)),"Invalid Community_ID; ","")&amp;IF($A345="","Missing Report_Month; ","")&amp;IF(AND($H345&lt;&gt;"",$I345&gt;$H345),"Occupied_Units greater than Total_Units; ","")&amp;IF(AND($H345&lt;&gt;"",$J345&gt;$H345),"Leased_Units greater than Total_Units; ","")&amp;IF($I345&lt;0,"Occupied_Units negative; ","")&amp;IF($J345&lt;0,"Leased_Units negative; ","")&amp;IF($P345&lt;0,"Avg_Market_Rent negative; ","")))</f>
        <v/>
      </c>
    </row>
    <row r="346" ht="15" customHeight="1">
      <c r="A346" s="5" t="n"/>
      <c r="B346" s="15" t="n"/>
      <c r="C346" s="15">
        <f>IFERROR(VLOOKUP($B346,Community_Master!$A$2:$K$100,2,FALSE),"")</f>
        <v/>
      </c>
      <c r="D346" s="15">
        <f>IFERROR(VLOOKUP($B346,Community_Master!$A$2:$K$100,4,FALSE),"")</f>
        <v/>
      </c>
      <c r="E346" s="15">
        <f>IFERROR(VLOOKUP($B346,Community_Master!$A$2:$K$100,5,FALSE),"")</f>
        <v/>
      </c>
      <c r="F346" s="15">
        <f>IFERROR(VLOOKUP($B346,Community_Master!$A$2:$K$100,6,FALSE),"")</f>
        <v/>
      </c>
      <c r="G346" s="15">
        <f>IFERROR(VLOOKUP($B346,Community_Master!$A$2:$K$100,8,FALSE),"")</f>
        <v/>
      </c>
      <c r="H346" s="15">
        <f>IFERROR(VLOOKUP($B346,Community_Master!$A$2:$K$100,7,FALSE),"")</f>
        <v/>
      </c>
      <c r="I346" s="15" t="n"/>
      <c r="J346" s="15" t="n"/>
      <c r="K346" s="15" t="n"/>
      <c r="L346" s="15">
        <f>IF($H346="","",MAX($H346-$I346,0))</f>
        <v/>
      </c>
      <c r="M346" s="6">
        <f>IF($H346="","",IFERROR($I346/$H346,""))</f>
        <v/>
      </c>
      <c r="N346" s="6">
        <f>IF($H346="","",IFERROR($J346/$H346,""))</f>
        <v/>
      </c>
      <c r="O346" s="6" t="n"/>
      <c r="P346" s="7" t="n"/>
      <c r="Q346" s="7" t="n"/>
      <c r="R346" s="7" t="n"/>
      <c r="S346" s="7" t="n"/>
      <c r="T346" s="7">
        <f>IF($H346="","",IFERROR($H346*$P346,""))</f>
        <v/>
      </c>
      <c r="U346" s="7" t="n"/>
      <c r="V346" s="7" t="n"/>
      <c r="W346" s="7" t="n"/>
      <c r="X346" s="7">
        <f>IF(OR($U346="",$W346=""),"",($U346+$V346)-$W346)</f>
        <v/>
      </c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9" t="n"/>
      <c r="AJ346" s="8" t="n"/>
      <c r="AK346" s="8" t="n"/>
      <c r="AL346" s="15" t="n"/>
      <c r="AM346" s="15" t="n"/>
      <c r="AN346" s="15" t="n"/>
      <c r="AO346" s="15" t="n"/>
      <c r="AP346" s="10" t="n"/>
      <c r="AQ346" s="15">
        <f>IF($B346="","",IF(OR(ISERROR(MATCH($B346,Community_Master!$A$2:$A$100,0)),$A346="",AND($H346&lt;&gt;"",$I346&gt;$H346),AND($H346&lt;&gt;"",$J346&gt;$H346),$I346&lt;0,$J346&lt;0,$K346&lt;0,$P346&lt;0,$Q346&lt;0,$Y346&lt;0,$Z346&lt;0,$AA346&lt;0,$AB346&lt;0,$AC346&lt;0),"ERROR","OK"))</f>
        <v/>
      </c>
      <c r="AR346" s="15">
        <f>IF($B346="","",TRIM(IF(ISERROR(MATCH($B346,Community_Master!$A$2:$A$100,0)),"Invalid Community_ID; ","")&amp;IF($A346="","Missing Report_Month; ","")&amp;IF(AND($H346&lt;&gt;"",$I346&gt;$H346),"Occupied_Units greater than Total_Units; ","")&amp;IF(AND($H346&lt;&gt;"",$J346&gt;$H346),"Leased_Units greater than Total_Units; ","")&amp;IF($I346&lt;0,"Occupied_Units negative; ","")&amp;IF($J346&lt;0,"Leased_Units negative; ","")&amp;IF($P346&lt;0,"Avg_Market_Rent negative; ","")))</f>
        <v/>
      </c>
    </row>
    <row r="347" ht="15" customHeight="1">
      <c r="A347" s="5" t="n"/>
      <c r="B347" s="15" t="n"/>
      <c r="C347" s="15">
        <f>IFERROR(VLOOKUP($B347,Community_Master!$A$2:$K$100,2,FALSE),"")</f>
        <v/>
      </c>
      <c r="D347" s="15">
        <f>IFERROR(VLOOKUP($B347,Community_Master!$A$2:$K$100,4,FALSE),"")</f>
        <v/>
      </c>
      <c r="E347" s="15">
        <f>IFERROR(VLOOKUP($B347,Community_Master!$A$2:$K$100,5,FALSE),"")</f>
        <v/>
      </c>
      <c r="F347" s="15">
        <f>IFERROR(VLOOKUP($B347,Community_Master!$A$2:$K$100,6,FALSE),"")</f>
        <v/>
      </c>
      <c r="G347" s="15">
        <f>IFERROR(VLOOKUP($B347,Community_Master!$A$2:$K$100,8,FALSE),"")</f>
        <v/>
      </c>
      <c r="H347" s="15">
        <f>IFERROR(VLOOKUP($B347,Community_Master!$A$2:$K$100,7,FALSE),"")</f>
        <v/>
      </c>
      <c r="I347" s="15" t="n"/>
      <c r="J347" s="15" t="n"/>
      <c r="K347" s="15" t="n"/>
      <c r="L347" s="15">
        <f>IF($H347="","",MAX($H347-$I347,0))</f>
        <v/>
      </c>
      <c r="M347" s="6">
        <f>IF($H347="","",IFERROR($I347/$H347,""))</f>
        <v/>
      </c>
      <c r="N347" s="6">
        <f>IF($H347="","",IFERROR($J347/$H347,""))</f>
        <v/>
      </c>
      <c r="O347" s="6" t="n"/>
      <c r="P347" s="7" t="n"/>
      <c r="Q347" s="7" t="n"/>
      <c r="R347" s="7" t="n"/>
      <c r="S347" s="7" t="n"/>
      <c r="T347" s="7">
        <f>IF($H347="","",IFERROR($H347*$P347,""))</f>
        <v/>
      </c>
      <c r="U347" s="7" t="n"/>
      <c r="V347" s="7" t="n"/>
      <c r="W347" s="7" t="n"/>
      <c r="X347" s="7">
        <f>IF(OR($U347="",$W347=""),"",($U347+$V347)-$W347)</f>
        <v/>
      </c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9" t="n"/>
      <c r="AJ347" s="8" t="n"/>
      <c r="AK347" s="8" t="n"/>
      <c r="AL347" s="15" t="n"/>
      <c r="AM347" s="15" t="n"/>
      <c r="AN347" s="15" t="n"/>
      <c r="AO347" s="15" t="n"/>
      <c r="AP347" s="10" t="n"/>
      <c r="AQ347" s="15">
        <f>IF($B347="","",IF(OR(ISERROR(MATCH($B347,Community_Master!$A$2:$A$100,0)),$A347="",AND($H347&lt;&gt;"",$I347&gt;$H347),AND($H347&lt;&gt;"",$J347&gt;$H347),$I347&lt;0,$J347&lt;0,$K347&lt;0,$P347&lt;0,$Q347&lt;0,$Y347&lt;0,$Z347&lt;0,$AA347&lt;0,$AB347&lt;0,$AC347&lt;0),"ERROR","OK"))</f>
        <v/>
      </c>
      <c r="AR347" s="15">
        <f>IF($B347="","",TRIM(IF(ISERROR(MATCH($B347,Community_Master!$A$2:$A$100,0)),"Invalid Community_ID; ","")&amp;IF($A347="","Missing Report_Month; ","")&amp;IF(AND($H347&lt;&gt;"",$I347&gt;$H347),"Occupied_Units greater than Total_Units; ","")&amp;IF(AND($H347&lt;&gt;"",$J347&gt;$H347),"Leased_Units greater than Total_Units; ","")&amp;IF($I347&lt;0,"Occupied_Units negative; ","")&amp;IF($J347&lt;0,"Leased_Units negative; ","")&amp;IF($P347&lt;0,"Avg_Market_Rent negative; ","")))</f>
        <v/>
      </c>
    </row>
    <row r="348" ht="15" customHeight="1">
      <c r="A348" s="5" t="n"/>
      <c r="B348" s="15" t="n"/>
      <c r="C348" s="15">
        <f>IFERROR(VLOOKUP($B348,Community_Master!$A$2:$K$100,2,FALSE),"")</f>
        <v/>
      </c>
      <c r="D348" s="15">
        <f>IFERROR(VLOOKUP($B348,Community_Master!$A$2:$K$100,4,FALSE),"")</f>
        <v/>
      </c>
      <c r="E348" s="15">
        <f>IFERROR(VLOOKUP($B348,Community_Master!$A$2:$K$100,5,FALSE),"")</f>
        <v/>
      </c>
      <c r="F348" s="15">
        <f>IFERROR(VLOOKUP($B348,Community_Master!$A$2:$K$100,6,FALSE),"")</f>
        <v/>
      </c>
      <c r="G348" s="15">
        <f>IFERROR(VLOOKUP($B348,Community_Master!$A$2:$K$100,8,FALSE),"")</f>
        <v/>
      </c>
      <c r="H348" s="15">
        <f>IFERROR(VLOOKUP($B348,Community_Master!$A$2:$K$100,7,FALSE),"")</f>
        <v/>
      </c>
      <c r="I348" s="15" t="n"/>
      <c r="J348" s="15" t="n"/>
      <c r="K348" s="15" t="n"/>
      <c r="L348" s="15">
        <f>IF($H348="","",MAX($H348-$I348,0))</f>
        <v/>
      </c>
      <c r="M348" s="6">
        <f>IF($H348="","",IFERROR($I348/$H348,""))</f>
        <v/>
      </c>
      <c r="N348" s="6">
        <f>IF($H348="","",IFERROR($J348/$H348,""))</f>
        <v/>
      </c>
      <c r="O348" s="6" t="n"/>
      <c r="P348" s="7" t="n"/>
      <c r="Q348" s="7" t="n"/>
      <c r="R348" s="7" t="n"/>
      <c r="S348" s="7" t="n"/>
      <c r="T348" s="7">
        <f>IF($H348="","",IFERROR($H348*$P348,""))</f>
        <v/>
      </c>
      <c r="U348" s="7" t="n"/>
      <c r="V348" s="7" t="n"/>
      <c r="W348" s="7" t="n"/>
      <c r="X348" s="7">
        <f>IF(OR($U348="",$W348=""),"",($U348+$V348)-$W348)</f>
        <v/>
      </c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9" t="n"/>
      <c r="AJ348" s="8" t="n"/>
      <c r="AK348" s="8" t="n"/>
      <c r="AL348" s="15" t="n"/>
      <c r="AM348" s="15" t="n"/>
      <c r="AN348" s="15" t="n"/>
      <c r="AO348" s="15" t="n"/>
      <c r="AP348" s="10" t="n"/>
      <c r="AQ348" s="15">
        <f>IF($B348="","",IF(OR(ISERROR(MATCH($B348,Community_Master!$A$2:$A$100,0)),$A348="",AND($H348&lt;&gt;"",$I348&gt;$H348),AND($H348&lt;&gt;"",$J348&gt;$H348),$I348&lt;0,$J348&lt;0,$K348&lt;0,$P348&lt;0,$Q348&lt;0,$Y348&lt;0,$Z348&lt;0,$AA348&lt;0,$AB348&lt;0,$AC348&lt;0),"ERROR","OK"))</f>
        <v/>
      </c>
      <c r="AR348" s="15">
        <f>IF($B348="","",TRIM(IF(ISERROR(MATCH($B348,Community_Master!$A$2:$A$100,0)),"Invalid Community_ID; ","")&amp;IF($A348="","Missing Report_Month; ","")&amp;IF(AND($H348&lt;&gt;"",$I348&gt;$H348),"Occupied_Units greater than Total_Units; ","")&amp;IF(AND($H348&lt;&gt;"",$J348&gt;$H348),"Leased_Units greater than Total_Units; ","")&amp;IF($I348&lt;0,"Occupied_Units negative; ","")&amp;IF($J348&lt;0,"Leased_Units negative; ","")&amp;IF($P348&lt;0,"Avg_Market_Rent negative; ","")))</f>
        <v/>
      </c>
    </row>
    <row r="349" ht="15" customHeight="1">
      <c r="A349" s="5" t="n"/>
      <c r="B349" s="15" t="n"/>
      <c r="C349" s="15">
        <f>IFERROR(VLOOKUP($B349,Community_Master!$A$2:$K$100,2,FALSE),"")</f>
        <v/>
      </c>
      <c r="D349" s="15">
        <f>IFERROR(VLOOKUP($B349,Community_Master!$A$2:$K$100,4,FALSE),"")</f>
        <v/>
      </c>
      <c r="E349" s="15">
        <f>IFERROR(VLOOKUP($B349,Community_Master!$A$2:$K$100,5,FALSE),"")</f>
        <v/>
      </c>
      <c r="F349" s="15">
        <f>IFERROR(VLOOKUP($B349,Community_Master!$A$2:$K$100,6,FALSE),"")</f>
        <v/>
      </c>
      <c r="G349" s="15">
        <f>IFERROR(VLOOKUP($B349,Community_Master!$A$2:$K$100,8,FALSE),"")</f>
        <v/>
      </c>
      <c r="H349" s="15">
        <f>IFERROR(VLOOKUP($B349,Community_Master!$A$2:$K$100,7,FALSE),"")</f>
        <v/>
      </c>
      <c r="I349" s="15" t="n"/>
      <c r="J349" s="15" t="n"/>
      <c r="K349" s="15" t="n"/>
      <c r="L349" s="15">
        <f>IF($H349="","",MAX($H349-$I349,0))</f>
        <v/>
      </c>
      <c r="M349" s="6">
        <f>IF($H349="","",IFERROR($I349/$H349,""))</f>
        <v/>
      </c>
      <c r="N349" s="6">
        <f>IF($H349="","",IFERROR($J349/$H349,""))</f>
        <v/>
      </c>
      <c r="O349" s="6" t="n"/>
      <c r="P349" s="7" t="n"/>
      <c r="Q349" s="7" t="n"/>
      <c r="R349" s="7" t="n"/>
      <c r="S349" s="7" t="n"/>
      <c r="T349" s="7">
        <f>IF($H349="","",IFERROR($H349*$P349,""))</f>
        <v/>
      </c>
      <c r="U349" s="7" t="n"/>
      <c r="V349" s="7" t="n"/>
      <c r="W349" s="7" t="n"/>
      <c r="X349" s="7">
        <f>IF(OR($U349="",$W349=""),"",($U349+$V349)-$W349)</f>
        <v/>
      </c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9" t="n"/>
      <c r="AJ349" s="8" t="n"/>
      <c r="AK349" s="8" t="n"/>
      <c r="AL349" s="15" t="n"/>
      <c r="AM349" s="15" t="n"/>
      <c r="AN349" s="15" t="n"/>
      <c r="AO349" s="15" t="n"/>
      <c r="AP349" s="10" t="n"/>
      <c r="AQ349" s="15">
        <f>IF($B349="","",IF(OR(ISERROR(MATCH($B349,Community_Master!$A$2:$A$100,0)),$A349="",AND($H349&lt;&gt;"",$I349&gt;$H349),AND($H349&lt;&gt;"",$J349&gt;$H349),$I349&lt;0,$J349&lt;0,$K349&lt;0,$P349&lt;0,$Q349&lt;0,$Y349&lt;0,$Z349&lt;0,$AA349&lt;0,$AB349&lt;0,$AC349&lt;0),"ERROR","OK"))</f>
        <v/>
      </c>
      <c r="AR349" s="15">
        <f>IF($B349="","",TRIM(IF(ISERROR(MATCH($B349,Community_Master!$A$2:$A$100,0)),"Invalid Community_ID; ","")&amp;IF($A349="","Missing Report_Month; ","")&amp;IF(AND($H349&lt;&gt;"",$I349&gt;$H349),"Occupied_Units greater than Total_Units; ","")&amp;IF(AND($H349&lt;&gt;"",$J349&gt;$H349),"Leased_Units greater than Total_Units; ","")&amp;IF($I349&lt;0,"Occupied_Units negative; ","")&amp;IF($J349&lt;0,"Leased_Units negative; ","")&amp;IF($P349&lt;0,"Avg_Market_Rent negative; ","")))</f>
        <v/>
      </c>
    </row>
    <row r="350" ht="15" customHeight="1">
      <c r="A350" s="5" t="n"/>
      <c r="B350" s="15" t="n"/>
      <c r="C350" s="15">
        <f>IFERROR(VLOOKUP($B350,Community_Master!$A$2:$K$100,2,FALSE),"")</f>
        <v/>
      </c>
      <c r="D350" s="15">
        <f>IFERROR(VLOOKUP($B350,Community_Master!$A$2:$K$100,4,FALSE),"")</f>
        <v/>
      </c>
      <c r="E350" s="15">
        <f>IFERROR(VLOOKUP($B350,Community_Master!$A$2:$K$100,5,FALSE),"")</f>
        <v/>
      </c>
      <c r="F350" s="15">
        <f>IFERROR(VLOOKUP($B350,Community_Master!$A$2:$K$100,6,FALSE),"")</f>
        <v/>
      </c>
      <c r="G350" s="15">
        <f>IFERROR(VLOOKUP($B350,Community_Master!$A$2:$K$100,8,FALSE),"")</f>
        <v/>
      </c>
      <c r="H350" s="15">
        <f>IFERROR(VLOOKUP($B350,Community_Master!$A$2:$K$100,7,FALSE),"")</f>
        <v/>
      </c>
      <c r="I350" s="15" t="n"/>
      <c r="J350" s="15" t="n"/>
      <c r="K350" s="15" t="n"/>
      <c r="L350" s="15">
        <f>IF($H350="","",MAX($H350-$I350,0))</f>
        <v/>
      </c>
      <c r="M350" s="6">
        <f>IF($H350="","",IFERROR($I350/$H350,""))</f>
        <v/>
      </c>
      <c r="N350" s="6">
        <f>IF($H350="","",IFERROR($J350/$H350,""))</f>
        <v/>
      </c>
      <c r="O350" s="6" t="n"/>
      <c r="P350" s="7" t="n"/>
      <c r="Q350" s="7" t="n"/>
      <c r="R350" s="7" t="n"/>
      <c r="S350" s="7" t="n"/>
      <c r="T350" s="7">
        <f>IF($H350="","",IFERROR($H350*$P350,""))</f>
        <v/>
      </c>
      <c r="U350" s="7" t="n"/>
      <c r="V350" s="7" t="n"/>
      <c r="W350" s="7" t="n"/>
      <c r="X350" s="7">
        <f>IF(OR($U350="",$W350=""),"",($U350+$V350)-$W350)</f>
        <v/>
      </c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9" t="n"/>
      <c r="AJ350" s="8" t="n"/>
      <c r="AK350" s="8" t="n"/>
      <c r="AL350" s="15" t="n"/>
      <c r="AM350" s="15" t="n"/>
      <c r="AN350" s="15" t="n"/>
      <c r="AO350" s="15" t="n"/>
      <c r="AP350" s="10" t="n"/>
      <c r="AQ350" s="15">
        <f>IF($B350="","",IF(OR(ISERROR(MATCH($B350,Community_Master!$A$2:$A$100,0)),$A350="",AND($H350&lt;&gt;"",$I350&gt;$H350),AND($H350&lt;&gt;"",$J350&gt;$H350),$I350&lt;0,$J350&lt;0,$K350&lt;0,$P350&lt;0,$Q350&lt;0,$Y350&lt;0,$Z350&lt;0,$AA350&lt;0,$AB350&lt;0,$AC350&lt;0),"ERROR","OK"))</f>
        <v/>
      </c>
      <c r="AR350" s="15">
        <f>IF($B350="","",TRIM(IF(ISERROR(MATCH($B350,Community_Master!$A$2:$A$100,0)),"Invalid Community_ID; ","")&amp;IF($A350="","Missing Report_Month; ","")&amp;IF(AND($H350&lt;&gt;"",$I350&gt;$H350),"Occupied_Units greater than Total_Units; ","")&amp;IF(AND($H350&lt;&gt;"",$J350&gt;$H350),"Leased_Units greater than Total_Units; ","")&amp;IF($I350&lt;0,"Occupied_Units negative; ","")&amp;IF($J350&lt;0,"Leased_Units negative; ","")&amp;IF($P350&lt;0,"Avg_Market_Rent negative; ","")))</f>
        <v/>
      </c>
    </row>
    <row r="351" ht="15" customHeight="1">
      <c r="A351" s="5" t="n"/>
      <c r="B351" s="15" t="n"/>
      <c r="C351" s="15">
        <f>IFERROR(VLOOKUP($B351,Community_Master!$A$2:$K$100,2,FALSE),"")</f>
        <v/>
      </c>
      <c r="D351" s="15">
        <f>IFERROR(VLOOKUP($B351,Community_Master!$A$2:$K$100,4,FALSE),"")</f>
        <v/>
      </c>
      <c r="E351" s="15">
        <f>IFERROR(VLOOKUP($B351,Community_Master!$A$2:$K$100,5,FALSE),"")</f>
        <v/>
      </c>
      <c r="F351" s="15">
        <f>IFERROR(VLOOKUP($B351,Community_Master!$A$2:$K$100,6,FALSE),"")</f>
        <v/>
      </c>
      <c r="G351" s="15">
        <f>IFERROR(VLOOKUP($B351,Community_Master!$A$2:$K$100,8,FALSE),"")</f>
        <v/>
      </c>
      <c r="H351" s="15">
        <f>IFERROR(VLOOKUP($B351,Community_Master!$A$2:$K$100,7,FALSE),"")</f>
        <v/>
      </c>
      <c r="I351" s="15" t="n"/>
      <c r="J351" s="15" t="n"/>
      <c r="K351" s="15" t="n"/>
      <c r="L351" s="15">
        <f>IF($H351="","",MAX($H351-$I351,0))</f>
        <v/>
      </c>
      <c r="M351" s="6">
        <f>IF($H351="","",IFERROR($I351/$H351,""))</f>
        <v/>
      </c>
      <c r="N351" s="6">
        <f>IF($H351="","",IFERROR($J351/$H351,""))</f>
        <v/>
      </c>
      <c r="O351" s="6" t="n"/>
      <c r="P351" s="7" t="n"/>
      <c r="Q351" s="7" t="n"/>
      <c r="R351" s="7" t="n"/>
      <c r="S351" s="7" t="n"/>
      <c r="T351" s="7">
        <f>IF($H351="","",IFERROR($H351*$P351,""))</f>
        <v/>
      </c>
      <c r="U351" s="7" t="n"/>
      <c r="V351" s="7" t="n"/>
      <c r="W351" s="7" t="n"/>
      <c r="X351" s="7">
        <f>IF(OR($U351="",$W351=""),"",($U351+$V351)-$W351)</f>
        <v/>
      </c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9" t="n"/>
      <c r="AJ351" s="8" t="n"/>
      <c r="AK351" s="8" t="n"/>
      <c r="AL351" s="15" t="n"/>
      <c r="AM351" s="15" t="n"/>
      <c r="AN351" s="15" t="n"/>
      <c r="AO351" s="15" t="n"/>
      <c r="AP351" s="10" t="n"/>
      <c r="AQ351" s="15">
        <f>IF($B351="","",IF(OR(ISERROR(MATCH($B351,Community_Master!$A$2:$A$100,0)),$A351="",AND($H351&lt;&gt;"",$I351&gt;$H351),AND($H351&lt;&gt;"",$J351&gt;$H351),$I351&lt;0,$J351&lt;0,$K351&lt;0,$P351&lt;0,$Q351&lt;0,$Y351&lt;0,$Z351&lt;0,$AA351&lt;0,$AB351&lt;0,$AC351&lt;0),"ERROR","OK"))</f>
        <v/>
      </c>
      <c r="AR351" s="15">
        <f>IF($B351="","",TRIM(IF(ISERROR(MATCH($B351,Community_Master!$A$2:$A$100,0)),"Invalid Community_ID; ","")&amp;IF($A351="","Missing Report_Month; ","")&amp;IF(AND($H351&lt;&gt;"",$I351&gt;$H351),"Occupied_Units greater than Total_Units; ","")&amp;IF(AND($H351&lt;&gt;"",$J351&gt;$H351),"Leased_Units greater than Total_Units; ","")&amp;IF($I351&lt;0,"Occupied_Units negative; ","")&amp;IF($J351&lt;0,"Leased_Units negative; ","")&amp;IF($P351&lt;0,"Avg_Market_Rent negative; ","")))</f>
        <v/>
      </c>
    </row>
    <row r="352" ht="15" customHeight="1">
      <c r="A352" s="5" t="n"/>
      <c r="B352" s="15" t="n"/>
      <c r="C352" s="15">
        <f>IFERROR(VLOOKUP($B352,Community_Master!$A$2:$K$100,2,FALSE),"")</f>
        <v/>
      </c>
      <c r="D352" s="15">
        <f>IFERROR(VLOOKUP($B352,Community_Master!$A$2:$K$100,4,FALSE),"")</f>
        <v/>
      </c>
      <c r="E352" s="15">
        <f>IFERROR(VLOOKUP($B352,Community_Master!$A$2:$K$100,5,FALSE),"")</f>
        <v/>
      </c>
      <c r="F352" s="15">
        <f>IFERROR(VLOOKUP($B352,Community_Master!$A$2:$K$100,6,FALSE),"")</f>
        <v/>
      </c>
      <c r="G352" s="15">
        <f>IFERROR(VLOOKUP($B352,Community_Master!$A$2:$K$100,8,FALSE),"")</f>
        <v/>
      </c>
      <c r="H352" s="15">
        <f>IFERROR(VLOOKUP($B352,Community_Master!$A$2:$K$100,7,FALSE),"")</f>
        <v/>
      </c>
      <c r="I352" s="15" t="n"/>
      <c r="J352" s="15" t="n"/>
      <c r="K352" s="15" t="n"/>
      <c r="L352" s="15">
        <f>IF($H352="","",MAX($H352-$I352,0))</f>
        <v/>
      </c>
      <c r="M352" s="6">
        <f>IF($H352="","",IFERROR($I352/$H352,""))</f>
        <v/>
      </c>
      <c r="N352" s="6">
        <f>IF($H352="","",IFERROR($J352/$H352,""))</f>
        <v/>
      </c>
      <c r="O352" s="6" t="n"/>
      <c r="P352" s="7" t="n"/>
      <c r="Q352" s="7" t="n"/>
      <c r="R352" s="7" t="n"/>
      <c r="S352" s="7" t="n"/>
      <c r="T352" s="7">
        <f>IF($H352="","",IFERROR($H352*$P352,""))</f>
        <v/>
      </c>
      <c r="U352" s="7" t="n"/>
      <c r="V352" s="7" t="n"/>
      <c r="W352" s="7" t="n"/>
      <c r="X352" s="7">
        <f>IF(OR($U352="",$W352=""),"",($U352+$V352)-$W352)</f>
        <v/>
      </c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9" t="n"/>
      <c r="AJ352" s="8" t="n"/>
      <c r="AK352" s="8" t="n"/>
      <c r="AL352" s="15" t="n"/>
      <c r="AM352" s="15" t="n"/>
      <c r="AN352" s="15" t="n"/>
      <c r="AO352" s="15" t="n"/>
      <c r="AP352" s="10" t="n"/>
      <c r="AQ352" s="15">
        <f>IF($B352="","",IF(OR(ISERROR(MATCH($B352,Community_Master!$A$2:$A$100,0)),$A352="",AND($H352&lt;&gt;"",$I352&gt;$H352),AND($H352&lt;&gt;"",$J352&gt;$H352),$I352&lt;0,$J352&lt;0,$K352&lt;0,$P352&lt;0,$Q352&lt;0,$Y352&lt;0,$Z352&lt;0,$AA352&lt;0,$AB352&lt;0,$AC352&lt;0),"ERROR","OK"))</f>
        <v/>
      </c>
      <c r="AR352" s="15">
        <f>IF($B352="","",TRIM(IF(ISERROR(MATCH($B352,Community_Master!$A$2:$A$100,0)),"Invalid Community_ID; ","")&amp;IF($A352="","Missing Report_Month; ","")&amp;IF(AND($H352&lt;&gt;"",$I352&gt;$H352),"Occupied_Units greater than Total_Units; ","")&amp;IF(AND($H352&lt;&gt;"",$J352&gt;$H352),"Leased_Units greater than Total_Units; ","")&amp;IF($I352&lt;0,"Occupied_Units negative; ","")&amp;IF($J352&lt;0,"Leased_Units negative; ","")&amp;IF($P352&lt;0,"Avg_Market_Rent negative; ","")))</f>
        <v/>
      </c>
    </row>
    <row r="353" ht="15" customHeight="1">
      <c r="A353" s="5" t="n"/>
      <c r="B353" s="15" t="n"/>
      <c r="C353" s="15">
        <f>IFERROR(VLOOKUP($B353,Community_Master!$A$2:$K$100,2,FALSE),"")</f>
        <v/>
      </c>
      <c r="D353" s="15">
        <f>IFERROR(VLOOKUP($B353,Community_Master!$A$2:$K$100,4,FALSE),"")</f>
        <v/>
      </c>
      <c r="E353" s="15">
        <f>IFERROR(VLOOKUP($B353,Community_Master!$A$2:$K$100,5,FALSE),"")</f>
        <v/>
      </c>
      <c r="F353" s="15">
        <f>IFERROR(VLOOKUP($B353,Community_Master!$A$2:$K$100,6,FALSE),"")</f>
        <v/>
      </c>
      <c r="G353" s="15">
        <f>IFERROR(VLOOKUP($B353,Community_Master!$A$2:$K$100,8,FALSE),"")</f>
        <v/>
      </c>
      <c r="H353" s="15">
        <f>IFERROR(VLOOKUP($B353,Community_Master!$A$2:$K$100,7,FALSE),"")</f>
        <v/>
      </c>
      <c r="I353" s="15" t="n"/>
      <c r="J353" s="15" t="n"/>
      <c r="K353" s="15" t="n"/>
      <c r="L353" s="15">
        <f>IF($H353="","",MAX($H353-$I353,0))</f>
        <v/>
      </c>
      <c r="M353" s="6">
        <f>IF($H353="","",IFERROR($I353/$H353,""))</f>
        <v/>
      </c>
      <c r="N353" s="6">
        <f>IF($H353="","",IFERROR($J353/$H353,""))</f>
        <v/>
      </c>
      <c r="O353" s="6" t="n"/>
      <c r="P353" s="7" t="n"/>
      <c r="Q353" s="7" t="n"/>
      <c r="R353" s="7" t="n"/>
      <c r="S353" s="7" t="n"/>
      <c r="T353" s="7">
        <f>IF($H353="","",IFERROR($H353*$P353,""))</f>
        <v/>
      </c>
      <c r="U353" s="7" t="n"/>
      <c r="V353" s="7" t="n"/>
      <c r="W353" s="7" t="n"/>
      <c r="X353" s="7">
        <f>IF(OR($U353="",$W353=""),"",($U353+$V353)-$W353)</f>
        <v/>
      </c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9" t="n"/>
      <c r="AJ353" s="8" t="n"/>
      <c r="AK353" s="8" t="n"/>
      <c r="AL353" s="15" t="n"/>
      <c r="AM353" s="15" t="n"/>
      <c r="AN353" s="15" t="n"/>
      <c r="AO353" s="15" t="n"/>
      <c r="AP353" s="10" t="n"/>
      <c r="AQ353" s="15">
        <f>IF($B353="","",IF(OR(ISERROR(MATCH($B353,Community_Master!$A$2:$A$100,0)),$A353="",AND($H353&lt;&gt;"",$I353&gt;$H353),AND($H353&lt;&gt;"",$J353&gt;$H353),$I353&lt;0,$J353&lt;0,$K353&lt;0,$P353&lt;0,$Q353&lt;0,$Y353&lt;0,$Z353&lt;0,$AA353&lt;0,$AB353&lt;0,$AC353&lt;0),"ERROR","OK"))</f>
        <v/>
      </c>
      <c r="AR353" s="15">
        <f>IF($B353="","",TRIM(IF(ISERROR(MATCH($B353,Community_Master!$A$2:$A$100,0)),"Invalid Community_ID; ","")&amp;IF($A353="","Missing Report_Month; ","")&amp;IF(AND($H353&lt;&gt;"",$I353&gt;$H353),"Occupied_Units greater than Total_Units; ","")&amp;IF(AND($H353&lt;&gt;"",$J353&gt;$H353),"Leased_Units greater than Total_Units; ","")&amp;IF($I353&lt;0,"Occupied_Units negative; ","")&amp;IF($J353&lt;0,"Leased_Units negative; ","")&amp;IF($P353&lt;0,"Avg_Market_Rent negative; ","")))</f>
        <v/>
      </c>
    </row>
    <row r="354" ht="15" customHeight="1">
      <c r="A354" s="5" t="n"/>
      <c r="B354" s="15" t="n"/>
      <c r="C354" s="15">
        <f>IFERROR(VLOOKUP($B354,Community_Master!$A$2:$K$100,2,FALSE),"")</f>
        <v/>
      </c>
      <c r="D354" s="15">
        <f>IFERROR(VLOOKUP($B354,Community_Master!$A$2:$K$100,4,FALSE),"")</f>
        <v/>
      </c>
      <c r="E354" s="15">
        <f>IFERROR(VLOOKUP($B354,Community_Master!$A$2:$K$100,5,FALSE),"")</f>
        <v/>
      </c>
      <c r="F354" s="15">
        <f>IFERROR(VLOOKUP($B354,Community_Master!$A$2:$K$100,6,FALSE),"")</f>
        <v/>
      </c>
      <c r="G354" s="15">
        <f>IFERROR(VLOOKUP($B354,Community_Master!$A$2:$K$100,8,FALSE),"")</f>
        <v/>
      </c>
      <c r="H354" s="15">
        <f>IFERROR(VLOOKUP($B354,Community_Master!$A$2:$K$100,7,FALSE),"")</f>
        <v/>
      </c>
      <c r="I354" s="15" t="n"/>
      <c r="J354" s="15" t="n"/>
      <c r="K354" s="15" t="n"/>
      <c r="L354" s="15">
        <f>IF($H354="","",MAX($H354-$I354,0))</f>
        <v/>
      </c>
      <c r="M354" s="6">
        <f>IF($H354="","",IFERROR($I354/$H354,""))</f>
        <v/>
      </c>
      <c r="N354" s="6">
        <f>IF($H354="","",IFERROR($J354/$H354,""))</f>
        <v/>
      </c>
      <c r="O354" s="6" t="n"/>
      <c r="P354" s="7" t="n"/>
      <c r="Q354" s="7" t="n"/>
      <c r="R354" s="7" t="n"/>
      <c r="S354" s="7" t="n"/>
      <c r="T354" s="7">
        <f>IF($H354="","",IFERROR($H354*$P354,""))</f>
        <v/>
      </c>
      <c r="U354" s="7" t="n"/>
      <c r="V354" s="7" t="n"/>
      <c r="W354" s="7" t="n"/>
      <c r="X354" s="7">
        <f>IF(OR($U354="",$W354=""),"",($U354+$V354)-$W354)</f>
        <v/>
      </c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9" t="n"/>
      <c r="AJ354" s="8" t="n"/>
      <c r="AK354" s="8" t="n"/>
      <c r="AL354" s="15" t="n"/>
      <c r="AM354" s="15" t="n"/>
      <c r="AN354" s="15" t="n"/>
      <c r="AO354" s="15" t="n"/>
      <c r="AP354" s="10" t="n"/>
      <c r="AQ354" s="15">
        <f>IF($B354="","",IF(OR(ISERROR(MATCH($B354,Community_Master!$A$2:$A$100,0)),$A354="",AND($H354&lt;&gt;"",$I354&gt;$H354),AND($H354&lt;&gt;"",$J354&gt;$H354),$I354&lt;0,$J354&lt;0,$K354&lt;0,$P354&lt;0,$Q354&lt;0,$Y354&lt;0,$Z354&lt;0,$AA354&lt;0,$AB354&lt;0,$AC354&lt;0),"ERROR","OK"))</f>
        <v/>
      </c>
      <c r="AR354" s="15">
        <f>IF($B354="","",TRIM(IF(ISERROR(MATCH($B354,Community_Master!$A$2:$A$100,0)),"Invalid Community_ID; ","")&amp;IF($A354="","Missing Report_Month; ","")&amp;IF(AND($H354&lt;&gt;"",$I354&gt;$H354),"Occupied_Units greater than Total_Units; ","")&amp;IF(AND($H354&lt;&gt;"",$J354&gt;$H354),"Leased_Units greater than Total_Units; ","")&amp;IF($I354&lt;0,"Occupied_Units negative; ","")&amp;IF($J354&lt;0,"Leased_Units negative; ","")&amp;IF($P354&lt;0,"Avg_Market_Rent negative; ","")))</f>
        <v/>
      </c>
    </row>
    <row r="355" ht="15" customHeight="1">
      <c r="A355" s="5" t="n"/>
      <c r="B355" s="15" t="n"/>
      <c r="C355" s="15">
        <f>IFERROR(VLOOKUP($B355,Community_Master!$A$2:$K$100,2,FALSE),"")</f>
        <v/>
      </c>
      <c r="D355" s="15">
        <f>IFERROR(VLOOKUP($B355,Community_Master!$A$2:$K$100,4,FALSE),"")</f>
        <v/>
      </c>
      <c r="E355" s="15">
        <f>IFERROR(VLOOKUP($B355,Community_Master!$A$2:$K$100,5,FALSE),"")</f>
        <v/>
      </c>
      <c r="F355" s="15">
        <f>IFERROR(VLOOKUP($B355,Community_Master!$A$2:$K$100,6,FALSE),"")</f>
        <v/>
      </c>
      <c r="G355" s="15">
        <f>IFERROR(VLOOKUP($B355,Community_Master!$A$2:$K$100,8,FALSE),"")</f>
        <v/>
      </c>
      <c r="H355" s="15">
        <f>IFERROR(VLOOKUP($B355,Community_Master!$A$2:$K$100,7,FALSE),"")</f>
        <v/>
      </c>
      <c r="I355" s="15" t="n"/>
      <c r="J355" s="15" t="n"/>
      <c r="K355" s="15" t="n"/>
      <c r="L355" s="15">
        <f>IF($H355="","",MAX($H355-$I355,0))</f>
        <v/>
      </c>
      <c r="M355" s="6">
        <f>IF($H355="","",IFERROR($I355/$H355,""))</f>
        <v/>
      </c>
      <c r="N355" s="6">
        <f>IF($H355="","",IFERROR($J355/$H355,""))</f>
        <v/>
      </c>
      <c r="O355" s="6" t="n"/>
      <c r="P355" s="7" t="n"/>
      <c r="Q355" s="7" t="n"/>
      <c r="R355" s="7" t="n"/>
      <c r="S355" s="7" t="n"/>
      <c r="T355" s="7">
        <f>IF($H355="","",IFERROR($H355*$P355,""))</f>
        <v/>
      </c>
      <c r="U355" s="7" t="n"/>
      <c r="V355" s="7" t="n"/>
      <c r="W355" s="7" t="n"/>
      <c r="X355" s="7">
        <f>IF(OR($U355="",$W355=""),"",($U355+$V355)-$W355)</f>
        <v/>
      </c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9" t="n"/>
      <c r="AJ355" s="8" t="n"/>
      <c r="AK355" s="8" t="n"/>
      <c r="AL355" s="15" t="n"/>
      <c r="AM355" s="15" t="n"/>
      <c r="AN355" s="15" t="n"/>
      <c r="AO355" s="15" t="n"/>
      <c r="AP355" s="10" t="n"/>
      <c r="AQ355" s="15">
        <f>IF($B355="","",IF(OR(ISERROR(MATCH($B355,Community_Master!$A$2:$A$100,0)),$A355="",AND($H355&lt;&gt;"",$I355&gt;$H355),AND($H355&lt;&gt;"",$J355&gt;$H355),$I355&lt;0,$J355&lt;0,$K355&lt;0,$P355&lt;0,$Q355&lt;0,$Y355&lt;0,$Z355&lt;0,$AA355&lt;0,$AB355&lt;0,$AC355&lt;0),"ERROR","OK"))</f>
        <v/>
      </c>
      <c r="AR355" s="15">
        <f>IF($B355="","",TRIM(IF(ISERROR(MATCH($B355,Community_Master!$A$2:$A$100,0)),"Invalid Community_ID; ","")&amp;IF($A355="","Missing Report_Month; ","")&amp;IF(AND($H355&lt;&gt;"",$I355&gt;$H355),"Occupied_Units greater than Total_Units; ","")&amp;IF(AND($H355&lt;&gt;"",$J355&gt;$H355),"Leased_Units greater than Total_Units; ","")&amp;IF($I355&lt;0,"Occupied_Units negative; ","")&amp;IF($J355&lt;0,"Leased_Units negative; ","")&amp;IF($P355&lt;0,"Avg_Market_Rent negative; ","")))</f>
        <v/>
      </c>
    </row>
    <row r="356" ht="15" customHeight="1">
      <c r="A356" s="5" t="n"/>
      <c r="B356" s="15" t="n"/>
      <c r="C356" s="15">
        <f>IFERROR(VLOOKUP($B356,Community_Master!$A$2:$K$100,2,FALSE),"")</f>
        <v/>
      </c>
      <c r="D356" s="15">
        <f>IFERROR(VLOOKUP($B356,Community_Master!$A$2:$K$100,4,FALSE),"")</f>
        <v/>
      </c>
      <c r="E356" s="15">
        <f>IFERROR(VLOOKUP($B356,Community_Master!$A$2:$K$100,5,FALSE),"")</f>
        <v/>
      </c>
      <c r="F356" s="15">
        <f>IFERROR(VLOOKUP($B356,Community_Master!$A$2:$K$100,6,FALSE),"")</f>
        <v/>
      </c>
      <c r="G356" s="15">
        <f>IFERROR(VLOOKUP($B356,Community_Master!$A$2:$K$100,8,FALSE),"")</f>
        <v/>
      </c>
      <c r="H356" s="15">
        <f>IFERROR(VLOOKUP($B356,Community_Master!$A$2:$K$100,7,FALSE),"")</f>
        <v/>
      </c>
      <c r="I356" s="15" t="n"/>
      <c r="J356" s="15" t="n"/>
      <c r="K356" s="15" t="n"/>
      <c r="L356" s="15">
        <f>IF($H356="","",MAX($H356-$I356,0))</f>
        <v/>
      </c>
      <c r="M356" s="6">
        <f>IF($H356="","",IFERROR($I356/$H356,""))</f>
        <v/>
      </c>
      <c r="N356" s="6">
        <f>IF($H356="","",IFERROR($J356/$H356,""))</f>
        <v/>
      </c>
      <c r="O356" s="6" t="n"/>
      <c r="P356" s="7" t="n"/>
      <c r="Q356" s="7" t="n"/>
      <c r="R356" s="7" t="n"/>
      <c r="S356" s="7" t="n"/>
      <c r="T356" s="7">
        <f>IF($H356="","",IFERROR($H356*$P356,""))</f>
        <v/>
      </c>
      <c r="U356" s="7" t="n"/>
      <c r="V356" s="7" t="n"/>
      <c r="W356" s="7" t="n"/>
      <c r="X356" s="7">
        <f>IF(OR($U356="",$W356=""),"",($U356+$V356)-$W356)</f>
        <v/>
      </c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9" t="n"/>
      <c r="AJ356" s="8" t="n"/>
      <c r="AK356" s="8" t="n"/>
      <c r="AL356" s="15" t="n"/>
      <c r="AM356" s="15" t="n"/>
      <c r="AN356" s="15" t="n"/>
      <c r="AO356" s="15" t="n"/>
      <c r="AP356" s="10" t="n"/>
      <c r="AQ356" s="15">
        <f>IF($B356="","",IF(OR(ISERROR(MATCH($B356,Community_Master!$A$2:$A$100,0)),$A356="",AND($H356&lt;&gt;"",$I356&gt;$H356),AND($H356&lt;&gt;"",$J356&gt;$H356),$I356&lt;0,$J356&lt;0,$K356&lt;0,$P356&lt;0,$Q356&lt;0,$Y356&lt;0,$Z356&lt;0,$AA356&lt;0,$AB356&lt;0,$AC356&lt;0),"ERROR","OK"))</f>
        <v/>
      </c>
      <c r="AR356" s="15">
        <f>IF($B356="","",TRIM(IF(ISERROR(MATCH($B356,Community_Master!$A$2:$A$100,0)),"Invalid Community_ID; ","")&amp;IF($A356="","Missing Report_Month; ","")&amp;IF(AND($H356&lt;&gt;"",$I356&gt;$H356),"Occupied_Units greater than Total_Units; ","")&amp;IF(AND($H356&lt;&gt;"",$J356&gt;$H356),"Leased_Units greater than Total_Units; ","")&amp;IF($I356&lt;0,"Occupied_Units negative; ","")&amp;IF($J356&lt;0,"Leased_Units negative; ","")&amp;IF($P356&lt;0,"Avg_Market_Rent negative; ","")))</f>
        <v/>
      </c>
    </row>
    <row r="357" ht="15" customHeight="1">
      <c r="A357" s="5" t="n"/>
      <c r="B357" s="15" t="n"/>
      <c r="C357" s="15">
        <f>IFERROR(VLOOKUP($B357,Community_Master!$A$2:$K$100,2,FALSE),"")</f>
        <v/>
      </c>
      <c r="D357" s="15">
        <f>IFERROR(VLOOKUP($B357,Community_Master!$A$2:$K$100,4,FALSE),"")</f>
        <v/>
      </c>
      <c r="E357" s="15">
        <f>IFERROR(VLOOKUP($B357,Community_Master!$A$2:$K$100,5,FALSE),"")</f>
        <v/>
      </c>
      <c r="F357" s="15">
        <f>IFERROR(VLOOKUP($B357,Community_Master!$A$2:$K$100,6,FALSE),"")</f>
        <v/>
      </c>
      <c r="G357" s="15">
        <f>IFERROR(VLOOKUP($B357,Community_Master!$A$2:$K$100,8,FALSE),"")</f>
        <v/>
      </c>
      <c r="H357" s="15">
        <f>IFERROR(VLOOKUP($B357,Community_Master!$A$2:$K$100,7,FALSE),"")</f>
        <v/>
      </c>
      <c r="I357" s="15" t="n"/>
      <c r="J357" s="15" t="n"/>
      <c r="K357" s="15" t="n"/>
      <c r="L357" s="15">
        <f>IF($H357="","",MAX($H357-$I357,0))</f>
        <v/>
      </c>
      <c r="M357" s="6">
        <f>IF($H357="","",IFERROR($I357/$H357,""))</f>
        <v/>
      </c>
      <c r="N357" s="6">
        <f>IF($H357="","",IFERROR($J357/$H357,""))</f>
        <v/>
      </c>
      <c r="O357" s="6" t="n"/>
      <c r="P357" s="7" t="n"/>
      <c r="Q357" s="7" t="n"/>
      <c r="R357" s="7" t="n"/>
      <c r="S357" s="7" t="n"/>
      <c r="T357" s="7">
        <f>IF($H357="","",IFERROR($H357*$P357,""))</f>
        <v/>
      </c>
      <c r="U357" s="7" t="n"/>
      <c r="V357" s="7" t="n"/>
      <c r="W357" s="7" t="n"/>
      <c r="X357" s="7">
        <f>IF(OR($U357="",$W357=""),"",($U357+$V357)-$W357)</f>
        <v/>
      </c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9" t="n"/>
      <c r="AJ357" s="8" t="n"/>
      <c r="AK357" s="8" t="n"/>
      <c r="AL357" s="15" t="n"/>
      <c r="AM357" s="15" t="n"/>
      <c r="AN357" s="15" t="n"/>
      <c r="AO357" s="15" t="n"/>
      <c r="AP357" s="10" t="n"/>
      <c r="AQ357" s="15">
        <f>IF($B357="","",IF(OR(ISERROR(MATCH($B357,Community_Master!$A$2:$A$100,0)),$A357="",AND($H357&lt;&gt;"",$I357&gt;$H357),AND($H357&lt;&gt;"",$J357&gt;$H357),$I357&lt;0,$J357&lt;0,$K357&lt;0,$P357&lt;0,$Q357&lt;0,$Y357&lt;0,$Z357&lt;0,$AA357&lt;0,$AB357&lt;0,$AC357&lt;0),"ERROR","OK"))</f>
        <v/>
      </c>
      <c r="AR357" s="15">
        <f>IF($B357="","",TRIM(IF(ISERROR(MATCH($B357,Community_Master!$A$2:$A$100,0)),"Invalid Community_ID; ","")&amp;IF($A357="","Missing Report_Month; ","")&amp;IF(AND($H357&lt;&gt;"",$I357&gt;$H357),"Occupied_Units greater than Total_Units; ","")&amp;IF(AND($H357&lt;&gt;"",$J357&gt;$H357),"Leased_Units greater than Total_Units; ","")&amp;IF($I357&lt;0,"Occupied_Units negative; ","")&amp;IF($J357&lt;0,"Leased_Units negative; ","")&amp;IF($P357&lt;0,"Avg_Market_Rent negative; ","")))</f>
        <v/>
      </c>
    </row>
    <row r="358" ht="15" customHeight="1">
      <c r="A358" s="5" t="n"/>
      <c r="B358" s="15" t="n"/>
      <c r="C358" s="15">
        <f>IFERROR(VLOOKUP($B358,Community_Master!$A$2:$K$100,2,FALSE),"")</f>
        <v/>
      </c>
      <c r="D358" s="15">
        <f>IFERROR(VLOOKUP($B358,Community_Master!$A$2:$K$100,4,FALSE),"")</f>
        <v/>
      </c>
      <c r="E358" s="15">
        <f>IFERROR(VLOOKUP($B358,Community_Master!$A$2:$K$100,5,FALSE),"")</f>
        <v/>
      </c>
      <c r="F358" s="15">
        <f>IFERROR(VLOOKUP($B358,Community_Master!$A$2:$K$100,6,FALSE),"")</f>
        <v/>
      </c>
      <c r="G358" s="15">
        <f>IFERROR(VLOOKUP($B358,Community_Master!$A$2:$K$100,8,FALSE),"")</f>
        <v/>
      </c>
      <c r="H358" s="15">
        <f>IFERROR(VLOOKUP($B358,Community_Master!$A$2:$K$100,7,FALSE),"")</f>
        <v/>
      </c>
      <c r="I358" s="15" t="n"/>
      <c r="J358" s="15" t="n"/>
      <c r="K358" s="15" t="n"/>
      <c r="L358" s="15">
        <f>IF($H358="","",MAX($H358-$I358,0))</f>
        <v/>
      </c>
      <c r="M358" s="6">
        <f>IF($H358="","",IFERROR($I358/$H358,""))</f>
        <v/>
      </c>
      <c r="N358" s="6">
        <f>IF($H358="","",IFERROR($J358/$H358,""))</f>
        <v/>
      </c>
      <c r="O358" s="6" t="n"/>
      <c r="P358" s="7" t="n"/>
      <c r="Q358" s="7" t="n"/>
      <c r="R358" s="7" t="n"/>
      <c r="S358" s="7" t="n"/>
      <c r="T358" s="7">
        <f>IF($H358="","",IFERROR($H358*$P358,""))</f>
        <v/>
      </c>
      <c r="U358" s="7" t="n"/>
      <c r="V358" s="7" t="n"/>
      <c r="W358" s="7" t="n"/>
      <c r="X358" s="7">
        <f>IF(OR($U358="",$W358=""),"",($U358+$V358)-$W358)</f>
        <v/>
      </c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9" t="n"/>
      <c r="AJ358" s="8" t="n"/>
      <c r="AK358" s="8" t="n"/>
      <c r="AL358" s="15" t="n"/>
      <c r="AM358" s="15" t="n"/>
      <c r="AN358" s="15" t="n"/>
      <c r="AO358" s="15" t="n"/>
      <c r="AP358" s="10" t="n"/>
      <c r="AQ358" s="15">
        <f>IF($B358="","",IF(OR(ISERROR(MATCH($B358,Community_Master!$A$2:$A$100,0)),$A358="",AND($H358&lt;&gt;"",$I358&gt;$H358),AND($H358&lt;&gt;"",$J358&gt;$H358),$I358&lt;0,$J358&lt;0,$K358&lt;0,$P358&lt;0,$Q358&lt;0,$Y358&lt;0,$Z358&lt;0,$AA358&lt;0,$AB358&lt;0,$AC358&lt;0),"ERROR","OK"))</f>
        <v/>
      </c>
      <c r="AR358" s="15">
        <f>IF($B358="","",TRIM(IF(ISERROR(MATCH($B358,Community_Master!$A$2:$A$100,0)),"Invalid Community_ID; ","")&amp;IF($A358="","Missing Report_Month; ","")&amp;IF(AND($H358&lt;&gt;"",$I358&gt;$H358),"Occupied_Units greater than Total_Units; ","")&amp;IF(AND($H358&lt;&gt;"",$J358&gt;$H358),"Leased_Units greater than Total_Units; ","")&amp;IF($I358&lt;0,"Occupied_Units negative; ","")&amp;IF($J358&lt;0,"Leased_Units negative; ","")&amp;IF($P358&lt;0,"Avg_Market_Rent negative; ","")))</f>
        <v/>
      </c>
    </row>
    <row r="359" ht="15" customHeight="1">
      <c r="A359" s="5" t="n"/>
      <c r="B359" s="15" t="n"/>
      <c r="C359" s="15">
        <f>IFERROR(VLOOKUP($B359,Community_Master!$A$2:$K$100,2,FALSE),"")</f>
        <v/>
      </c>
      <c r="D359" s="15">
        <f>IFERROR(VLOOKUP($B359,Community_Master!$A$2:$K$100,4,FALSE),"")</f>
        <v/>
      </c>
      <c r="E359" s="15">
        <f>IFERROR(VLOOKUP($B359,Community_Master!$A$2:$K$100,5,FALSE),"")</f>
        <v/>
      </c>
      <c r="F359" s="15">
        <f>IFERROR(VLOOKUP($B359,Community_Master!$A$2:$K$100,6,FALSE),"")</f>
        <v/>
      </c>
      <c r="G359" s="15">
        <f>IFERROR(VLOOKUP($B359,Community_Master!$A$2:$K$100,8,FALSE),"")</f>
        <v/>
      </c>
      <c r="H359" s="15">
        <f>IFERROR(VLOOKUP($B359,Community_Master!$A$2:$K$100,7,FALSE),"")</f>
        <v/>
      </c>
      <c r="I359" s="15" t="n"/>
      <c r="J359" s="15" t="n"/>
      <c r="K359" s="15" t="n"/>
      <c r="L359" s="15">
        <f>IF($H359="","",MAX($H359-$I359,0))</f>
        <v/>
      </c>
      <c r="M359" s="6">
        <f>IF($H359="","",IFERROR($I359/$H359,""))</f>
        <v/>
      </c>
      <c r="N359" s="6">
        <f>IF($H359="","",IFERROR($J359/$H359,""))</f>
        <v/>
      </c>
      <c r="O359" s="6" t="n"/>
      <c r="P359" s="7" t="n"/>
      <c r="Q359" s="7" t="n"/>
      <c r="R359" s="7" t="n"/>
      <c r="S359" s="7" t="n"/>
      <c r="T359" s="7">
        <f>IF($H359="","",IFERROR($H359*$P359,""))</f>
        <v/>
      </c>
      <c r="U359" s="7" t="n"/>
      <c r="V359" s="7" t="n"/>
      <c r="W359" s="7" t="n"/>
      <c r="X359" s="7">
        <f>IF(OR($U359="",$W359=""),"",($U359+$V359)-$W359)</f>
        <v/>
      </c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9" t="n"/>
      <c r="AJ359" s="8" t="n"/>
      <c r="AK359" s="8" t="n"/>
      <c r="AL359" s="15" t="n"/>
      <c r="AM359" s="15" t="n"/>
      <c r="AN359" s="15" t="n"/>
      <c r="AO359" s="15" t="n"/>
      <c r="AP359" s="10" t="n"/>
      <c r="AQ359" s="15">
        <f>IF($B359="","",IF(OR(ISERROR(MATCH($B359,Community_Master!$A$2:$A$100,0)),$A359="",AND($H359&lt;&gt;"",$I359&gt;$H359),AND($H359&lt;&gt;"",$J359&gt;$H359),$I359&lt;0,$J359&lt;0,$K359&lt;0,$P359&lt;0,$Q359&lt;0,$Y359&lt;0,$Z359&lt;0,$AA359&lt;0,$AB359&lt;0,$AC359&lt;0),"ERROR","OK"))</f>
        <v/>
      </c>
      <c r="AR359" s="15">
        <f>IF($B359="","",TRIM(IF(ISERROR(MATCH($B359,Community_Master!$A$2:$A$100,0)),"Invalid Community_ID; ","")&amp;IF($A359="","Missing Report_Month; ","")&amp;IF(AND($H359&lt;&gt;"",$I359&gt;$H359),"Occupied_Units greater than Total_Units; ","")&amp;IF(AND($H359&lt;&gt;"",$J359&gt;$H359),"Leased_Units greater than Total_Units; ","")&amp;IF($I359&lt;0,"Occupied_Units negative; ","")&amp;IF($J359&lt;0,"Leased_Units negative; ","")&amp;IF($P359&lt;0,"Avg_Market_Rent negative; ","")))</f>
        <v/>
      </c>
    </row>
    <row r="360" ht="15" customHeight="1">
      <c r="A360" s="5" t="n"/>
      <c r="B360" s="15" t="n"/>
      <c r="C360" s="15">
        <f>IFERROR(VLOOKUP($B360,Community_Master!$A$2:$K$100,2,FALSE),"")</f>
        <v/>
      </c>
      <c r="D360" s="15">
        <f>IFERROR(VLOOKUP($B360,Community_Master!$A$2:$K$100,4,FALSE),"")</f>
        <v/>
      </c>
      <c r="E360" s="15">
        <f>IFERROR(VLOOKUP($B360,Community_Master!$A$2:$K$100,5,FALSE),"")</f>
        <v/>
      </c>
      <c r="F360" s="15">
        <f>IFERROR(VLOOKUP($B360,Community_Master!$A$2:$K$100,6,FALSE),"")</f>
        <v/>
      </c>
      <c r="G360" s="15">
        <f>IFERROR(VLOOKUP($B360,Community_Master!$A$2:$K$100,8,FALSE),"")</f>
        <v/>
      </c>
      <c r="H360" s="15">
        <f>IFERROR(VLOOKUP($B360,Community_Master!$A$2:$K$100,7,FALSE),"")</f>
        <v/>
      </c>
      <c r="I360" s="15" t="n"/>
      <c r="J360" s="15" t="n"/>
      <c r="K360" s="15" t="n"/>
      <c r="L360" s="15">
        <f>IF($H360="","",MAX($H360-$I360,0))</f>
        <v/>
      </c>
      <c r="M360" s="6">
        <f>IF($H360="","",IFERROR($I360/$H360,""))</f>
        <v/>
      </c>
      <c r="N360" s="6">
        <f>IF($H360="","",IFERROR($J360/$H360,""))</f>
        <v/>
      </c>
      <c r="O360" s="6" t="n"/>
      <c r="P360" s="7" t="n"/>
      <c r="Q360" s="7" t="n"/>
      <c r="R360" s="7" t="n"/>
      <c r="S360" s="7" t="n"/>
      <c r="T360" s="7">
        <f>IF($H360="","",IFERROR($H360*$P360,""))</f>
        <v/>
      </c>
      <c r="U360" s="7" t="n"/>
      <c r="V360" s="7" t="n"/>
      <c r="W360" s="7" t="n"/>
      <c r="X360" s="7">
        <f>IF(OR($U360="",$W360=""),"",($U360+$V360)-$W360)</f>
        <v/>
      </c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9" t="n"/>
      <c r="AJ360" s="8" t="n"/>
      <c r="AK360" s="8" t="n"/>
      <c r="AL360" s="15" t="n"/>
      <c r="AM360" s="15" t="n"/>
      <c r="AN360" s="15" t="n"/>
      <c r="AO360" s="15" t="n"/>
      <c r="AP360" s="10" t="n"/>
      <c r="AQ360" s="15">
        <f>IF($B360="","",IF(OR(ISERROR(MATCH($B360,Community_Master!$A$2:$A$100,0)),$A360="",AND($H360&lt;&gt;"",$I360&gt;$H360),AND($H360&lt;&gt;"",$J360&gt;$H360),$I360&lt;0,$J360&lt;0,$K360&lt;0,$P360&lt;0,$Q360&lt;0,$Y360&lt;0,$Z360&lt;0,$AA360&lt;0,$AB360&lt;0,$AC360&lt;0),"ERROR","OK"))</f>
        <v/>
      </c>
      <c r="AR360" s="15">
        <f>IF($B360="","",TRIM(IF(ISERROR(MATCH($B360,Community_Master!$A$2:$A$100,0)),"Invalid Community_ID; ","")&amp;IF($A360="","Missing Report_Month; ","")&amp;IF(AND($H360&lt;&gt;"",$I360&gt;$H360),"Occupied_Units greater than Total_Units; ","")&amp;IF(AND($H360&lt;&gt;"",$J360&gt;$H360),"Leased_Units greater than Total_Units; ","")&amp;IF($I360&lt;0,"Occupied_Units negative; ","")&amp;IF($J360&lt;0,"Leased_Units negative; ","")&amp;IF($P360&lt;0,"Avg_Market_Rent negative; ","")))</f>
        <v/>
      </c>
    </row>
    <row r="361" ht="15" customHeight="1">
      <c r="A361" s="5" t="n"/>
      <c r="B361" s="15" t="n"/>
      <c r="C361" s="15">
        <f>IFERROR(VLOOKUP($B361,Community_Master!$A$2:$K$100,2,FALSE),"")</f>
        <v/>
      </c>
      <c r="D361" s="15">
        <f>IFERROR(VLOOKUP($B361,Community_Master!$A$2:$K$100,4,FALSE),"")</f>
        <v/>
      </c>
      <c r="E361" s="15">
        <f>IFERROR(VLOOKUP($B361,Community_Master!$A$2:$K$100,5,FALSE),"")</f>
        <v/>
      </c>
      <c r="F361" s="15">
        <f>IFERROR(VLOOKUP($B361,Community_Master!$A$2:$K$100,6,FALSE),"")</f>
        <v/>
      </c>
      <c r="G361" s="15">
        <f>IFERROR(VLOOKUP($B361,Community_Master!$A$2:$K$100,8,FALSE),"")</f>
        <v/>
      </c>
      <c r="H361" s="15">
        <f>IFERROR(VLOOKUP($B361,Community_Master!$A$2:$K$100,7,FALSE),"")</f>
        <v/>
      </c>
      <c r="I361" s="15" t="n"/>
      <c r="J361" s="15" t="n"/>
      <c r="K361" s="15" t="n"/>
      <c r="L361" s="15">
        <f>IF($H361="","",MAX($H361-$I361,0))</f>
        <v/>
      </c>
      <c r="M361" s="6">
        <f>IF($H361="","",IFERROR($I361/$H361,""))</f>
        <v/>
      </c>
      <c r="N361" s="6">
        <f>IF($H361="","",IFERROR($J361/$H361,""))</f>
        <v/>
      </c>
      <c r="O361" s="6" t="n"/>
      <c r="P361" s="7" t="n"/>
      <c r="Q361" s="7" t="n"/>
      <c r="R361" s="7" t="n"/>
      <c r="S361" s="7" t="n"/>
      <c r="T361" s="7">
        <f>IF($H361="","",IFERROR($H361*$P361,""))</f>
        <v/>
      </c>
      <c r="U361" s="7" t="n"/>
      <c r="V361" s="7" t="n"/>
      <c r="W361" s="7" t="n"/>
      <c r="X361" s="7">
        <f>IF(OR($U361="",$W361=""),"",($U361+$V361)-$W361)</f>
        <v/>
      </c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9" t="n"/>
      <c r="AJ361" s="8" t="n"/>
      <c r="AK361" s="8" t="n"/>
      <c r="AL361" s="15" t="n"/>
      <c r="AM361" s="15" t="n"/>
      <c r="AN361" s="15" t="n"/>
      <c r="AO361" s="15" t="n"/>
      <c r="AP361" s="10" t="n"/>
      <c r="AQ361" s="15">
        <f>IF($B361="","",IF(OR(ISERROR(MATCH($B361,Community_Master!$A$2:$A$100,0)),$A361="",AND($H361&lt;&gt;"",$I361&gt;$H361),AND($H361&lt;&gt;"",$J361&gt;$H361),$I361&lt;0,$J361&lt;0,$K361&lt;0,$P361&lt;0,$Q361&lt;0,$Y361&lt;0,$Z361&lt;0,$AA361&lt;0,$AB361&lt;0,$AC361&lt;0),"ERROR","OK"))</f>
        <v/>
      </c>
      <c r="AR361" s="15">
        <f>IF($B361="","",TRIM(IF(ISERROR(MATCH($B361,Community_Master!$A$2:$A$100,0)),"Invalid Community_ID; ","")&amp;IF($A361="","Missing Report_Month; ","")&amp;IF(AND($H361&lt;&gt;"",$I361&gt;$H361),"Occupied_Units greater than Total_Units; ","")&amp;IF(AND($H361&lt;&gt;"",$J361&gt;$H361),"Leased_Units greater than Total_Units; ","")&amp;IF($I361&lt;0,"Occupied_Units negative; ","")&amp;IF($J361&lt;0,"Leased_Units negative; ","")&amp;IF($P361&lt;0,"Avg_Market_Rent negative; ","")))</f>
        <v/>
      </c>
    </row>
    <row r="362" ht="15" customHeight="1">
      <c r="A362" s="5" t="n"/>
      <c r="B362" s="15" t="n"/>
      <c r="C362" s="15">
        <f>IFERROR(VLOOKUP($B362,Community_Master!$A$2:$K$100,2,FALSE),"")</f>
        <v/>
      </c>
      <c r="D362" s="15">
        <f>IFERROR(VLOOKUP($B362,Community_Master!$A$2:$K$100,4,FALSE),"")</f>
        <v/>
      </c>
      <c r="E362" s="15">
        <f>IFERROR(VLOOKUP($B362,Community_Master!$A$2:$K$100,5,FALSE),"")</f>
        <v/>
      </c>
      <c r="F362" s="15">
        <f>IFERROR(VLOOKUP($B362,Community_Master!$A$2:$K$100,6,FALSE),"")</f>
        <v/>
      </c>
      <c r="G362" s="15">
        <f>IFERROR(VLOOKUP($B362,Community_Master!$A$2:$K$100,8,FALSE),"")</f>
        <v/>
      </c>
      <c r="H362" s="15">
        <f>IFERROR(VLOOKUP($B362,Community_Master!$A$2:$K$100,7,FALSE),"")</f>
        <v/>
      </c>
      <c r="I362" s="15" t="n"/>
      <c r="J362" s="15" t="n"/>
      <c r="K362" s="15" t="n"/>
      <c r="L362" s="15">
        <f>IF($H362="","",MAX($H362-$I362,0))</f>
        <v/>
      </c>
      <c r="M362" s="6">
        <f>IF($H362="","",IFERROR($I362/$H362,""))</f>
        <v/>
      </c>
      <c r="N362" s="6">
        <f>IF($H362="","",IFERROR($J362/$H362,""))</f>
        <v/>
      </c>
      <c r="O362" s="6" t="n"/>
      <c r="P362" s="7" t="n"/>
      <c r="Q362" s="7" t="n"/>
      <c r="R362" s="7" t="n"/>
      <c r="S362" s="7" t="n"/>
      <c r="T362" s="7">
        <f>IF($H362="","",IFERROR($H362*$P362,""))</f>
        <v/>
      </c>
      <c r="U362" s="7" t="n"/>
      <c r="V362" s="7" t="n"/>
      <c r="W362" s="7" t="n"/>
      <c r="X362" s="7">
        <f>IF(OR($U362="",$W362=""),"",($U362+$V362)-$W362)</f>
        <v/>
      </c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9" t="n"/>
      <c r="AJ362" s="8" t="n"/>
      <c r="AK362" s="8" t="n"/>
      <c r="AL362" s="15" t="n"/>
      <c r="AM362" s="15" t="n"/>
      <c r="AN362" s="15" t="n"/>
      <c r="AO362" s="15" t="n"/>
      <c r="AP362" s="10" t="n"/>
      <c r="AQ362" s="15">
        <f>IF($B362="","",IF(OR(ISERROR(MATCH($B362,Community_Master!$A$2:$A$100,0)),$A362="",AND($H362&lt;&gt;"",$I362&gt;$H362),AND($H362&lt;&gt;"",$J362&gt;$H362),$I362&lt;0,$J362&lt;0,$K362&lt;0,$P362&lt;0,$Q362&lt;0,$Y362&lt;0,$Z362&lt;0,$AA362&lt;0,$AB362&lt;0,$AC362&lt;0),"ERROR","OK"))</f>
        <v/>
      </c>
      <c r="AR362" s="15">
        <f>IF($B362="","",TRIM(IF(ISERROR(MATCH($B362,Community_Master!$A$2:$A$100,0)),"Invalid Community_ID; ","")&amp;IF($A362="","Missing Report_Month; ","")&amp;IF(AND($H362&lt;&gt;"",$I362&gt;$H362),"Occupied_Units greater than Total_Units; ","")&amp;IF(AND($H362&lt;&gt;"",$J362&gt;$H362),"Leased_Units greater than Total_Units; ","")&amp;IF($I362&lt;0,"Occupied_Units negative; ","")&amp;IF($J362&lt;0,"Leased_Units negative; ","")&amp;IF($P362&lt;0,"Avg_Market_Rent negative; ","")))</f>
        <v/>
      </c>
    </row>
    <row r="363" ht="15" customHeight="1">
      <c r="A363" s="5" t="n"/>
      <c r="B363" s="15" t="n"/>
      <c r="C363" s="15">
        <f>IFERROR(VLOOKUP($B363,Community_Master!$A$2:$K$100,2,FALSE),"")</f>
        <v/>
      </c>
      <c r="D363" s="15">
        <f>IFERROR(VLOOKUP($B363,Community_Master!$A$2:$K$100,4,FALSE),"")</f>
        <v/>
      </c>
      <c r="E363" s="15">
        <f>IFERROR(VLOOKUP($B363,Community_Master!$A$2:$K$100,5,FALSE),"")</f>
        <v/>
      </c>
      <c r="F363" s="15">
        <f>IFERROR(VLOOKUP($B363,Community_Master!$A$2:$K$100,6,FALSE),"")</f>
        <v/>
      </c>
      <c r="G363" s="15">
        <f>IFERROR(VLOOKUP($B363,Community_Master!$A$2:$K$100,8,FALSE),"")</f>
        <v/>
      </c>
      <c r="H363" s="15">
        <f>IFERROR(VLOOKUP($B363,Community_Master!$A$2:$K$100,7,FALSE),"")</f>
        <v/>
      </c>
      <c r="I363" s="15" t="n"/>
      <c r="J363" s="15" t="n"/>
      <c r="K363" s="15" t="n"/>
      <c r="L363" s="15">
        <f>IF($H363="","",MAX($H363-$I363,0))</f>
        <v/>
      </c>
      <c r="M363" s="6">
        <f>IF($H363="","",IFERROR($I363/$H363,""))</f>
        <v/>
      </c>
      <c r="N363" s="6">
        <f>IF($H363="","",IFERROR($J363/$H363,""))</f>
        <v/>
      </c>
      <c r="O363" s="6" t="n"/>
      <c r="P363" s="7" t="n"/>
      <c r="Q363" s="7" t="n"/>
      <c r="R363" s="7" t="n"/>
      <c r="S363" s="7" t="n"/>
      <c r="T363" s="7">
        <f>IF($H363="","",IFERROR($H363*$P363,""))</f>
        <v/>
      </c>
      <c r="U363" s="7" t="n"/>
      <c r="V363" s="7" t="n"/>
      <c r="W363" s="7" t="n"/>
      <c r="X363" s="7">
        <f>IF(OR($U363="",$W363=""),"",($U363+$V363)-$W363)</f>
        <v/>
      </c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  <c r="AH363" s="8" t="n"/>
      <c r="AI363" s="9" t="n"/>
      <c r="AJ363" s="8" t="n"/>
      <c r="AK363" s="8" t="n"/>
      <c r="AL363" s="15" t="n"/>
      <c r="AM363" s="15" t="n"/>
      <c r="AN363" s="15" t="n"/>
      <c r="AO363" s="15" t="n"/>
      <c r="AP363" s="10" t="n"/>
      <c r="AQ363" s="15">
        <f>IF($B363="","",IF(OR(ISERROR(MATCH($B363,Community_Master!$A$2:$A$100,0)),$A363="",AND($H363&lt;&gt;"",$I363&gt;$H363),AND($H363&lt;&gt;"",$J363&gt;$H363),$I363&lt;0,$J363&lt;0,$K363&lt;0,$P363&lt;0,$Q363&lt;0,$Y363&lt;0,$Z363&lt;0,$AA363&lt;0,$AB363&lt;0,$AC363&lt;0),"ERROR","OK"))</f>
        <v/>
      </c>
      <c r="AR363" s="15">
        <f>IF($B363="","",TRIM(IF(ISERROR(MATCH($B363,Community_Master!$A$2:$A$100,0)),"Invalid Community_ID; ","")&amp;IF($A363="","Missing Report_Month; ","")&amp;IF(AND($H363&lt;&gt;"",$I363&gt;$H363),"Occupied_Units greater than Total_Units; ","")&amp;IF(AND($H363&lt;&gt;"",$J363&gt;$H363),"Leased_Units greater than Total_Units; ","")&amp;IF($I363&lt;0,"Occupied_Units negative; ","")&amp;IF($J363&lt;0,"Leased_Units negative; ","")&amp;IF($P363&lt;0,"Avg_Market_Rent negative; ","")))</f>
        <v/>
      </c>
    </row>
    <row r="364" ht="15" customHeight="1">
      <c r="A364" s="5" t="n"/>
      <c r="B364" s="15" t="n"/>
      <c r="C364" s="15">
        <f>IFERROR(VLOOKUP($B364,Community_Master!$A$2:$K$100,2,FALSE),"")</f>
        <v/>
      </c>
      <c r="D364" s="15">
        <f>IFERROR(VLOOKUP($B364,Community_Master!$A$2:$K$100,4,FALSE),"")</f>
        <v/>
      </c>
      <c r="E364" s="15">
        <f>IFERROR(VLOOKUP($B364,Community_Master!$A$2:$K$100,5,FALSE),"")</f>
        <v/>
      </c>
      <c r="F364" s="15">
        <f>IFERROR(VLOOKUP($B364,Community_Master!$A$2:$K$100,6,FALSE),"")</f>
        <v/>
      </c>
      <c r="G364" s="15">
        <f>IFERROR(VLOOKUP($B364,Community_Master!$A$2:$K$100,8,FALSE),"")</f>
        <v/>
      </c>
      <c r="H364" s="15">
        <f>IFERROR(VLOOKUP($B364,Community_Master!$A$2:$K$100,7,FALSE),"")</f>
        <v/>
      </c>
      <c r="I364" s="15" t="n"/>
      <c r="J364" s="15" t="n"/>
      <c r="K364" s="15" t="n"/>
      <c r="L364" s="15">
        <f>IF($H364="","",MAX($H364-$I364,0))</f>
        <v/>
      </c>
      <c r="M364" s="6">
        <f>IF($H364="","",IFERROR($I364/$H364,""))</f>
        <v/>
      </c>
      <c r="N364" s="6">
        <f>IF($H364="","",IFERROR($J364/$H364,""))</f>
        <v/>
      </c>
      <c r="O364" s="6" t="n"/>
      <c r="P364" s="7" t="n"/>
      <c r="Q364" s="7" t="n"/>
      <c r="R364" s="7" t="n"/>
      <c r="S364" s="7" t="n"/>
      <c r="T364" s="7">
        <f>IF($H364="","",IFERROR($H364*$P364,""))</f>
        <v/>
      </c>
      <c r="U364" s="7" t="n"/>
      <c r="V364" s="7" t="n"/>
      <c r="W364" s="7" t="n"/>
      <c r="X364" s="7">
        <f>IF(OR($U364="",$W364=""),"",($U364+$V364)-$W364)</f>
        <v/>
      </c>
      <c r="Y364" s="8" t="n"/>
      <c r="Z364" s="8" t="n"/>
      <c r="AA364" s="8" t="n"/>
      <c r="AB364" s="8" t="n"/>
      <c r="AC364" s="8" t="n"/>
      <c r="AD364" s="8" t="n"/>
      <c r="AE364" s="8" t="n"/>
      <c r="AF364" s="8" t="n"/>
      <c r="AG364" s="8" t="n"/>
      <c r="AH364" s="8" t="n"/>
      <c r="AI364" s="9" t="n"/>
      <c r="AJ364" s="8" t="n"/>
      <c r="AK364" s="8" t="n"/>
      <c r="AL364" s="15" t="n"/>
      <c r="AM364" s="15" t="n"/>
      <c r="AN364" s="15" t="n"/>
      <c r="AO364" s="15" t="n"/>
      <c r="AP364" s="10" t="n"/>
      <c r="AQ364" s="15">
        <f>IF($B364="","",IF(OR(ISERROR(MATCH($B364,Community_Master!$A$2:$A$100,0)),$A364="",AND($H364&lt;&gt;"",$I364&gt;$H364),AND($H364&lt;&gt;"",$J364&gt;$H364),$I364&lt;0,$J364&lt;0,$K364&lt;0,$P364&lt;0,$Q364&lt;0,$Y364&lt;0,$Z364&lt;0,$AA364&lt;0,$AB364&lt;0,$AC364&lt;0),"ERROR","OK"))</f>
        <v/>
      </c>
      <c r="AR364" s="15">
        <f>IF($B364="","",TRIM(IF(ISERROR(MATCH($B364,Community_Master!$A$2:$A$100,0)),"Invalid Community_ID; ","")&amp;IF($A364="","Missing Report_Month; ","")&amp;IF(AND($H364&lt;&gt;"",$I364&gt;$H364),"Occupied_Units greater than Total_Units; ","")&amp;IF(AND($H364&lt;&gt;"",$J364&gt;$H364),"Leased_Units greater than Total_Units; ","")&amp;IF($I364&lt;0,"Occupied_Units negative; ","")&amp;IF($J364&lt;0,"Leased_Units negative; ","")&amp;IF($P364&lt;0,"Avg_Market_Rent negative; ","")))</f>
        <v/>
      </c>
    </row>
    <row r="365" ht="15" customHeight="1">
      <c r="A365" s="5" t="n"/>
      <c r="B365" s="15" t="n"/>
      <c r="C365" s="15">
        <f>IFERROR(VLOOKUP($B365,Community_Master!$A$2:$K$100,2,FALSE),"")</f>
        <v/>
      </c>
      <c r="D365" s="15">
        <f>IFERROR(VLOOKUP($B365,Community_Master!$A$2:$K$100,4,FALSE),"")</f>
        <v/>
      </c>
      <c r="E365" s="15">
        <f>IFERROR(VLOOKUP($B365,Community_Master!$A$2:$K$100,5,FALSE),"")</f>
        <v/>
      </c>
      <c r="F365" s="15">
        <f>IFERROR(VLOOKUP($B365,Community_Master!$A$2:$K$100,6,FALSE),"")</f>
        <v/>
      </c>
      <c r="G365" s="15">
        <f>IFERROR(VLOOKUP($B365,Community_Master!$A$2:$K$100,8,FALSE),"")</f>
        <v/>
      </c>
      <c r="H365" s="15">
        <f>IFERROR(VLOOKUP($B365,Community_Master!$A$2:$K$100,7,FALSE),"")</f>
        <v/>
      </c>
      <c r="I365" s="15" t="n"/>
      <c r="J365" s="15" t="n"/>
      <c r="K365" s="15" t="n"/>
      <c r="L365" s="15">
        <f>IF($H365="","",MAX($H365-$I365,0))</f>
        <v/>
      </c>
      <c r="M365" s="6">
        <f>IF($H365="","",IFERROR($I365/$H365,""))</f>
        <v/>
      </c>
      <c r="N365" s="6">
        <f>IF($H365="","",IFERROR($J365/$H365,""))</f>
        <v/>
      </c>
      <c r="O365" s="6" t="n"/>
      <c r="P365" s="7" t="n"/>
      <c r="Q365" s="7" t="n"/>
      <c r="R365" s="7" t="n"/>
      <c r="S365" s="7" t="n"/>
      <c r="T365" s="7">
        <f>IF($H365="","",IFERROR($H365*$P365,""))</f>
        <v/>
      </c>
      <c r="U365" s="7" t="n"/>
      <c r="V365" s="7" t="n"/>
      <c r="W365" s="7" t="n"/>
      <c r="X365" s="7">
        <f>IF(OR($U365="",$W365=""),"",($U365+$V365)-$W365)</f>
        <v/>
      </c>
      <c r="Y365" s="8" t="n"/>
      <c r="Z365" s="8" t="n"/>
      <c r="AA365" s="8" t="n"/>
      <c r="AB365" s="8" t="n"/>
      <c r="AC365" s="8" t="n"/>
      <c r="AD365" s="8" t="n"/>
      <c r="AE365" s="8" t="n"/>
      <c r="AF365" s="8" t="n"/>
      <c r="AG365" s="8" t="n"/>
      <c r="AH365" s="8" t="n"/>
      <c r="AI365" s="9" t="n"/>
      <c r="AJ365" s="8" t="n"/>
      <c r="AK365" s="8" t="n"/>
      <c r="AL365" s="15" t="n"/>
      <c r="AM365" s="15" t="n"/>
      <c r="AN365" s="15" t="n"/>
      <c r="AO365" s="15" t="n"/>
      <c r="AP365" s="10" t="n"/>
      <c r="AQ365" s="15">
        <f>IF($B365="","",IF(OR(ISERROR(MATCH($B365,Community_Master!$A$2:$A$100,0)),$A365="",AND($H365&lt;&gt;"",$I365&gt;$H365),AND($H365&lt;&gt;"",$J365&gt;$H365),$I365&lt;0,$J365&lt;0,$K365&lt;0,$P365&lt;0,$Q365&lt;0,$Y365&lt;0,$Z365&lt;0,$AA365&lt;0,$AB365&lt;0,$AC365&lt;0),"ERROR","OK"))</f>
        <v/>
      </c>
      <c r="AR365" s="15">
        <f>IF($B365="","",TRIM(IF(ISERROR(MATCH($B365,Community_Master!$A$2:$A$100,0)),"Invalid Community_ID; ","")&amp;IF($A365="","Missing Report_Month; ","")&amp;IF(AND($H365&lt;&gt;"",$I365&gt;$H365),"Occupied_Units greater than Total_Units; ","")&amp;IF(AND($H365&lt;&gt;"",$J365&gt;$H365),"Leased_Units greater than Total_Units; ","")&amp;IF($I365&lt;0,"Occupied_Units negative; ","")&amp;IF($J365&lt;0,"Leased_Units negative; ","")&amp;IF($P365&lt;0,"Avg_Market_Rent negative; ","")))</f>
        <v/>
      </c>
    </row>
    <row r="366" ht="15" customHeight="1">
      <c r="A366" s="5" t="n"/>
      <c r="B366" s="15" t="n"/>
      <c r="C366" s="15">
        <f>IFERROR(VLOOKUP($B366,Community_Master!$A$2:$K$100,2,FALSE),"")</f>
        <v/>
      </c>
      <c r="D366" s="15">
        <f>IFERROR(VLOOKUP($B366,Community_Master!$A$2:$K$100,4,FALSE),"")</f>
        <v/>
      </c>
      <c r="E366" s="15">
        <f>IFERROR(VLOOKUP($B366,Community_Master!$A$2:$K$100,5,FALSE),"")</f>
        <v/>
      </c>
      <c r="F366" s="15">
        <f>IFERROR(VLOOKUP($B366,Community_Master!$A$2:$K$100,6,FALSE),"")</f>
        <v/>
      </c>
      <c r="G366" s="15">
        <f>IFERROR(VLOOKUP($B366,Community_Master!$A$2:$K$100,8,FALSE),"")</f>
        <v/>
      </c>
      <c r="H366" s="15">
        <f>IFERROR(VLOOKUP($B366,Community_Master!$A$2:$K$100,7,FALSE),"")</f>
        <v/>
      </c>
      <c r="I366" s="15" t="n"/>
      <c r="J366" s="15" t="n"/>
      <c r="K366" s="15" t="n"/>
      <c r="L366" s="15">
        <f>IF($H366="","",MAX($H366-$I366,0))</f>
        <v/>
      </c>
      <c r="M366" s="6">
        <f>IF($H366="","",IFERROR($I366/$H366,""))</f>
        <v/>
      </c>
      <c r="N366" s="6">
        <f>IF($H366="","",IFERROR($J366/$H366,""))</f>
        <v/>
      </c>
      <c r="O366" s="6" t="n"/>
      <c r="P366" s="7" t="n"/>
      <c r="Q366" s="7" t="n"/>
      <c r="R366" s="7" t="n"/>
      <c r="S366" s="7" t="n"/>
      <c r="T366" s="7">
        <f>IF($H366="","",IFERROR($H366*$P366,""))</f>
        <v/>
      </c>
      <c r="U366" s="7" t="n"/>
      <c r="V366" s="7" t="n"/>
      <c r="W366" s="7" t="n"/>
      <c r="X366" s="7">
        <f>IF(OR($U366="",$W366=""),"",($U366+$V366)-$W366)</f>
        <v/>
      </c>
      <c r="Y366" s="8" t="n"/>
      <c r="Z366" s="8" t="n"/>
      <c r="AA366" s="8" t="n"/>
      <c r="AB366" s="8" t="n"/>
      <c r="AC366" s="8" t="n"/>
      <c r="AD366" s="8" t="n"/>
      <c r="AE366" s="8" t="n"/>
      <c r="AF366" s="8" t="n"/>
      <c r="AG366" s="8" t="n"/>
      <c r="AH366" s="8" t="n"/>
      <c r="AI366" s="9" t="n"/>
      <c r="AJ366" s="8" t="n"/>
      <c r="AK366" s="8" t="n"/>
      <c r="AL366" s="15" t="n"/>
      <c r="AM366" s="15" t="n"/>
      <c r="AN366" s="15" t="n"/>
      <c r="AO366" s="15" t="n"/>
      <c r="AP366" s="10" t="n"/>
      <c r="AQ366" s="15">
        <f>IF($B366="","",IF(OR(ISERROR(MATCH($B366,Community_Master!$A$2:$A$100,0)),$A366="",AND($H366&lt;&gt;"",$I366&gt;$H366),AND($H366&lt;&gt;"",$J366&gt;$H366),$I366&lt;0,$J366&lt;0,$K366&lt;0,$P366&lt;0,$Q366&lt;0,$Y366&lt;0,$Z366&lt;0,$AA366&lt;0,$AB366&lt;0,$AC366&lt;0),"ERROR","OK"))</f>
        <v/>
      </c>
      <c r="AR366" s="15">
        <f>IF($B366="","",TRIM(IF(ISERROR(MATCH($B366,Community_Master!$A$2:$A$100,0)),"Invalid Community_ID; ","")&amp;IF($A366="","Missing Report_Month; ","")&amp;IF(AND($H366&lt;&gt;"",$I366&gt;$H366),"Occupied_Units greater than Total_Units; ","")&amp;IF(AND($H366&lt;&gt;"",$J366&gt;$H366),"Leased_Units greater than Total_Units; ","")&amp;IF($I366&lt;0,"Occupied_Units negative; ","")&amp;IF($J366&lt;0,"Leased_Units negative; ","")&amp;IF($P366&lt;0,"Avg_Market_Rent negative; ","")))</f>
        <v/>
      </c>
    </row>
    <row r="367" ht="15" customHeight="1">
      <c r="A367" s="5" t="n"/>
      <c r="B367" s="15" t="n"/>
      <c r="C367" s="15">
        <f>IFERROR(VLOOKUP($B367,Community_Master!$A$2:$K$100,2,FALSE),"")</f>
        <v/>
      </c>
      <c r="D367" s="15">
        <f>IFERROR(VLOOKUP($B367,Community_Master!$A$2:$K$100,4,FALSE),"")</f>
        <v/>
      </c>
      <c r="E367" s="15">
        <f>IFERROR(VLOOKUP($B367,Community_Master!$A$2:$K$100,5,FALSE),"")</f>
        <v/>
      </c>
      <c r="F367" s="15">
        <f>IFERROR(VLOOKUP($B367,Community_Master!$A$2:$K$100,6,FALSE),"")</f>
        <v/>
      </c>
      <c r="G367" s="15">
        <f>IFERROR(VLOOKUP($B367,Community_Master!$A$2:$K$100,8,FALSE),"")</f>
        <v/>
      </c>
      <c r="H367" s="15">
        <f>IFERROR(VLOOKUP($B367,Community_Master!$A$2:$K$100,7,FALSE),"")</f>
        <v/>
      </c>
      <c r="I367" s="15" t="n"/>
      <c r="J367" s="15" t="n"/>
      <c r="K367" s="15" t="n"/>
      <c r="L367" s="15">
        <f>IF($H367="","",MAX($H367-$I367,0))</f>
        <v/>
      </c>
      <c r="M367" s="6">
        <f>IF($H367="","",IFERROR($I367/$H367,""))</f>
        <v/>
      </c>
      <c r="N367" s="6">
        <f>IF($H367="","",IFERROR($J367/$H367,""))</f>
        <v/>
      </c>
      <c r="O367" s="6" t="n"/>
      <c r="P367" s="7" t="n"/>
      <c r="Q367" s="7" t="n"/>
      <c r="R367" s="7" t="n"/>
      <c r="S367" s="7" t="n"/>
      <c r="T367" s="7">
        <f>IF($H367="","",IFERROR($H367*$P367,""))</f>
        <v/>
      </c>
      <c r="U367" s="7" t="n"/>
      <c r="V367" s="7" t="n"/>
      <c r="W367" s="7" t="n"/>
      <c r="X367" s="7">
        <f>IF(OR($U367="",$W367=""),"",($U367+$V367)-$W367)</f>
        <v/>
      </c>
      <c r="Y367" s="8" t="n"/>
      <c r="Z367" s="8" t="n"/>
      <c r="AA367" s="8" t="n"/>
      <c r="AB367" s="8" t="n"/>
      <c r="AC367" s="8" t="n"/>
      <c r="AD367" s="8" t="n"/>
      <c r="AE367" s="8" t="n"/>
      <c r="AF367" s="8" t="n"/>
      <c r="AG367" s="8" t="n"/>
      <c r="AH367" s="8" t="n"/>
      <c r="AI367" s="9" t="n"/>
      <c r="AJ367" s="8" t="n"/>
      <c r="AK367" s="8" t="n"/>
      <c r="AL367" s="15" t="n"/>
      <c r="AM367" s="15" t="n"/>
      <c r="AN367" s="15" t="n"/>
      <c r="AO367" s="15" t="n"/>
      <c r="AP367" s="10" t="n"/>
      <c r="AQ367" s="15">
        <f>IF($B367="","",IF(OR(ISERROR(MATCH($B367,Community_Master!$A$2:$A$100,0)),$A367="",AND($H367&lt;&gt;"",$I367&gt;$H367),AND($H367&lt;&gt;"",$J367&gt;$H367),$I367&lt;0,$J367&lt;0,$K367&lt;0,$P367&lt;0,$Q367&lt;0,$Y367&lt;0,$Z367&lt;0,$AA367&lt;0,$AB367&lt;0,$AC367&lt;0),"ERROR","OK"))</f>
        <v/>
      </c>
      <c r="AR367" s="15">
        <f>IF($B367="","",TRIM(IF(ISERROR(MATCH($B367,Community_Master!$A$2:$A$100,0)),"Invalid Community_ID; ","")&amp;IF($A367="","Missing Report_Month; ","")&amp;IF(AND($H367&lt;&gt;"",$I367&gt;$H367),"Occupied_Units greater than Total_Units; ","")&amp;IF(AND($H367&lt;&gt;"",$J367&gt;$H367),"Leased_Units greater than Total_Units; ","")&amp;IF($I367&lt;0,"Occupied_Units negative; ","")&amp;IF($J367&lt;0,"Leased_Units negative; ","")&amp;IF($P367&lt;0,"Avg_Market_Rent negative; ","")))</f>
        <v/>
      </c>
    </row>
    <row r="368" ht="15" customHeight="1">
      <c r="A368" s="5" t="n"/>
      <c r="B368" s="15" t="n"/>
      <c r="C368" s="15">
        <f>IFERROR(VLOOKUP($B368,Community_Master!$A$2:$K$100,2,FALSE),"")</f>
        <v/>
      </c>
      <c r="D368" s="15">
        <f>IFERROR(VLOOKUP($B368,Community_Master!$A$2:$K$100,4,FALSE),"")</f>
        <v/>
      </c>
      <c r="E368" s="15">
        <f>IFERROR(VLOOKUP($B368,Community_Master!$A$2:$K$100,5,FALSE),"")</f>
        <v/>
      </c>
      <c r="F368" s="15">
        <f>IFERROR(VLOOKUP($B368,Community_Master!$A$2:$K$100,6,FALSE),"")</f>
        <v/>
      </c>
      <c r="G368" s="15">
        <f>IFERROR(VLOOKUP($B368,Community_Master!$A$2:$K$100,8,FALSE),"")</f>
        <v/>
      </c>
      <c r="H368" s="15">
        <f>IFERROR(VLOOKUP($B368,Community_Master!$A$2:$K$100,7,FALSE),"")</f>
        <v/>
      </c>
      <c r="I368" s="15" t="n"/>
      <c r="J368" s="15" t="n"/>
      <c r="K368" s="15" t="n"/>
      <c r="L368" s="15">
        <f>IF($H368="","",MAX($H368-$I368,0))</f>
        <v/>
      </c>
      <c r="M368" s="6">
        <f>IF($H368="","",IFERROR($I368/$H368,""))</f>
        <v/>
      </c>
      <c r="N368" s="6">
        <f>IF($H368="","",IFERROR($J368/$H368,""))</f>
        <v/>
      </c>
      <c r="O368" s="6" t="n"/>
      <c r="P368" s="7" t="n"/>
      <c r="Q368" s="7" t="n"/>
      <c r="R368" s="7" t="n"/>
      <c r="S368" s="7" t="n"/>
      <c r="T368" s="7">
        <f>IF($H368="","",IFERROR($H368*$P368,""))</f>
        <v/>
      </c>
      <c r="U368" s="7" t="n"/>
      <c r="V368" s="7" t="n"/>
      <c r="W368" s="7" t="n"/>
      <c r="X368" s="7">
        <f>IF(OR($U368="",$W368=""),"",($U368+$V368)-$W368)</f>
        <v/>
      </c>
      <c r="Y368" s="8" t="n"/>
      <c r="Z368" s="8" t="n"/>
      <c r="AA368" s="8" t="n"/>
      <c r="AB368" s="8" t="n"/>
      <c r="AC368" s="8" t="n"/>
      <c r="AD368" s="8" t="n"/>
      <c r="AE368" s="8" t="n"/>
      <c r="AF368" s="8" t="n"/>
      <c r="AG368" s="8" t="n"/>
      <c r="AH368" s="8" t="n"/>
      <c r="AI368" s="9" t="n"/>
      <c r="AJ368" s="8" t="n"/>
      <c r="AK368" s="8" t="n"/>
      <c r="AL368" s="15" t="n"/>
      <c r="AM368" s="15" t="n"/>
      <c r="AN368" s="15" t="n"/>
      <c r="AO368" s="15" t="n"/>
      <c r="AP368" s="10" t="n"/>
      <c r="AQ368" s="15">
        <f>IF($B368="","",IF(OR(ISERROR(MATCH($B368,Community_Master!$A$2:$A$100,0)),$A368="",AND($H368&lt;&gt;"",$I368&gt;$H368),AND($H368&lt;&gt;"",$J368&gt;$H368),$I368&lt;0,$J368&lt;0,$K368&lt;0,$P368&lt;0,$Q368&lt;0,$Y368&lt;0,$Z368&lt;0,$AA368&lt;0,$AB368&lt;0,$AC368&lt;0),"ERROR","OK"))</f>
        <v/>
      </c>
      <c r="AR368" s="15">
        <f>IF($B368="","",TRIM(IF(ISERROR(MATCH($B368,Community_Master!$A$2:$A$100,0)),"Invalid Community_ID; ","")&amp;IF($A368="","Missing Report_Month; ","")&amp;IF(AND($H368&lt;&gt;"",$I368&gt;$H368),"Occupied_Units greater than Total_Units; ","")&amp;IF(AND($H368&lt;&gt;"",$J368&gt;$H368),"Leased_Units greater than Total_Units; ","")&amp;IF($I368&lt;0,"Occupied_Units negative; ","")&amp;IF($J368&lt;0,"Leased_Units negative; ","")&amp;IF($P368&lt;0,"Avg_Market_Rent negative; ","")))</f>
        <v/>
      </c>
    </row>
    <row r="369" ht="15" customHeight="1">
      <c r="A369" s="5" t="n"/>
      <c r="B369" s="15" t="n"/>
      <c r="C369" s="15">
        <f>IFERROR(VLOOKUP($B369,Community_Master!$A$2:$K$100,2,FALSE),"")</f>
        <v/>
      </c>
      <c r="D369" s="15">
        <f>IFERROR(VLOOKUP($B369,Community_Master!$A$2:$K$100,4,FALSE),"")</f>
        <v/>
      </c>
      <c r="E369" s="15">
        <f>IFERROR(VLOOKUP($B369,Community_Master!$A$2:$K$100,5,FALSE),"")</f>
        <v/>
      </c>
      <c r="F369" s="15">
        <f>IFERROR(VLOOKUP($B369,Community_Master!$A$2:$K$100,6,FALSE),"")</f>
        <v/>
      </c>
      <c r="G369" s="15">
        <f>IFERROR(VLOOKUP($B369,Community_Master!$A$2:$K$100,8,FALSE),"")</f>
        <v/>
      </c>
      <c r="H369" s="15">
        <f>IFERROR(VLOOKUP($B369,Community_Master!$A$2:$K$100,7,FALSE),"")</f>
        <v/>
      </c>
      <c r="I369" s="15" t="n"/>
      <c r="J369" s="15" t="n"/>
      <c r="K369" s="15" t="n"/>
      <c r="L369" s="15">
        <f>IF($H369="","",MAX($H369-$I369,0))</f>
        <v/>
      </c>
      <c r="M369" s="6">
        <f>IF($H369="","",IFERROR($I369/$H369,""))</f>
        <v/>
      </c>
      <c r="N369" s="6">
        <f>IF($H369="","",IFERROR($J369/$H369,""))</f>
        <v/>
      </c>
      <c r="O369" s="6" t="n"/>
      <c r="P369" s="7" t="n"/>
      <c r="Q369" s="7" t="n"/>
      <c r="R369" s="7" t="n"/>
      <c r="S369" s="7" t="n"/>
      <c r="T369" s="7">
        <f>IF($H369="","",IFERROR($H369*$P369,""))</f>
        <v/>
      </c>
      <c r="U369" s="7" t="n"/>
      <c r="V369" s="7" t="n"/>
      <c r="W369" s="7" t="n"/>
      <c r="X369" s="7">
        <f>IF(OR($U369="",$W369=""),"",($U369+$V369)-$W369)</f>
        <v/>
      </c>
      <c r="Y369" s="8" t="n"/>
      <c r="Z369" s="8" t="n"/>
      <c r="AA369" s="8" t="n"/>
      <c r="AB369" s="8" t="n"/>
      <c r="AC369" s="8" t="n"/>
      <c r="AD369" s="8" t="n"/>
      <c r="AE369" s="8" t="n"/>
      <c r="AF369" s="8" t="n"/>
      <c r="AG369" s="8" t="n"/>
      <c r="AH369" s="8" t="n"/>
      <c r="AI369" s="9" t="n"/>
      <c r="AJ369" s="8" t="n"/>
      <c r="AK369" s="8" t="n"/>
      <c r="AL369" s="15" t="n"/>
      <c r="AM369" s="15" t="n"/>
      <c r="AN369" s="15" t="n"/>
      <c r="AO369" s="15" t="n"/>
      <c r="AP369" s="10" t="n"/>
      <c r="AQ369" s="15">
        <f>IF($B369="","",IF(OR(ISERROR(MATCH($B369,Community_Master!$A$2:$A$100,0)),$A369="",AND($H369&lt;&gt;"",$I369&gt;$H369),AND($H369&lt;&gt;"",$J369&gt;$H369),$I369&lt;0,$J369&lt;0,$K369&lt;0,$P369&lt;0,$Q369&lt;0,$Y369&lt;0,$Z369&lt;0,$AA369&lt;0,$AB369&lt;0,$AC369&lt;0),"ERROR","OK"))</f>
        <v/>
      </c>
      <c r="AR369" s="15">
        <f>IF($B369="","",TRIM(IF(ISERROR(MATCH($B369,Community_Master!$A$2:$A$100,0)),"Invalid Community_ID; ","")&amp;IF($A369="","Missing Report_Month; ","")&amp;IF(AND($H369&lt;&gt;"",$I369&gt;$H369),"Occupied_Units greater than Total_Units; ","")&amp;IF(AND($H369&lt;&gt;"",$J369&gt;$H369),"Leased_Units greater than Total_Units; ","")&amp;IF($I369&lt;0,"Occupied_Units negative; ","")&amp;IF($J369&lt;0,"Leased_Units negative; ","")&amp;IF($P369&lt;0,"Avg_Market_Rent negative; ","")))</f>
        <v/>
      </c>
    </row>
    <row r="370" ht="15" customHeight="1">
      <c r="A370" s="5" t="n"/>
      <c r="B370" s="15" t="n"/>
      <c r="C370" s="15">
        <f>IFERROR(VLOOKUP($B370,Community_Master!$A$2:$K$100,2,FALSE),"")</f>
        <v/>
      </c>
      <c r="D370" s="15">
        <f>IFERROR(VLOOKUP($B370,Community_Master!$A$2:$K$100,4,FALSE),"")</f>
        <v/>
      </c>
      <c r="E370" s="15">
        <f>IFERROR(VLOOKUP($B370,Community_Master!$A$2:$K$100,5,FALSE),"")</f>
        <v/>
      </c>
      <c r="F370" s="15">
        <f>IFERROR(VLOOKUP($B370,Community_Master!$A$2:$K$100,6,FALSE),"")</f>
        <v/>
      </c>
      <c r="G370" s="15">
        <f>IFERROR(VLOOKUP($B370,Community_Master!$A$2:$K$100,8,FALSE),"")</f>
        <v/>
      </c>
      <c r="H370" s="15">
        <f>IFERROR(VLOOKUP($B370,Community_Master!$A$2:$K$100,7,FALSE),"")</f>
        <v/>
      </c>
      <c r="I370" s="15" t="n"/>
      <c r="J370" s="15" t="n"/>
      <c r="K370" s="15" t="n"/>
      <c r="L370" s="15">
        <f>IF($H370="","",MAX($H370-$I370,0))</f>
        <v/>
      </c>
      <c r="M370" s="6">
        <f>IF($H370="","",IFERROR($I370/$H370,""))</f>
        <v/>
      </c>
      <c r="N370" s="6">
        <f>IF($H370="","",IFERROR($J370/$H370,""))</f>
        <v/>
      </c>
      <c r="O370" s="6" t="n"/>
      <c r="P370" s="7" t="n"/>
      <c r="Q370" s="7" t="n"/>
      <c r="R370" s="7" t="n"/>
      <c r="S370" s="7" t="n"/>
      <c r="T370" s="7">
        <f>IF($H370="","",IFERROR($H370*$P370,""))</f>
        <v/>
      </c>
      <c r="U370" s="7" t="n"/>
      <c r="V370" s="7" t="n"/>
      <c r="W370" s="7" t="n"/>
      <c r="X370" s="7">
        <f>IF(OR($U370="",$W370=""),"",($U370+$V370)-$W370)</f>
        <v/>
      </c>
      <c r="Y370" s="8" t="n"/>
      <c r="Z370" s="8" t="n"/>
      <c r="AA370" s="8" t="n"/>
      <c r="AB370" s="8" t="n"/>
      <c r="AC370" s="8" t="n"/>
      <c r="AD370" s="8" t="n"/>
      <c r="AE370" s="8" t="n"/>
      <c r="AF370" s="8" t="n"/>
      <c r="AG370" s="8" t="n"/>
      <c r="AH370" s="8" t="n"/>
      <c r="AI370" s="9" t="n"/>
      <c r="AJ370" s="8" t="n"/>
      <c r="AK370" s="8" t="n"/>
      <c r="AL370" s="15" t="n"/>
      <c r="AM370" s="15" t="n"/>
      <c r="AN370" s="15" t="n"/>
      <c r="AO370" s="15" t="n"/>
      <c r="AP370" s="10" t="n"/>
      <c r="AQ370" s="15">
        <f>IF($B370="","",IF(OR(ISERROR(MATCH($B370,Community_Master!$A$2:$A$100,0)),$A370="",AND($H370&lt;&gt;"",$I370&gt;$H370),AND($H370&lt;&gt;"",$J370&gt;$H370),$I370&lt;0,$J370&lt;0,$K370&lt;0,$P370&lt;0,$Q370&lt;0,$Y370&lt;0,$Z370&lt;0,$AA370&lt;0,$AB370&lt;0,$AC370&lt;0),"ERROR","OK"))</f>
        <v/>
      </c>
      <c r="AR370" s="15">
        <f>IF($B370="","",TRIM(IF(ISERROR(MATCH($B370,Community_Master!$A$2:$A$100,0)),"Invalid Community_ID; ","")&amp;IF($A370="","Missing Report_Month; ","")&amp;IF(AND($H370&lt;&gt;"",$I370&gt;$H370),"Occupied_Units greater than Total_Units; ","")&amp;IF(AND($H370&lt;&gt;"",$J370&gt;$H370),"Leased_Units greater than Total_Units; ","")&amp;IF($I370&lt;0,"Occupied_Units negative; ","")&amp;IF($J370&lt;0,"Leased_Units negative; ","")&amp;IF($P370&lt;0,"Avg_Market_Rent negative; ","")))</f>
        <v/>
      </c>
    </row>
    <row r="371" ht="15" customHeight="1">
      <c r="A371" s="5" t="n"/>
      <c r="B371" s="15" t="n"/>
      <c r="C371" s="15">
        <f>IFERROR(VLOOKUP($B371,Community_Master!$A$2:$K$100,2,FALSE),"")</f>
        <v/>
      </c>
      <c r="D371" s="15">
        <f>IFERROR(VLOOKUP($B371,Community_Master!$A$2:$K$100,4,FALSE),"")</f>
        <v/>
      </c>
      <c r="E371" s="15">
        <f>IFERROR(VLOOKUP($B371,Community_Master!$A$2:$K$100,5,FALSE),"")</f>
        <v/>
      </c>
      <c r="F371" s="15">
        <f>IFERROR(VLOOKUP($B371,Community_Master!$A$2:$K$100,6,FALSE),"")</f>
        <v/>
      </c>
      <c r="G371" s="15">
        <f>IFERROR(VLOOKUP($B371,Community_Master!$A$2:$K$100,8,FALSE),"")</f>
        <v/>
      </c>
      <c r="H371" s="15">
        <f>IFERROR(VLOOKUP($B371,Community_Master!$A$2:$K$100,7,FALSE),"")</f>
        <v/>
      </c>
      <c r="I371" s="15" t="n"/>
      <c r="J371" s="15" t="n"/>
      <c r="K371" s="15" t="n"/>
      <c r="L371" s="15">
        <f>IF($H371="","",MAX($H371-$I371,0))</f>
        <v/>
      </c>
      <c r="M371" s="6">
        <f>IF($H371="","",IFERROR($I371/$H371,""))</f>
        <v/>
      </c>
      <c r="N371" s="6">
        <f>IF($H371="","",IFERROR($J371/$H371,""))</f>
        <v/>
      </c>
      <c r="O371" s="6" t="n"/>
      <c r="P371" s="7" t="n"/>
      <c r="Q371" s="7" t="n"/>
      <c r="R371" s="7" t="n"/>
      <c r="S371" s="7" t="n"/>
      <c r="T371" s="7">
        <f>IF($H371="","",IFERROR($H371*$P371,""))</f>
        <v/>
      </c>
      <c r="U371" s="7" t="n"/>
      <c r="V371" s="7" t="n"/>
      <c r="W371" s="7" t="n"/>
      <c r="X371" s="7">
        <f>IF(OR($U371="",$W371=""),"",($U371+$V371)-$W371)</f>
        <v/>
      </c>
      <c r="Y371" s="8" t="n"/>
      <c r="Z371" s="8" t="n"/>
      <c r="AA371" s="8" t="n"/>
      <c r="AB371" s="8" t="n"/>
      <c r="AC371" s="8" t="n"/>
      <c r="AD371" s="8" t="n"/>
      <c r="AE371" s="8" t="n"/>
      <c r="AF371" s="8" t="n"/>
      <c r="AG371" s="8" t="n"/>
      <c r="AH371" s="8" t="n"/>
      <c r="AI371" s="9" t="n"/>
      <c r="AJ371" s="8" t="n"/>
      <c r="AK371" s="8" t="n"/>
      <c r="AL371" s="15" t="n"/>
      <c r="AM371" s="15" t="n"/>
      <c r="AN371" s="15" t="n"/>
      <c r="AO371" s="15" t="n"/>
      <c r="AP371" s="10" t="n"/>
      <c r="AQ371" s="15">
        <f>IF($B371="","",IF(OR(ISERROR(MATCH($B371,Community_Master!$A$2:$A$100,0)),$A371="",AND($H371&lt;&gt;"",$I371&gt;$H371),AND($H371&lt;&gt;"",$J371&gt;$H371),$I371&lt;0,$J371&lt;0,$K371&lt;0,$P371&lt;0,$Q371&lt;0,$Y371&lt;0,$Z371&lt;0,$AA371&lt;0,$AB371&lt;0,$AC371&lt;0),"ERROR","OK"))</f>
        <v/>
      </c>
      <c r="AR371" s="15">
        <f>IF($B371="","",TRIM(IF(ISERROR(MATCH($B371,Community_Master!$A$2:$A$100,0)),"Invalid Community_ID; ","")&amp;IF($A371="","Missing Report_Month; ","")&amp;IF(AND($H371&lt;&gt;"",$I371&gt;$H371),"Occupied_Units greater than Total_Units; ","")&amp;IF(AND($H371&lt;&gt;"",$J371&gt;$H371),"Leased_Units greater than Total_Units; ","")&amp;IF($I371&lt;0,"Occupied_Units negative; ","")&amp;IF($J371&lt;0,"Leased_Units negative; ","")&amp;IF($P371&lt;0,"Avg_Market_Rent negative; ","")))</f>
        <v/>
      </c>
    </row>
    <row r="372" ht="15" customHeight="1">
      <c r="A372" s="5" t="n"/>
      <c r="B372" s="15" t="n"/>
      <c r="C372" s="15">
        <f>IFERROR(VLOOKUP($B372,Community_Master!$A$2:$K$100,2,FALSE),"")</f>
        <v/>
      </c>
      <c r="D372" s="15">
        <f>IFERROR(VLOOKUP($B372,Community_Master!$A$2:$K$100,4,FALSE),"")</f>
        <v/>
      </c>
      <c r="E372" s="15">
        <f>IFERROR(VLOOKUP($B372,Community_Master!$A$2:$K$100,5,FALSE),"")</f>
        <v/>
      </c>
      <c r="F372" s="15">
        <f>IFERROR(VLOOKUP($B372,Community_Master!$A$2:$K$100,6,FALSE),"")</f>
        <v/>
      </c>
      <c r="G372" s="15">
        <f>IFERROR(VLOOKUP($B372,Community_Master!$A$2:$K$100,8,FALSE),"")</f>
        <v/>
      </c>
      <c r="H372" s="15">
        <f>IFERROR(VLOOKUP($B372,Community_Master!$A$2:$K$100,7,FALSE),"")</f>
        <v/>
      </c>
      <c r="I372" s="15" t="n"/>
      <c r="J372" s="15" t="n"/>
      <c r="K372" s="15" t="n"/>
      <c r="L372" s="15">
        <f>IF($H372="","",MAX($H372-$I372,0))</f>
        <v/>
      </c>
      <c r="M372" s="6">
        <f>IF($H372="","",IFERROR($I372/$H372,""))</f>
        <v/>
      </c>
      <c r="N372" s="6">
        <f>IF($H372="","",IFERROR($J372/$H372,""))</f>
        <v/>
      </c>
      <c r="O372" s="6" t="n"/>
      <c r="P372" s="7" t="n"/>
      <c r="Q372" s="7" t="n"/>
      <c r="R372" s="7" t="n"/>
      <c r="S372" s="7" t="n"/>
      <c r="T372" s="7">
        <f>IF($H372="","",IFERROR($H372*$P372,""))</f>
        <v/>
      </c>
      <c r="U372" s="7" t="n"/>
      <c r="V372" s="7" t="n"/>
      <c r="W372" s="7" t="n"/>
      <c r="X372" s="7">
        <f>IF(OR($U372="",$W372=""),"",($U372+$V372)-$W372)</f>
        <v/>
      </c>
      <c r="Y372" s="8" t="n"/>
      <c r="Z372" s="8" t="n"/>
      <c r="AA372" s="8" t="n"/>
      <c r="AB372" s="8" t="n"/>
      <c r="AC372" s="8" t="n"/>
      <c r="AD372" s="8" t="n"/>
      <c r="AE372" s="8" t="n"/>
      <c r="AF372" s="8" t="n"/>
      <c r="AG372" s="8" t="n"/>
      <c r="AH372" s="8" t="n"/>
      <c r="AI372" s="9" t="n"/>
      <c r="AJ372" s="8" t="n"/>
      <c r="AK372" s="8" t="n"/>
      <c r="AL372" s="15" t="n"/>
      <c r="AM372" s="15" t="n"/>
      <c r="AN372" s="15" t="n"/>
      <c r="AO372" s="15" t="n"/>
      <c r="AP372" s="10" t="n"/>
      <c r="AQ372" s="15">
        <f>IF($B372="","",IF(OR(ISERROR(MATCH($B372,Community_Master!$A$2:$A$100,0)),$A372="",AND($H372&lt;&gt;"",$I372&gt;$H372),AND($H372&lt;&gt;"",$J372&gt;$H372),$I372&lt;0,$J372&lt;0,$K372&lt;0,$P372&lt;0,$Q372&lt;0,$Y372&lt;0,$Z372&lt;0,$AA372&lt;0,$AB372&lt;0,$AC372&lt;0),"ERROR","OK"))</f>
        <v/>
      </c>
      <c r="AR372" s="15">
        <f>IF($B372="","",TRIM(IF(ISERROR(MATCH($B372,Community_Master!$A$2:$A$100,0)),"Invalid Community_ID; ","")&amp;IF($A372="","Missing Report_Month; ","")&amp;IF(AND($H372&lt;&gt;"",$I372&gt;$H372),"Occupied_Units greater than Total_Units; ","")&amp;IF(AND($H372&lt;&gt;"",$J372&gt;$H372),"Leased_Units greater than Total_Units; ","")&amp;IF($I372&lt;0,"Occupied_Units negative; ","")&amp;IF($J372&lt;0,"Leased_Units negative; ","")&amp;IF($P372&lt;0,"Avg_Market_Rent negative; ","")))</f>
        <v/>
      </c>
    </row>
    <row r="373" ht="15" customHeight="1">
      <c r="A373" s="5" t="n"/>
      <c r="B373" s="15" t="n"/>
      <c r="C373" s="15">
        <f>IFERROR(VLOOKUP($B373,Community_Master!$A$2:$K$100,2,FALSE),"")</f>
        <v/>
      </c>
      <c r="D373" s="15">
        <f>IFERROR(VLOOKUP($B373,Community_Master!$A$2:$K$100,4,FALSE),"")</f>
        <v/>
      </c>
      <c r="E373" s="15">
        <f>IFERROR(VLOOKUP($B373,Community_Master!$A$2:$K$100,5,FALSE),"")</f>
        <v/>
      </c>
      <c r="F373" s="15">
        <f>IFERROR(VLOOKUP($B373,Community_Master!$A$2:$K$100,6,FALSE),"")</f>
        <v/>
      </c>
      <c r="G373" s="15">
        <f>IFERROR(VLOOKUP($B373,Community_Master!$A$2:$K$100,8,FALSE),"")</f>
        <v/>
      </c>
      <c r="H373" s="15">
        <f>IFERROR(VLOOKUP($B373,Community_Master!$A$2:$K$100,7,FALSE),"")</f>
        <v/>
      </c>
      <c r="I373" s="15" t="n"/>
      <c r="J373" s="15" t="n"/>
      <c r="K373" s="15" t="n"/>
      <c r="L373" s="15">
        <f>IF($H373="","",MAX($H373-$I373,0))</f>
        <v/>
      </c>
      <c r="M373" s="6">
        <f>IF($H373="","",IFERROR($I373/$H373,""))</f>
        <v/>
      </c>
      <c r="N373" s="6">
        <f>IF($H373="","",IFERROR($J373/$H373,""))</f>
        <v/>
      </c>
      <c r="O373" s="6" t="n"/>
      <c r="P373" s="7" t="n"/>
      <c r="Q373" s="7" t="n"/>
      <c r="R373" s="7" t="n"/>
      <c r="S373" s="7" t="n"/>
      <c r="T373" s="7">
        <f>IF($H373="","",IFERROR($H373*$P373,""))</f>
        <v/>
      </c>
      <c r="U373" s="7" t="n"/>
      <c r="V373" s="7" t="n"/>
      <c r="W373" s="7" t="n"/>
      <c r="X373" s="7">
        <f>IF(OR($U373="",$W373=""),"",($U373+$V373)-$W373)</f>
        <v/>
      </c>
      <c r="Y373" s="8" t="n"/>
      <c r="Z373" s="8" t="n"/>
      <c r="AA373" s="8" t="n"/>
      <c r="AB373" s="8" t="n"/>
      <c r="AC373" s="8" t="n"/>
      <c r="AD373" s="8" t="n"/>
      <c r="AE373" s="8" t="n"/>
      <c r="AF373" s="8" t="n"/>
      <c r="AG373" s="8" t="n"/>
      <c r="AH373" s="8" t="n"/>
      <c r="AI373" s="9" t="n"/>
      <c r="AJ373" s="8" t="n"/>
      <c r="AK373" s="8" t="n"/>
      <c r="AL373" s="15" t="n"/>
      <c r="AM373" s="15" t="n"/>
      <c r="AN373" s="15" t="n"/>
      <c r="AO373" s="15" t="n"/>
      <c r="AP373" s="10" t="n"/>
      <c r="AQ373" s="15">
        <f>IF($B373="","",IF(OR(ISERROR(MATCH($B373,Community_Master!$A$2:$A$100,0)),$A373="",AND($H373&lt;&gt;"",$I373&gt;$H373),AND($H373&lt;&gt;"",$J373&gt;$H373),$I373&lt;0,$J373&lt;0,$K373&lt;0,$P373&lt;0,$Q373&lt;0,$Y373&lt;0,$Z373&lt;0,$AA373&lt;0,$AB373&lt;0,$AC373&lt;0),"ERROR","OK"))</f>
        <v/>
      </c>
      <c r="AR373" s="15">
        <f>IF($B373="","",TRIM(IF(ISERROR(MATCH($B373,Community_Master!$A$2:$A$100,0)),"Invalid Community_ID; ","")&amp;IF($A373="","Missing Report_Month; ","")&amp;IF(AND($H373&lt;&gt;"",$I373&gt;$H373),"Occupied_Units greater than Total_Units; ","")&amp;IF(AND($H373&lt;&gt;"",$J373&gt;$H373),"Leased_Units greater than Total_Units; ","")&amp;IF($I373&lt;0,"Occupied_Units negative; ","")&amp;IF($J373&lt;0,"Leased_Units negative; ","")&amp;IF($P373&lt;0,"Avg_Market_Rent negative; ","")))</f>
        <v/>
      </c>
    </row>
    <row r="374" ht="15" customHeight="1">
      <c r="A374" s="5" t="n"/>
      <c r="B374" s="15" t="n"/>
      <c r="C374" s="15">
        <f>IFERROR(VLOOKUP($B374,Community_Master!$A$2:$K$100,2,FALSE),"")</f>
        <v/>
      </c>
      <c r="D374" s="15">
        <f>IFERROR(VLOOKUP($B374,Community_Master!$A$2:$K$100,4,FALSE),"")</f>
        <v/>
      </c>
      <c r="E374" s="15">
        <f>IFERROR(VLOOKUP($B374,Community_Master!$A$2:$K$100,5,FALSE),"")</f>
        <v/>
      </c>
      <c r="F374" s="15">
        <f>IFERROR(VLOOKUP($B374,Community_Master!$A$2:$K$100,6,FALSE),"")</f>
        <v/>
      </c>
      <c r="G374" s="15">
        <f>IFERROR(VLOOKUP($B374,Community_Master!$A$2:$K$100,8,FALSE),"")</f>
        <v/>
      </c>
      <c r="H374" s="15">
        <f>IFERROR(VLOOKUP($B374,Community_Master!$A$2:$K$100,7,FALSE),"")</f>
        <v/>
      </c>
      <c r="I374" s="15" t="n"/>
      <c r="J374" s="15" t="n"/>
      <c r="K374" s="15" t="n"/>
      <c r="L374" s="15">
        <f>IF($H374="","",MAX($H374-$I374,0))</f>
        <v/>
      </c>
      <c r="M374" s="6">
        <f>IF($H374="","",IFERROR($I374/$H374,""))</f>
        <v/>
      </c>
      <c r="N374" s="6">
        <f>IF($H374="","",IFERROR($J374/$H374,""))</f>
        <v/>
      </c>
      <c r="O374" s="6" t="n"/>
      <c r="P374" s="7" t="n"/>
      <c r="Q374" s="7" t="n"/>
      <c r="R374" s="7" t="n"/>
      <c r="S374" s="7" t="n"/>
      <c r="T374" s="7">
        <f>IF($H374="","",IFERROR($H374*$P374,""))</f>
        <v/>
      </c>
      <c r="U374" s="7" t="n"/>
      <c r="V374" s="7" t="n"/>
      <c r="W374" s="7" t="n"/>
      <c r="X374" s="7">
        <f>IF(OR($U374="",$W374=""),"",($U374+$V374)-$W374)</f>
        <v/>
      </c>
      <c r="Y374" s="8" t="n"/>
      <c r="Z374" s="8" t="n"/>
      <c r="AA374" s="8" t="n"/>
      <c r="AB374" s="8" t="n"/>
      <c r="AC374" s="8" t="n"/>
      <c r="AD374" s="8" t="n"/>
      <c r="AE374" s="8" t="n"/>
      <c r="AF374" s="8" t="n"/>
      <c r="AG374" s="8" t="n"/>
      <c r="AH374" s="8" t="n"/>
      <c r="AI374" s="9" t="n"/>
      <c r="AJ374" s="8" t="n"/>
      <c r="AK374" s="8" t="n"/>
      <c r="AL374" s="15" t="n"/>
      <c r="AM374" s="15" t="n"/>
      <c r="AN374" s="15" t="n"/>
      <c r="AO374" s="15" t="n"/>
      <c r="AP374" s="10" t="n"/>
      <c r="AQ374" s="15">
        <f>IF($B374="","",IF(OR(ISERROR(MATCH($B374,Community_Master!$A$2:$A$100,0)),$A374="",AND($H374&lt;&gt;"",$I374&gt;$H374),AND($H374&lt;&gt;"",$J374&gt;$H374),$I374&lt;0,$J374&lt;0,$K374&lt;0,$P374&lt;0,$Q374&lt;0,$Y374&lt;0,$Z374&lt;0,$AA374&lt;0,$AB374&lt;0,$AC374&lt;0),"ERROR","OK"))</f>
        <v/>
      </c>
      <c r="AR374" s="15">
        <f>IF($B374="","",TRIM(IF(ISERROR(MATCH($B374,Community_Master!$A$2:$A$100,0)),"Invalid Community_ID; ","")&amp;IF($A374="","Missing Report_Month; ","")&amp;IF(AND($H374&lt;&gt;"",$I374&gt;$H374),"Occupied_Units greater than Total_Units; ","")&amp;IF(AND($H374&lt;&gt;"",$J374&gt;$H374),"Leased_Units greater than Total_Units; ","")&amp;IF($I374&lt;0,"Occupied_Units negative; ","")&amp;IF($J374&lt;0,"Leased_Units negative; ","")&amp;IF($P374&lt;0,"Avg_Market_Rent negative; ","")))</f>
        <v/>
      </c>
    </row>
    <row r="375" ht="15" customHeight="1">
      <c r="A375" s="5" t="n"/>
      <c r="B375" s="15" t="n"/>
      <c r="C375" s="15">
        <f>IFERROR(VLOOKUP($B375,Community_Master!$A$2:$K$100,2,FALSE),"")</f>
        <v/>
      </c>
      <c r="D375" s="15">
        <f>IFERROR(VLOOKUP($B375,Community_Master!$A$2:$K$100,4,FALSE),"")</f>
        <v/>
      </c>
      <c r="E375" s="15">
        <f>IFERROR(VLOOKUP($B375,Community_Master!$A$2:$K$100,5,FALSE),"")</f>
        <v/>
      </c>
      <c r="F375" s="15">
        <f>IFERROR(VLOOKUP($B375,Community_Master!$A$2:$K$100,6,FALSE),"")</f>
        <v/>
      </c>
      <c r="G375" s="15">
        <f>IFERROR(VLOOKUP($B375,Community_Master!$A$2:$K$100,8,FALSE),"")</f>
        <v/>
      </c>
      <c r="H375" s="15">
        <f>IFERROR(VLOOKUP($B375,Community_Master!$A$2:$K$100,7,FALSE),"")</f>
        <v/>
      </c>
      <c r="I375" s="15" t="n"/>
      <c r="J375" s="15" t="n"/>
      <c r="K375" s="15" t="n"/>
      <c r="L375" s="15">
        <f>IF($H375="","",MAX($H375-$I375,0))</f>
        <v/>
      </c>
      <c r="M375" s="6">
        <f>IF($H375="","",IFERROR($I375/$H375,""))</f>
        <v/>
      </c>
      <c r="N375" s="6">
        <f>IF($H375="","",IFERROR($J375/$H375,""))</f>
        <v/>
      </c>
      <c r="O375" s="6" t="n"/>
      <c r="P375" s="7" t="n"/>
      <c r="Q375" s="7" t="n"/>
      <c r="R375" s="7" t="n"/>
      <c r="S375" s="7" t="n"/>
      <c r="T375" s="7">
        <f>IF($H375="","",IFERROR($H375*$P375,""))</f>
        <v/>
      </c>
      <c r="U375" s="7" t="n"/>
      <c r="V375" s="7" t="n"/>
      <c r="W375" s="7" t="n"/>
      <c r="X375" s="7">
        <f>IF(OR($U375="",$W375=""),"",($U375+$V375)-$W375)</f>
        <v/>
      </c>
      <c r="Y375" s="8" t="n"/>
      <c r="Z375" s="8" t="n"/>
      <c r="AA375" s="8" t="n"/>
      <c r="AB375" s="8" t="n"/>
      <c r="AC375" s="8" t="n"/>
      <c r="AD375" s="8" t="n"/>
      <c r="AE375" s="8" t="n"/>
      <c r="AF375" s="8" t="n"/>
      <c r="AG375" s="8" t="n"/>
      <c r="AH375" s="8" t="n"/>
      <c r="AI375" s="9" t="n"/>
      <c r="AJ375" s="8" t="n"/>
      <c r="AK375" s="8" t="n"/>
      <c r="AL375" s="15" t="n"/>
      <c r="AM375" s="15" t="n"/>
      <c r="AN375" s="15" t="n"/>
      <c r="AO375" s="15" t="n"/>
      <c r="AP375" s="10" t="n"/>
      <c r="AQ375" s="15">
        <f>IF($B375="","",IF(OR(ISERROR(MATCH($B375,Community_Master!$A$2:$A$100,0)),$A375="",AND($H375&lt;&gt;"",$I375&gt;$H375),AND($H375&lt;&gt;"",$J375&gt;$H375),$I375&lt;0,$J375&lt;0,$K375&lt;0,$P375&lt;0,$Q375&lt;0,$Y375&lt;0,$Z375&lt;0,$AA375&lt;0,$AB375&lt;0,$AC375&lt;0),"ERROR","OK"))</f>
        <v/>
      </c>
      <c r="AR375" s="15">
        <f>IF($B375="","",TRIM(IF(ISERROR(MATCH($B375,Community_Master!$A$2:$A$100,0)),"Invalid Community_ID; ","")&amp;IF($A375="","Missing Report_Month; ","")&amp;IF(AND($H375&lt;&gt;"",$I375&gt;$H375),"Occupied_Units greater than Total_Units; ","")&amp;IF(AND($H375&lt;&gt;"",$J375&gt;$H375),"Leased_Units greater than Total_Units; ","")&amp;IF($I375&lt;0,"Occupied_Units negative; ","")&amp;IF($J375&lt;0,"Leased_Units negative; ","")&amp;IF($P375&lt;0,"Avg_Market_Rent negative; ","")))</f>
        <v/>
      </c>
    </row>
    <row r="376" ht="15" customHeight="1">
      <c r="A376" s="5" t="n"/>
      <c r="B376" s="15" t="n"/>
      <c r="C376" s="15">
        <f>IFERROR(VLOOKUP($B376,Community_Master!$A$2:$K$100,2,FALSE),"")</f>
        <v/>
      </c>
      <c r="D376" s="15">
        <f>IFERROR(VLOOKUP($B376,Community_Master!$A$2:$K$100,4,FALSE),"")</f>
        <v/>
      </c>
      <c r="E376" s="15">
        <f>IFERROR(VLOOKUP($B376,Community_Master!$A$2:$K$100,5,FALSE),"")</f>
        <v/>
      </c>
      <c r="F376" s="15">
        <f>IFERROR(VLOOKUP($B376,Community_Master!$A$2:$K$100,6,FALSE),"")</f>
        <v/>
      </c>
      <c r="G376" s="15">
        <f>IFERROR(VLOOKUP($B376,Community_Master!$A$2:$K$100,8,FALSE),"")</f>
        <v/>
      </c>
      <c r="H376" s="15">
        <f>IFERROR(VLOOKUP($B376,Community_Master!$A$2:$K$100,7,FALSE),"")</f>
        <v/>
      </c>
      <c r="I376" s="15" t="n"/>
      <c r="J376" s="15" t="n"/>
      <c r="K376" s="15" t="n"/>
      <c r="L376" s="15">
        <f>IF($H376="","",MAX($H376-$I376,0))</f>
        <v/>
      </c>
      <c r="M376" s="6">
        <f>IF($H376="","",IFERROR($I376/$H376,""))</f>
        <v/>
      </c>
      <c r="N376" s="6">
        <f>IF($H376="","",IFERROR($J376/$H376,""))</f>
        <v/>
      </c>
      <c r="O376" s="6" t="n"/>
      <c r="P376" s="7" t="n"/>
      <c r="Q376" s="7" t="n"/>
      <c r="R376" s="7" t="n"/>
      <c r="S376" s="7" t="n"/>
      <c r="T376" s="7">
        <f>IF($H376="","",IFERROR($H376*$P376,""))</f>
        <v/>
      </c>
      <c r="U376" s="7" t="n"/>
      <c r="V376" s="7" t="n"/>
      <c r="W376" s="7" t="n"/>
      <c r="X376" s="7">
        <f>IF(OR($U376="",$W376=""),"",($U376+$V376)-$W376)</f>
        <v/>
      </c>
      <c r="Y376" s="8" t="n"/>
      <c r="Z376" s="8" t="n"/>
      <c r="AA376" s="8" t="n"/>
      <c r="AB376" s="8" t="n"/>
      <c r="AC376" s="8" t="n"/>
      <c r="AD376" s="8" t="n"/>
      <c r="AE376" s="8" t="n"/>
      <c r="AF376" s="8" t="n"/>
      <c r="AG376" s="8" t="n"/>
      <c r="AH376" s="8" t="n"/>
      <c r="AI376" s="9" t="n"/>
      <c r="AJ376" s="8" t="n"/>
      <c r="AK376" s="8" t="n"/>
      <c r="AL376" s="15" t="n"/>
      <c r="AM376" s="15" t="n"/>
      <c r="AN376" s="15" t="n"/>
      <c r="AO376" s="15" t="n"/>
      <c r="AP376" s="10" t="n"/>
      <c r="AQ376" s="15">
        <f>IF($B376="","",IF(OR(ISERROR(MATCH($B376,Community_Master!$A$2:$A$100,0)),$A376="",AND($H376&lt;&gt;"",$I376&gt;$H376),AND($H376&lt;&gt;"",$J376&gt;$H376),$I376&lt;0,$J376&lt;0,$K376&lt;0,$P376&lt;0,$Q376&lt;0,$Y376&lt;0,$Z376&lt;0,$AA376&lt;0,$AB376&lt;0,$AC376&lt;0),"ERROR","OK"))</f>
        <v/>
      </c>
      <c r="AR376" s="15">
        <f>IF($B376="","",TRIM(IF(ISERROR(MATCH($B376,Community_Master!$A$2:$A$100,0)),"Invalid Community_ID; ","")&amp;IF($A376="","Missing Report_Month; ","")&amp;IF(AND($H376&lt;&gt;"",$I376&gt;$H376),"Occupied_Units greater than Total_Units; ","")&amp;IF(AND($H376&lt;&gt;"",$J376&gt;$H376),"Leased_Units greater than Total_Units; ","")&amp;IF($I376&lt;0,"Occupied_Units negative; ","")&amp;IF($J376&lt;0,"Leased_Units negative; ","")&amp;IF($P376&lt;0,"Avg_Market_Rent negative; ","")))</f>
        <v/>
      </c>
    </row>
    <row r="377" ht="15" customHeight="1">
      <c r="A377" s="5" t="n"/>
      <c r="B377" s="15" t="n"/>
      <c r="C377" s="15">
        <f>IFERROR(VLOOKUP($B377,Community_Master!$A$2:$K$100,2,FALSE),"")</f>
        <v/>
      </c>
      <c r="D377" s="15">
        <f>IFERROR(VLOOKUP($B377,Community_Master!$A$2:$K$100,4,FALSE),"")</f>
        <v/>
      </c>
      <c r="E377" s="15">
        <f>IFERROR(VLOOKUP($B377,Community_Master!$A$2:$K$100,5,FALSE),"")</f>
        <v/>
      </c>
      <c r="F377" s="15">
        <f>IFERROR(VLOOKUP($B377,Community_Master!$A$2:$K$100,6,FALSE),"")</f>
        <v/>
      </c>
      <c r="G377" s="15">
        <f>IFERROR(VLOOKUP($B377,Community_Master!$A$2:$K$100,8,FALSE),"")</f>
        <v/>
      </c>
      <c r="H377" s="15">
        <f>IFERROR(VLOOKUP($B377,Community_Master!$A$2:$K$100,7,FALSE),"")</f>
        <v/>
      </c>
      <c r="I377" s="15" t="n"/>
      <c r="J377" s="15" t="n"/>
      <c r="K377" s="15" t="n"/>
      <c r="L377" s="15">
        <f>IF($H377="","",MAX($H377-$I377,0))</f>
        <v/>
      </c>
      <c r="M377" s="6">
        <f>IF($H377="","",IFERROR($I377/$H377,""))</f>
        <v/>
      </c>
      <c r="N377" s="6">
        <f>IF($H377="","",IFERROR($J377/$H377,""))</f>
        <v/>
      </c>
      <c r="O377" s="6" t="n"/>
      <c r="P377" s="7" t="n"/>
      <c r="Q377" s="7" t="n"/>
      <c r="R377" s="7" t="n"/>
      <c r="S377" s="7" t="n"/>
      <c r="T377" s="7">
        <f>IF($H377="","",IFERROR($H377*$P377,""))</f>
        <v/>
      </c>
      <c r="U377" s="7" t="n"/>
      <c r="V377" s="7" t="n"/>
      <c r="W377" s="7" t="n"/>
      <c r="X377" s="7">
        <f>IF(OR($U377="",$W377=""),"",($U377+$V377)-$W377)</f>
        <v/>
      </c>
      <c r="Y377" s="8" t="n"/>
      <c r="Z377" s="8" t="n"/>
      <c r="AA377" s="8" t="n"/>
      <c r="AB377" s="8" t="n"/>
      <c r="AC377" s="8" t="n"/>
      <c r="AD377" s="8" t="n"/>
      <c r="AE377" s="8" t="n"/>
      <c r="AF377" s="8" t="n"/>
      <c r="AG377" s="8" t="n"/>
      <c r="AH377" s="8" t="n"/>
      <c r="AI377" s="9" t="n"/>
      <c r="AJ377" s="8" t="n"/>
      <c r="AK377" s="8" t="n"/>
      <c r="AL377" s="15" t="n"/>
      <c r="AM377" s="15" t="n"/>
      <c r="AN377" s="15" t="n"/>
      <c r="AO377" s="15" t="n"/>
      <c r="AP377" s="10" t="n"/>
      <c r="AQ377" s="15">
        <f>IF($B377="","",IF(OR(ISERROR(MATCH($B377,Community_Master!$A$2:$A$100,0)),$A377="",AND($H377&lt;&gt;"",$I377&gt;$H377),AND($H377&lt;&gt;"",$J377&gt;$H377),$I377&lt;0,$J377&lt;0,$K377&lt;0,$P377&lt;0,$Q377&lt;0,$Y377&lt;0,$Z377&lt;0,$AA377&lt;0,$AB377&lt;0,$AC377&lt;0),"ERROR","OK"))</f>
        <v/>
      </c>
      <c r="AR377" s="15">
        <f>IF($B377="","",TRIM(IF(ISERROR(MATCH($B377,Community_Master!$A$2:$A$100,0)),"Invalid Community_ID; ","")&amp;IF($A377="","Missing Report_Month; ","")&amp;IF(AND($H377&lt;&gt;"",$I377&gt;$H377),"Occupied_Units greater than Total_Units; ","")&amp;IF(AND($H377&lt;&gt;"",$J377&gt;$H377),"Leased_Units greater than Total_Units; ","")&amp;IF($I377&lt;0,"Occupied_Units negative; ","")&amp;IF($J377&lt;0,"Leased_Units negative; ","")&amp;IF($P377&lt;0,"Avg_Market_Rent negative; ","")))</f>
        <v/>
      </c>
    </row>
    <row r="378" ht="15" customHeight="1">
      <c r="A378" s="5" t="n"/>
      <c r="B378" s="15" t="n"/>
      <c r="C378" s="15">
        <f>IFERROR(VLOOKUP($B378,Community_Master!$A$2:$K$100,2,FALSE),"")</f>
        <v/>
      </c>
      <c r="D378" s="15">
        <f>IFERROR(VLOOKUP($B378,Community_Master!$A$2:$K$100,4,FALSE),"")</f>
        <v/>
      </c>
      <c r="E378" s="15">
        <f>IFERROR(VLOOKUP($B378,Community_Master!$A$2:$K$100,5,FALSE),"")</f>
        <v/>
      </c>
      <c r="F378" s="15">
        <f>IFERROR(VLOOKUP($B378,Community_Master!$A$2:$K$100,6,FALSE),"")</f>
        <v/>
      </c>
      <c r="G378" s="15">
        <f>IFERROR(VLOOKUP($B378,Community_Master!$A$2:$K$100,8,FALSE),"")</f>
        <v/>
      </c>
      <c r="H378" s="15">
        <f>IFERROR(VLOOKUP($B378,Community_Master!$A$2:$K$100,7,FALSE),"")</f>
        <v/>
      </c>
      <c r="I378" s="15" t="n"/>
      <c r="J378" s="15" t="n"/>
      <c r="K378" s="15" t="n"/>
      <c r="L378" s="15">
        <f>IF($H378="","",MAX($H378-$I378,0))</f>
        <v/>
      </c>
      <c r="M378" s="6">
        <f>IF($H378="","",IFERROR($I378/$H378,""))</f>
        <v/>
      </c>
      <c r="N378" s="6">
        <f>IF($H378="","",IFERROR($J378/$H378,""))</f>
        <v/>
      </c>
      <c r="O378" s="6" t="n"/>
      <c r="P378" s="7" t="n"/>
      <c r="Q378" s="7" t="n"/>
      <c r="R378" s="7" t="n"/>
      <c r="S378" s="7" t="n"/>
      <c r="T378" s="7">
        <f>IF($H378="","",IFERROR($H378*$P378,""))</f>
        <v/>
      </c>
      <c r="U378" s="7" t="n"/>
      <c r="V378" s="7" t="n"/>
      <c r="W378" s="7" t="n"/>
      <c r="X378" s="7">
        <f>IF(OR($U378="",$W378=""),"",($U378+$V378)-$W378)</f>
        <v/>
      </c>
      <c r="Y378" s="8" t="n"/>
      <c r="Z378" s="8" t="n"/>
      <c r="AA378" s="8" t="n"/>
      <c r="AB378" s="8" t="n"/>
      <c r="AC378" s="8" t="n"/>
      <c r="AD378" s="8" t="n"/>
      <c r="AE378" s="8" t="n"/>
      <c r="AF378" s="8" t="n"/>
      <c r="AG378" s="8" t="n"/>
      <c r="AH378" s="8" t="n"/>
      <c r="AI378" s="9" t="n"/>
      <c r="AJ378" s="8" t="n"/>
      <c r="AK378" s="8" t="n"/>
      <c r="AL378" s="15" t="n"/>
      <c r="AM378" s="15" t="n"/>
      <c r="AN378" s="15" t="n"/>
      <c r="AO378" s="15" t="n"/>
      <c r="AP378" s="10" t="n"/>
      <c r="AQ378" s="15">
        <f>IF($B378="","",IF(OR(ISERROR(MATCH($B378,Community_Master!$A$2:$A$100,0)),$A378="",AND($H378&lt;&gt;"",$I378&gt;$H378),AND($H378&lt;&gt;"",$J378&gt;$H378),$I378&lt;0,$J378&lt;0,$K378&lt;0,$P378&lt;0,$Q378&lt;0,$Y378&lt;0,$Z378&lt;0,$AA378&lt;0,$AB378&lt;0,$AC378&lt;0),"ERROR","OK"))</f>
        <v/>
      </c>
      <c r="AR378" s="15">
        <f>IF($B378="","",TRIM(IF(ISERROR(MATCH($B378,Community_Master!$A$2:$A$100,0)),"Invalid Community_ID; ","")&amp;IF($A378="","Missing Report_Month; ","")&amp;IF(AND($H378&lt;&gt;"",$I378&gt;$H378),"Occupied_Units greater than Total_Units; ","")&amp;IF(AND($H378&lt;&gt;"",$J378&gt;$H378),"Leased_Units greater than Total_Units; ","")&amp;IF($I378&lt;0,"Occupied_Units negative; ","")&amp;IF($J378&lt;0,"Leased_Units negative; ","")&amp;IF($P378&lt;0,"Avg_Market_Rent negative; ","")))</f>
        <v/>
      </c>
    </row>
    <row r="379" ht="15" customHeight="1">
      <c r="A379" s="5" t="n"/>
      <c r="B379" s="15" t="n"/>
      <c r="C379" s="15">
        <f>IFERROR(VLOOKUP($B379,Community_Master!$A$2:$K$100,2,FALSE),"")</f>
        <v/>
      </c>
      <c r="D379" s="15">
        <f>IFERROR(VLOOKUP($B379,Community_Master!$A$2:$K$100,4,FALSE),"")</f>
        <v/>
      </c>
      <c r="E379" s="15">
        <f>IFERROR(VLOOKUP($B379,Community_Master!$A$2:$K$100,5,FALSE),"")</f>
        <v/>
      </c>
      <c r="F379" s="15">
        <f>IFERROR(VLOOKUP($B379,Community_Master!$A$2:$K$100,6,FALSE),"")</f>
        <v/>
      </c>
      <c r="G379" s="15">
        <f>IFERROR(VLOOKUP($B379,Community_Master!$A$2:$K$100,8,FALSE),"")</f>
        <v/>
      </c>
      <c r="H379" s="15">
        <f>IFERROR(VLOOKUP($B379,Community_Master!$A$2:$K$100,7,FALSE),"")</f>
        <v/>
      </c>
      <c r="I379" s="15" t="n"/>
      <c r="J379" s="15" t="n"/>
      <c r="K379" s="15" t="n"/>
      <c r="L379" s="15">
        <f>IF($H379="","",MAX($H379-$I379,0))</f>
        <v/>
      </c>
      <c r="M379" s="6">
        <f>IF($H379="","",IFERROR($I379/$H379,""))</f>
        <v/>
      </c>
      <c r="N379" s="6">
        <f>IF($H379="","",IFERROR($J379/$H379,""))</f>
        <v/>
      </c>
      <c r="O379" s="6" t="n"/>
      <c r="P379" s="7" t="n"/>
      <c r="Q379" s="7" t="n"/>
      <c r="R379" s="7" t="n"/>
      <c r="S379" s="7" t="n"/>
      <c r="T379" s="7">
        <f>IF($H379="","",IFERROR($H379*$P379,""))</f>
        <v/>
      </c>
      <c r="U379" s="7" t="n"/>
      <c r="V379" s="7" t="n"/>
      <c r="W379" s="7" t="n"/>
      <c r="X379" s="7">
        <f>IF(OR($U379="",$W379=""),"",($U379+$V379)-$W379)</f>
        <v/>
      </c>
      <c r="Y379" s="8" t="n"/>
      <c r="Z379" s="8" t="n"/>
      <c r="AA379" s="8" t="n"/>
      <c r="AB379" s="8" t="n"/>
      <c r="AC379" s="8" t="n"/>
      <c r="AD379" s="8" t="n"/>
      <c r="AE379" s="8" t="n"/>
      <c r="AF379" s="8" t="n"/>
      <c r="AG379" s="8" t="n"/>
      <c r="AH379" s="8" t="n"/>
      <c r="AI379" s="9" t="n"/>
      <c r="AJ379" s="8" t="n"/>
      <c r="AK379" s="8" t="n"/>
      <c r="AL379" s="15" t="n"/>
      <c r="AM379" s="15" t="n"/>
      <c r="AN379" s="15" t="n"/>
      <c r="AO379" s="15" t="n"/>
      <c r="AP379" s="10" t="n"/>
      <c r="AQ379" s="15">
        <f>IF($B379="","",IF(OR(ISERROR(MATCH($B379,Community_Master!$A$2:$A$100,0)),$A379="",AND($H379&lt;&gt;"",$I379&gt;$H379),AND($H379&lt;&gt;"",$J379&gt;$H379),$I379&lt;0,$J379&lt;0,$K379&lt;0,$P379&lt;0,$Q379&lt;0,$Y379&lt;0,$Z379&lt;0,$AA379&lt;0,$AB379&lt;0,$AC379&lt;0),"ERROR","OK"))</f>
        <v/>
      </c>
      <c r="AR379" s="15">
        <f>IF($B379="","",TRIM(IF(ISERROR(MATCH($B379,Community_Master!$A$2:$A$100,0)),"Invalid Community_ID; ","")&amp;IF($A379="","Missing Report_Month; ","")&amp;IF(AND($H379&lt;&gt;"",$I379&gt;$H379),"Occupied_Units greater than Total_Units; ","")&amp;IF(AND($H379&lt;&gt;"",$J379&gt;$H379),"Leased_Units greater than Total_Units; ","")&amp;IF($I379&lt;0,"Occupied_Units negative; ","")&amp;IF($J379&lt;0,"Leased_Units negative; ","")&amp;IF($P379&lt;0,"Avg_Market_Rent negative; ","")))</f>
        <v/>
      </c>
    </row>
    <row r="380" ht="15" customHeight="1">
      <c r="A380" s="5" t="n"/>
      <c r="B380" s="15" t="n"/>
      <c r="C380" s="15">
        <f>IFERROR(VLOOKUP($B380,Community_Master!$A$2:$K$100,2,FALSE),"")</f>
        <v/>
      </c>
      <c r="D380" s="15">
        <f>IFERROR(VLOOKUP($B380,Community_Master!$A$2:$K$100,4,FALSE),"")</f>
        <v/>
      </c>
      <c r="E380" s="15">
        <f>IFERROR(VLOOKUP($B380,Community_Master!$A$2:$K$100,5,FALSE),"")</f>
        <v/>
      </c>
      <c r="F380" s="15">
        <f>IFERROR(VLOOKUP($B380,Community_Master!$A$2:$K$100,6,FALSE),"")</f>
        <v/>
      </c>
      <c r="G380" s="15">
        <f>IFERROR(VLOOKUP($B380,Community_Master!$A$2:$K$100,8,FALSE),"")</f>
        <v/>
      </c>
      <c r="H380" s="15">
        <f>IFERROR(VLOOKUP($B380,Community_Master!$A$2:$K$100,7,FALSE),"")</f>
        <v/>
      </c>
      <c r="I380" s="15" t="n"/>
      <c r="J380" s="15" t="n"/>
      <c r="K380" s="15" t="n"/>
      <c r="L380" s="15">
        <f>IF($H380="","",MAX($H380-$I380,0))</f>
        <v/>
      </c>
      <c r="M380" s="6">
        <f>IF($H380="","",IFERROR($I380/$H380,""))</f>
        <v/>
      </c>
      <c r="N380" s="6">
        <f>IF($H380="","",IFERROR($J380/$H380,""))</f>
        <v/>
      </c>
      <c r="O380" s="6" t="n"/>
      <c r="P380" s="7" t="n"/>
      <c r="Q380" s="7" t="n"/>
      <c r="R380" s="7" t="n"/>
      <c r="S380" s="7" t="n"/>
      <c r="T380" s="7">
        <f>IF($H380="","",IFERROR($H380*$P380,""))</f>
        <v/>
      </c>
      <c r="U380" s="7" t="n"/>
      <c r="V380" s="7" t="n"/>
      <c r="W380" s="7" t="n"/>
      <c r="X380" s="7">
        <f>IF(OR($U380="",$W380=""),"",($U380+$V380)-$W380)</f>
        <v/>
      </c>
      <c r="Y380" s="8" t="n"/>
      <c r="Z380" s="8" t="n"/>
      <c r="AA380" s="8" t="n"/>
      <c r="AB380" s="8" t="n"/>
      <c r="AC380" s="8" t="n"/>
      <c r="AD380" s="8" t="n"/>
      <c r="AE380" s="8" t="n"/>
      <c r="AF380" s="8" t="n"/>
      <c r="AG380" s="8" t="n"/>
      <c r="AH380" s="8" t="n"/>
      <c r="AI380" s="9" t="n"/>
      <c r="AJ380" s="8" t="n"/>
      <c r="AK380" s="8" t="n"/>
      <c r="AL380" s="15" t="n"/>
      <c r="AM380" s="15" t="n"/>
      <c r="AN380" s="15" t="n"/>
      <c r="AO380" s="15" t="n"/>
      <c r="AP380" s="10" t="n"/>
      <c r="AQ380" s="15">
        <f>IF($B380="","",IF(OR(ISERROR(MATCH($B380,Community_Master!$A$2:$A$100,0)),$A380="",AND($H380&lt;&gt;"",$I380&gt;$H380),AND($H380&lt;&gt;"",$J380&gt;$H380),$I380&lt;0,$J380&lt;0,$K380&lt;0,$P380&lt;0,$Q380&lt;0,$Y380&lt;0,$Z380&lt;0,$AA380&lt;0,$AB380&lt;0,$AC380&lt;0),"ERROR","OK"))</f>
        <v/>
      </c>
      <c r="AR380" s="15">
        <f>IF($B380="","",TRIM(IF(ISERROR(MATCH($B380,Community_Master!$A$2:$A$100,0)),"Invalid Community_ID; ","")&amp;IF($A380="","Missing Report_Month; ","")&amp;IF(AND($H380&lt;&gt;"",$I380&gt;$H380),"Occupied_Units greater than Total_Units; ","")&amp;IF(AND($H380&lt;&gt;"",$J380&gt;$H380),"Leased_Units greater than Total_Units; ","")&amp;IF($I380&lt;0,"Occupied_Units negative; ","")&amp;IF($J380&lt;0,"Leased_Units negative; ","")&amp;IF($P380&lt;0,"Avg_Market_Rent negative; ","")))</f>
        <v/>
      </c>
    </row>
    <row r="381" ht="15" customHeight="1">
      <c r="A381" s="5" t="n"/>
      <c r="B381" s="15" t="n"/>
      <c r="C381" s="15">
        <f>IFERROR(VLOOKUP($B381,Community_Master!$A$2:$K$100,2,FALSE),"")</f>
        <v/>
      </c>
      <c r="D381" s="15">
        <f>IFERROR(VLOOKUP($B381,Community_Master!$A$2:$K$100,4,FALSE),"")</f>
        <v/>
      </c>
      <c r="E381" s="15">
        <f>IFERROR(VLOOKUP($B381,Community_Master!$A$2:$K$100,5,FALSE),"")</f>
        <v/>
      </c>
      <c r="F381" s="15">
        <f>IFERROR(VLOOKUP($B381,Community_Master!$A$2:$K$100,6,FALSE),"")</f>
        <v/>
      </c>
      <c r="G381" s="15">
        <f>IFERROR(VLOOKUP($B381,Community_Master!$A$2:$K$100,8,FALSE),"")</f>
        <v/>
      </c>
      <c r="H381" s="15">
        <f>IFERROR(VLOOKUP($B381,Community_Master!$A$2:$K$100,7,FALSE),"")</f>
        <v/>
      </c>
      <c r="I381" s="15" t="n"/>
      <c r="J381" s="15" t="n"/>
      <c r="K381" s="15" t="n"/>
      <c r="L381" s="15">
        <f>IF($H381="","",MAX($H381-$I381,0))</f>
        <v/>
      </c>
      <c r="M381" s="6">
        <f>IF($H381="","",IFERROR($I381/$H381,""))</f>
        <v/>
      </c>
      <c r="N381" s="6">
        <f>IF($H381="","",IFERROR($J381/$H381,""))</f>
        <v/>
      </c>
      <c r="O381" s="6" t="n"/>
      <c r="P381" s="7" t="n"/>
      <c r="Q381" s="7" t="n"/>
      <c r="R381" s="7" t="n"/>
      <c r="S381" s="7" t="n"/>
      <c r="T381" s="7">
        <f>IF($H381="","",IFERROR($H381*$P381,""))</f>
        <v/>
      </c>
      <c r="U381" s="7" t="n"/>
      <c r="V381" s="7" t="n"/>
      <c r="W381" s="7" t="n"/>
      <c r="X381" s="7">
        <f>IF(OR($U381="",$W381=""),"",($U381+$V381)-$W381)</f>
        <v/>
      </c>
      <c r="Y381" s="8" t="n"/>
      <c r="Z381" s="8" t="n"/>
      <c r="AA381" s="8" t="n"/>
      <c r="AB381" s="8" t="n"/>
      <c r="AC381" s="8" t="n"/>
      <c r="AD381" s="8" t="n"/>
      <c r="AE381" s="8" t="n"/>
      <c r="AF381" s="8" t="n"/>
      <c r="AG381" s="8" t="n"/>
      <c r="AH381" s="8" t="n"/>
      <c r="AI381" s="9" t="n"/>
      <c r="AJ381" s="8" t="n"/>
      <c r="AK381" s="8" t="n"/>
      <c r="AL381" s="15" t="n"/>
      <c r="AM381" s="15" t="n"/>
      <c r="AN381" s="15" t="n"/>
      <c r="AO381" s="15" t="n"/>
      <c r="AP381" s="10" t="n"/>
      <c r="AQ381" s="15">
        <f>IF($B381="","",IF(OR(ISERROR(MATCH($B381,Community_Master!$A$2:$A$100,0)),$A381="",AND($H381&lt;&gt;"",$I381&gt;$H381),AND($H381&lt;&gt;"",$J381&gt;$H381),$I381&lt;0,$J381&lt;0,$K381&lt;0,$P381&lt;0,$Q381&lt;0,$Y381&lt;0,$Z381&lt;0,$AA381&lt;0,$AB381&lt;0,$AC381&lt;0),"ERROR","OK"))</f>
        <v/>
      </c>
      <c r="AR381" s="15">
        <f>IF($B381="","",TRIM(IF(ISERROR(MATCH($B381,Community_Master!$A$2:$A$100,0)),"Invalid Community_ID; ","")&amp;IF($A381="","Missing Report_Month; ","")&amp;IF(AND($H381&lt;&gt;"",$I381&gt;$H381),"Occupied_Units greater than Total_Units; ","")&amp;IF(AND($H381&lt;&gt;"",$J381&gt;$H381),"Leased_Units greater than Total_Units; ","")&amp;IF($I381&lt;0,"Occupied_Units negative; ","")&amp;IF($J381&lt;0,"Leased_Units negative; ","")&amp;IF($P381&lt;0,"Avg_Market_Rent negative; ","")))</f>
        <v/>
      </c>
    </row>
    <row r="382" ht="15" customHeight="1">
      <c r="A382" s="5" t="n"/>
      <c r="B382" s="15" t="n"/>
      <c r="C382" s="15">
        <f>IFERROR(VLOOKUP($B382,Community_Master!$A$2:$K$100,2,FALSE),"")</f>
        <v/>
      </c>
      <c r="D382" s="15">
        <f>IFERROR(VLOOKUP($B382,Community_Master!$A$2:$K$100,4,FALSE),"")</f>
        <v/>
      </c>
      <c r="E382" s="15">
        <f>IFERROR(VLOOKUP($B382,Community_Master!$A$2:$K$100,5,FALSE),"")</f>
        <v/>
      </c>
      <c r="F382" s="15">
        <f>IFERROR(VLOOKUP($B382,Community_Master!$A$2:$K$100,6,FALSE),"")</f>
        <v/>
      </c>
      <c r="G382" s="15">
        <f>IFERROR(VLOOKUP($B382,Community_Master!$A$2:$K$100,8,FALSE),"")</f>
        <v/>
      </c>
      <c r="H382" s="15">
        <f>IFERROR(VLOOKUP($B382,Community_Master!$A$2:$K$100,7,FALSE),"")</f>
        <v/>
      </c>
      <c r="I382" s="15" t="n"/>
      <c r="J382" s="15" t="n"/>
      <c r="K382" s="15" t="n"/>
      <c r="L382" s="15">
        <f>IF($H382="","",MAX($H382-$I382,0))</f>
        <v/>
      </c>
      <c r="M382" s="6">
        <f>IF($H382="","",IFERROR($I382/$H382,""))</f>
        <v/>
      </c>
      <c r="N382" s="6">
        <f>IF($H382="","",IFERROR($J382/$H382,""))</f>
        <v/>
      </c>
      <c r="O382" s="6" t="n"/>
      <c r="P382" s="7" t="n"/>
      <c r="Q382" s="7" t="n"/>
      <c r="R382" s="7" t="n"/>
      <c r="S382" s="7" t="n"/>
      <c r="T382" s="7">
        <f>IF($H382="","",IFERROR($H382*$P382,""))</f>
        <v/>
      </c>
      <c r="U382" s="7" t="n"/>
      <c r="V382" s="7" t="n"/>
      <c r="W382" s="7" t="n"/>
      <c r="X382" s="7">
        <f>IF(OR($U382="",$W382=""),"",($U382+$V382)-$W382)</f>
        <v/>
      </c>
      <c r="Y382" s="8" t="n"/>
      <c r="Z382" s="8" t="n"/>
      <c r="AA382" s="8" t="n"/>
      <c r="AB382" s="8" t="n"/>
      <c r="AC382" s="8" t="n"/>
      <c r="AD382" s="8" t="n"/>
      <c r="AE382" s="8" t="n"/>
      <c r="AF382" s="8" t="n"/>
      <c r="AG382" s="8" t="n"/>
      <c r="AH382" s="8" t="n"/>
      <c r="AI382" s="9" t="n"/>
      <c r="AJ382" s="8" t="n"/>
      <c r="AK382" s="8" t="n"/>
      <c r="AL382" s="15" t="n"/>
      <c r="AM382" s="15" t="n"/>
      <c r="AN382" s="15" t="n"/>
      <c r="AO382" s="15" t="n"/>
      <c r="AP382" s="10" t="n"/>
      <c r="AQ382" s="15">
        <f>IF($B382="","",IF(OR(ISERROR(MATCH($B382,Community_Master!$A$2:$A$100,0)),$A382="",AND($H382&lt;&gt;"",$I382&gt;$H382),AND($H382&lt;&gt;"",$J382&gt;$H382),$I382&lt;0,$J382&lt;0,$K382&lt;0,$P382&lt;0,$Q382&lt;0,$Y382&lt;0,$Z382&lt;0,$AA382&lt;0,$AB382&lt;0,$AC382&lt;0),"ERROR","OK"))</f>
        <v/>
      </c>
      <c r="AR382" s="15">
        <f>IF($B382="","",TRIM(IF(ISERROR(MATCH($B382,Community_Master!$A$2:$A$100,0)),"Invalid Community_ID; ","")&amp;IF($A382="","Missing Report_Month; ","")&amp;IF(AND($H382&lt;&gt;"",$I382&gt;$H382),"Occupied_Units greater than Total_Units; ","")&amp;IF(AND($H382&lt;&gt;"",$J382&gt;$H382),"Leased_Units greater than Total_Units; ","")&amp;IF($I382&lt;0,"Occupied_Units negative; ","")&amp;IF($J382&lt;0,"Leased_Units negative; ","")&amp;IF($P382&lt;0,"Avg_Market_Rent negative; ","")))</f>
        <v/>
      </c>
    </row>
    <row r="383" ht="15" customHeight="1">
      <c r="A383" s="5" t="n"/>
      <c r="B383" s="15" t="n"/>
      <c r="C383" s="15">
        <f>IFERROR(VLOOKUP($B383,Community_Master!$A$2:$K$100,2,FALSE),"")</f>
        <v/>
      </c>
      <c r="D383" s="15">
        <f>IFERROR(VLOOKUP($B383,Community_Master!$A$2:$K$100,4,FALSE),"")</f>
        <v/>
      </c>
      <c r="E383" s="15">
        <f>IFERROR(VLOOKUP($B383,Community_Master!$A$2:$K$100,5,FALSE),"")</f>
        <v/>
      </c>
      <c r="F383" s="15">
        <f>IFERROR(VLOOKUP($B383,Community_Master!$A$2:$K$100,6,FALSE),"")</f>
        <v/>
      </c>
      <c r="G383" s="15">
        <f>IFERROR(VLOOKUP($B383,Community_Master!$A$2:$K$100,8,FALSE),"")</f>
        <v/>
      </c>
      <c r="H383" s="15">
        <f>IFERROR(VLOOKUP($B383,Community_Master!$A$2:$K$100,7,FALSE),"")</f>
        <v/>
      </c>
      <c r="I383" s="15" t="n"/>
      <c r="J383" s="15" t="n"/>
      <c r="K383" s="15" t="n"/>
      <c r="L383" s="15">
        <f>IF($H383="","",MAX($H383-$I383,0))</f>
        <v/>
      </c>
      <c r="M383" s="6">
        <f>IF($H383="","",IFERROR($I383/$H383,""))</f>
        <v/>
      </c>
      <c r="N383" s="6">
        <f>IF($H383="","",IFERROR($J383/$H383,""))</f>
        <v/>
      </c>
      <c r="O383" s="6" t="n"/>
      <c r="P383" s="7" t="n"/>
      <c r="Q383" s="7" t="n"/>
      <c r="R383" s="7" t="n"/>
      <c r="S383" s="7" t="n"/>
      <c r="T383" s="7">
        <f>IF($H383="","",IFERROR($H383*$P383,""))</f>
        <v/>
      </c>
      <c r="U383" s="7" t="n"/>
      <c r="V383" s="7" t="n"/>
      <c r="W383" s="7" t="n"/>
      <c r="X383" s="7">
        <f>IF(OR($U383="",$W383=""),"",($U383+$V383)-$W383)</f>
        <v/>
      </c>
      <c r="Y383" s="8" t="n"/>
      <c r="Z383" s="8" t="n"/>
      <c r="AA383" s="8" t="n"/>
      <c r="AB383" s="8" t="n"/>
      <c r="AC383" s="8" t="n"/>
      <c r="AD383" s="8" t="n"/>
      <c r="AE383" s="8" t="n"/>
      <c r="AF383" s="8" t="n"/>
      <c r="AG383" s="8" t="n"/>
      <c r="AH383" s="8" t="n"/>
      <c r="AI383" s="9" t="n"/>
      <c r="AJ383" s="8" t="n"/>
      <c r="AK383" s="8" t="n"/>
      <c r="AL383" s="15" t="n"/>
      <c r="AM383" s="15" t="n"/>
      <c r="AN383" s="15" t="n"/>
      <c r="AO383" s="15" t="n"/>
      <c r="AP383" s="10" t="n"/>
      <c r="AQ383" s="15">
        <f>IF($B383="","",IF(OR(ISERROR(MATCH($B383,Community_Master!$A$2:$A$100,0)),$A383="",AND($H383&lt;&gt;"",$I383&gt;$H383),AND($H383&lt;&gt;"",$J383&gt;$H383),$I383&lt;0,$J383&lt;0,$K383&lt;0,$P383&lt;0,$Q383&lt;0,$Y383&lt;0,$Z383&lt;0,$AA383&lt;0,$AB383&lt;0,$AC383&lt;0),"ERROR","OK"))</f>
        <v/>
      </c>
      <c r="AR383" s="15">
        <f>IF($B383="","",TRIM(IF(ISERROR(MATCH($B383,Community_Master!$A$2:$A$100,0)),"Invalid Community_ID; ","")&amp;IF($A383="","Missing Report_Month; ","")&amp;IF(AND($H383&lt;&gt;"",$I383&gt;$H383),"Occupied_Units greater than Total_Units; ","")&amp;IF(AND($H383&lt;&gt;"",$J383&gt;$H383),"Leased_Units greater than Total_Units; ","")&amp;IF($I383&lt;0,"Occupied_Units negative; ","")&amp;IF($J383&lt;0,"Leased_Units negative; ","")&amp;IF($P383&lt;0,"Avg_Market_Rent negative; ","")))</f>
        <v/>
      </c>
    </row>
    <row r="384" ht="15" customHeight="1">
      <c r="A384" s="5" t="n"/>
      <c r="B384" s="15" t="n"/>
      <c r="C384" s="15">
        <f>IFERROR(VLOOKUP($B384,Community_Master!$A$2:$K$100,2,FALSE),"")</f>
        <v/>
      </c>
      <c r="D384" s="15">
        <f>IFERROR(VLOOKUP($B384,Community_Master!$A$2:$K$100,4,FALSE),"")</f>
        <v/>
      </c>
      <c r="E384" s="15">
        <f>IFERROR(VLOOKUP($B384,Community_Master!$A$2:$K$100,5,FALSE),"")</f>
        <v/>
      </c>
      <c r="F384" s="15">
        <f>IFERROR(VLOOKUP($B384,Community_Master!$A$2:$K$100,6,FALSE),"")</f>
        <v/>
      </c>
      <c r="G384" s="15">
        <f>IFERROR(VLOOKUP($B384,Community_Master!$A$2:$K$100,8,FALSE),"")</f>
        <v/>
      </c>
      <c r="H384" s="15">
        <f>IFERROR(VLOOKUP($B384,Community_Master!$A$2:$K$100,7,FALSE),"")</f>
        <v/>
      </c>
      <c r="I384" s="15" t="n"/>
      <c r="J384" s="15" t="n"/>
      <c r="K384" s="15" t="n"/>
      <c r="L384" s="15">
        <f>IF($H384="","",MAX($H384-$I384,0))</f>
        <v/>
      </c>
      <c r="M384" s="6">
        <f>IF($H384="","",IFERROR($I384/$H384,""))</f>
        <v/>
      </c>
      <c r="N384" s="6">
        <f>IF($H384="","",IFERROR($J384/$H384,""))</f>
        <v/>
      </c>
      <c r="O384" s="6" t="n"/>
      <c r="P384" s="7" t="n"/>
      <c r="Q384" s="7" t="n"/>
      <c r="R384" s="7" t="n"/>
      <c r="S384" s="7" t="n"/>
      <c r="T384" s="7">
        <f>IF($H384="","",IFERROR($H384*$P384,""))</f>
        <v/>
      </c>
      <c r="U384" s="7" t="n"/>
      <c r="V384" s="7" t="n"/>
      <c r="W384" s="7" t="n"/>
      <c r="X384" s="7">
        <f>IF(OR($U384="",$W384=""),"",($U384+$V384)-$W384)</f>
        <v/>
      </c>
      <c r="Y384" s="8" t="n"/>
      <c r="Z384" s="8" t="n"/>
      <c r="AA384" s="8" t="n"/>
      <c r="AB384" s="8" t="n"/>
      <c r="AC384" s="8" t="n"/>
      <c r="AD384" s="8" t="n"/>
      <c r="AE384" s="8" t="n"/>
      <c r="AF384" s="8" t="n"/>
      <c r="AG384" s="8" t="n"/>
      <c r="AH384" s="8" t="n"/>
      <c r="AI384" s="9" t="n"/>
      <c r="AJ384" s="8" t="n"/>
      <c r="AK384" s="8" t="n"/>
      <c r="AL384" s="15" t="n"/>
      <c r="AM384" s="15" t="n"/>
      <c r="AN384" s="15" t="n"/>
      <c r="AO384" s="15" t="n"/>
      <c r="AP384" s="10" t="n"/>
      <c r="AQ384" s="15">
        <f>IF($B384="","",IF(OR(ISERROR(MATCH($B384,Community_Master!$A$2:$A$100,0)),$A384="",AND($H384&lt;&gt;"",$I384&gt;$H384),AND($H384&lt;&gt;"",$J384&gt;$H384),$I384&lt;0,$J384&lt;0,$K384&lt;0,$P384&lt;0,$Q384&lt;0,$Y384&lt;0,$Z384&lt;0,$AA384&lt;0,$AB384&lt;0,$AC384&lt;0),"ERROR","OK"))</f>
        <v/>
      </c>
      <c r="AR384" s="15">
        <f>IF($B384="","",TRIM(IF(ISERROR(MATCH($B384,Community_Master!$A$2:$A$100,0)),"Invalid Community_ID; ","")&amp;IF($A384="","Missing Report_Month; ","")&amp;IF(AND($H384&lt;&gt;"",$I384&gt;$H384),"Occupied_Units greater than Total_Units; ","")&amp;IF(AND($H384&lt;&gt;"",$J384&gt;$H384),"Leased_Units greater than Total_Units; ","")&amp;IF($I384&lt;0,"Occupied_Units negative; ","")&amp;IF($J384&lt;0,"Leased_Units negative; ","")&amp;IF($P384&lt;0,"Avg_Market_Rent negative; ","")))</f>
        <v/>
      </c>
    </row>
    <row r="385" ht="15" customHeight="1">
      <c r="A385" s="5" t="n"/>
      <c r="B385" s="15" t="n"/>
      <c r="C385" s="15">
        <f>IFERROR(VLOOKUP($B385,Community_Master!$A$2:$K$100,2,FALSE),"")</f>
        <v/>
      </c>
      <c r="D385" s="15">
        <f>IFERROR(VLOOKUP($B385,Community_Master!$A$2:$K$100,4,FALSE),"")</f>
        <v/>
      </c>
      <c r="E385" s="15">
        <f>IFERROR(VLOOKUP($B385,Community_Master!$A$2:$K$100,5,FALSE),"")</f>
        <v/>
      </c>
      <c r="F385" s="15">
        <f>IFERROR(VLOOKUP($B385,Community_Master!$A$2:$K$100,6,FALSE),"")</f>
        <v/>
      </c>
      <c r="G385" s="15">
        <f>IFERROR(VLOOKUP($B385,Community_Master!$A$2:$K$100,8,FALSE),"")</f>
        <v/>
      </c>
      <c r="H385" s="15">
        <f>IFERROR(VLOOKUP($B385,Community_Master!$A$2:$K$100,7,FALSE),"")</f>
        <v/>
      </c>
      <c r="I385" s="15" t="n"/>
      <c r="J385" s="15" t="n"/>
      <c r="K385" s="15" t="n"/>
      <c r="L385" s="15">
        <f>IF($H385="","",MAX($H385-$I385,0))</f>
        <v/>
      </c>
      <c r="M385" s="6">
        <f>IF($H385="","",IFERROR($I385/$H385,""))</f>
        <v/>
      </c>
      <c r="N385" s="6">
        <f>IF($H385="","",IFERROR($J385/$H385,""))</f>
        <v/>
      </c>
      <c r="O385" s="6" t="n"/>
      <c r="P385" s="7" t="n"/>
      <c r="Q385" s="7" t="n"/>
      <c r="R385" s="7" t="n"/>
      <c r="S385" s="7" t="n"/>
      <c r="T385" s="7">
        <f>IF($H385="","",IFERROR($H385*$P385,""))</f>
        <v/>
      </c>
      <c r="U385" s="7" t="n"/>
      <c r="V385" s="7" t="n"/>
      <c r="W385" s="7" t="n"/>
      <c r="X385" s="7">
        <f>IF(OR($U385="",$W385=""),"",($U385+$V385)-$W385)</f>
        <v/>
      </c>
      <c r="Y385" s="8" t="n"/>
      <c r="Z385" s="8" t="n"/>
      <c r="AA385" s="8" t="n"/>
      <c r="AB385" s="8" t="n"/>
      <c r="AC385" s="8" t="n"/>
      <c r="AD385" s="8" t="n"/>
      <c r="AE385" s="8" t="n"/>
      <c r="AF385" s="8" t="n"/>
      <c r="AG385" s="8" t="n"/>
      <c r="AH385" s="8" t="n"/>
      <c r="AI385" s="9" t="n"/>
      <c r="AJ385" s="8" t="n"/>
      <c r="AK385" s="8" t="n"/>
      <c r="AL385" s="15" t="n"/>
      <c r="AM385" s="15" t="n"/>
      <c r="AN385" s="15" t="n"/>
      <c r="AO385" s="15" t="n"/>
      <c r="AP385" s="10" t="n"/>
      <c r="AQ385" s="15">
        <f>IF($B385="","",IF(OR(ISERROR(MATCH($B385,Community_Master!$A$2:$A$100,0)),$A385="",AND($H385&lt;&gt;"",$I385&gt;$H385),AND($H385&lt;&gt;"",$J385&gt;$H385),$I385&lt;0,$J385&lt;0,$K385&lt;0,$P385&lt;0,$Q385&lt;0,$Y385&lt;0,$Z385&lt;0,$AA385&lt;0,$AB385&lt;0,$AC385&lt;0),"ERROR","OK"))</f>
        <v/>
      </c>
      <c r="AR385" s="15">
        <f>IF($B385="","",TRIM(IF(ISERROR(MATCH($B385,Community_Master!$A$2:$A$100,0)),"Invalid Community_ID; ","")&amp;IF($A385="","Missing Report_Month; ","")&amp;IF(AND($H385&lt;&gt;"",$I385&gt;$H385),"Occupied_Units greater than Total_Units; ","")&amp;IF(AND($H385&lt;&gt;"",$J385&gt;$H385),"Leased_Units greater than Total_Units; ","")&amp;IF($I385&lt;0,"Occupied_Units negative; ","")&amp;IF($J385&lt;0,"Leased_Units negative; ","")&amp;IF($P385&lt;0,"Avg_Market_Rent negative; ","")))</f>
        <v/>
      </c>
    </row>
    <row r="386" ht="15" customHeight="1">
      <c r="A386" s="5" t="n"/>
      <c r="B386" s="15" t="n"/>
      <c r="C386" s="15">
        <f>IFERROR(VLOOKUP($B386,Community_Master!$A$2:$K$100,2,FALSE),"")</f>
        <v/>
      </c>
      <c r="D386" s="15">
        <f>IFERROR(VLOOKUP($B386,Community_Master!$A$2:$K$100,4,FALSE),"")</f>
        <v/>
      </c>
      <c r="E386" s="15">
        <f>IFERROR(VLOOKUP($B386,Community_Master!$A$2:$K$100,5,FALSE),"")</f>
        <v/>
      </c>
      <c r="F386" s="15">
        <f>IFERROR(VLOOKUP($B386,Community_Master!$A$2:$K$100,6,FALSE),"")</f>
        <v/>
      </c>
      <c r="G386" s="15">
        <f>IFERROR(VLOOKUP($B386,Community_Master!$A$2:$K$100,8,FALSE),"")</f>
        <v/>
      </c>
      <c r="H386" s="15">
        <f>IFERROR(VLOOKUP($B386,Community_Master!$A$2:$K$100,7,FALSE),"")</f>
        <v/>
      </c>
      <c r="I386" s="15" t="n"/>
      <c r="J386" s="15" t="n"/>
      <c r="K386" s="15" t="n"/>
      <c r="L386" s="15">
        <f>IF($H386="","",MAX($H386-$I386,0))</f>
        <v/>
      </c>
      <c r="M386" s="6">
        <f>IF($H386="","",IFERROR($I386/$H386,""))</f>
        <v/>
      </c>
      <c r="N386" s="6">
        <f>IF($H386="","",IFERROR($J386/$H386,""))</f>
        <v/>
      </c>
      <c r="O386" s="6" t="n"/>
      <c r="P386" s="7" t="n"/>
      <c r="Q386" s="7" t="n"/>
      <c r="R386" s="7" t="n"/>
      <c r="S386" s="7" t="n"/>
      <c r="T386" s="7">
        <f>IF($H386="","",IFERROR($H386*$P386,""))</f>
        <v/>
      </c>
      <c r="U386" s="7" t="n"/>
      <c r="V386" s="7" t="n"/>
      <c r="W386" s="7" t="n"/>
      <c r="X386" s="7">
        <f>IF(OR($U386="",$W386=""),"",($U386+$V386)-$W386)</f>
        <v/>
      </c>
      <c r="Y386" s="8" t="n"/>
      <c r="Z386" s="8" t="n"/>
      <c r="AA386" s="8" t="n"/>
      <c r="AB386" s="8" t="n"/>
      <c r="AC386" s="8" t="n"/>
      <c r="AD386" s="8" t="n"/>
      <c r="AE386" s="8" t="n"/>
      <c r="AF386" s="8" t="n"/>
      <c r="AG386" s="8" t="n"/>
      <c r="AH386" s="8" t="n"/>
      <c r="AI386" s="9" t="n"/>
      <c r="AJ386" s="8" t="n"/>
      <c r="AK386" s="8" t="n"/>
      <c r="AL386" s="15" t="n"/>
      <c r="AM386" s="15" t="n"/>
      <c r="AN386" s="15" t="n"/>
      <c r="AO386" s="15" t="n"/>
      <c r="AP386" s="10" t="n"/>
      <c r="AQ386" s="15">
        <f>IF($B386="","",IF(OR(ISERROR(MATCH($B386,Community_Master!$A$2:$A$100,0)),$A386="",AND($H386&lt;&gt;"",$I386&gt;$H386),AND($H386&lt;&gt;"",$J386&gt;$H386),$I386&lt;0,$J386&lt;0,$K386&lt;0,$P386&lt;0,$Q386&lt;0,$Y386&lt;0,$Z386&lt;0,$AA386&lt;0,$AB386&lt;0,$AC386&lt;0),"ERROR","OK"))</f>
        <v/>
      </c>
      <c r="AR386" s="15">
        <f>IF($B386="","",TRIM(IF(ISERROR(MATCH($B386,Community_Master!$A$2:$A$100,0)),"Invalid Community_ID; ","")&amp;IF($A386="","Missing Report_Month; ","")&amp;IF(AND($H386&lt;&gt;"",$I386&gt;$H386),"Occupied_Units greater than Total_Units; ","")&amp;IF(AND($H386&lt;&gt;"",$J386&gt;$H386),"Leased_Units greater than Total_Units; ","")&amp;IF($I386&lt;0,"Occupied_Units negative; ","")&amp;IF($J386&lt;0,"Leased_Units negative; ","")&amp;IF($P386&lt;0,"Avg_Market_Rent negative; ","")))</f>
        <v/>
      </c>
    </row>
    <row r="387" ht="15" customHeight="1">
      <c r="A387" s="5" t="n"/>
      <c r="B387" s="15" t="n"/>
      <c r="C387" s="15">
        <f>IFERROR(VLOOKUP($B387,Community_Master!$A$2:$K$100,2,FALSE),"")</f>
        <v/>
      </c>
      <c r="D387" s="15">
        <f>IFERROR(VLOOKUP($B387,Community_Master!$A$2:$K$100,4,FALSE),"")</f>
        <v/>
      </c>
      <c r="E387" s="15">
        <f>IFERROR(VLOOKUP($B387,Community_Master!$A$2:$K$100,5,FALSE),"")</f>
        <v/>
      </c>
      <c r="F387" s="15">
        <f>IFERROR(VLOOKUP($B387,Community_Master!$A$2:$K$100,6,FALSE),"")</f>
        <v/>
      </c>
      <c r="G387" s="15">
        <f>IFERROR(VLOOKUP($B387,Community_Master!$A$2:$K$100,8,FALSE),"")</f>
        <v/>
      </c>
      <c r="H387" s="15">
        <f>IFERROR(VLOOKUP($B387,Community_Master!$A$2:$K$100,7,FALSE),"")</f>
        <v/>
      </c>
      <c r="I387" s="15" t="n"/>
      <c r="J387" s="15" t="n"/>
      <c r="K387" s="15" t="n"/>
      <c r="L387" s="15">
        <f>IF($H387="","",MAX($H387-$I387,0))</f>
        <v/>
      </c>
      <c r="M387" s="6">
        <f>IF($H387="","",IFERROR($I387/$H387,""))</f>
        <v/>
      </c>
      <c r="N387" s="6">
        <f>IF($H387="","",IFERROR($J387/$H387,""))</f>
        <v/>
      </c>
      <c r="O387" s="6" t="n"/>
      <c r="P387" s="7" t="n"/>
      <c r="Q387" s="7" t="n"/>
      <c r="R387" s="7" t="n"/>
      <c r="S387" s="7" t="n"/>
      <c r="T387" s="7">
        <f>IF($H387="","",IFERROR($H387*$P387,""))</f>
        <v/>
      </c>
      <c r="U387" s="7" t="n"/>
      <c r="V387" s="7" t="n"/>
      <c r="W387" s="7" t="n"/>
      <c r="X387" s="7">
        <f>IF(OR($U387="",$W387=""),"",($U387+$V387)-$W387)</f>
        <v/>
      </c>
      <c r="Y387" s="8" t="n"/>
      <c r="Z387" s="8" t="n"/>
      <c r="AA387" s="8" t="n"/>
      <c r="AB387" s="8" t="n"/>
      <c r="AC387" s="8" t="n"/>
      <c r="AD387" s="8" t="n"/>
      <c r="AE387" s="8" t="n"/>
      <c r="AF387" s="8" t="n"/>
      <c r="AG387" s="8" t="n"/>
      <c r="AH387" s="8" t="n"/>
      <c r="AI387" s="9" t="n"/>
      <c r="AJ387" s="8" t="n"/>
      <c r="AK387" s="8" t="n"/>
      <c r="AL387" s="15" t="n"/>
      <c r="AM387" s="15" t="n"/>
      <c r="AN387" s="15" t="n"/>
      <c r="AO387" s="15" t="n"/>
      <c r="AP387" s="10" t="n"/>
      <c r="AQ387" s="15">
        <f>IF($B387="","",IF(OR(ISERROR(MATCH($B387,Community_Master!$A$2:$A$100,0)),$A387="",AND($H387&lt;&gt;"",$I387&gt;$H387),AND($H387&lt;&gt;"",$J387&gt;$H387),$I387&lt;0,$J387&lt;0,$K387&lt;0,$P387&lt;0,$Q387&lt;0,$Y387&lt;0,$Z387&lt;0,$AA387&lt;0,$AB387&lt;0,$AC387&lt;0),"ERROR","OK"))</f>
        <v/>
      </c>
      <c r="AR387" s="15">
        <f>IF($B387="","",TRIM(IF(ISERROR(MATCH($B387,Community_Master!$A$2:$A$100,0)),"Invalid Community_ID; ","")&amp;IF($A387="","Missing Report_Month; ","")&amp;IF(AND($H387&lt;&gt;"",$I387&gt;$H387),"Occupied_Units greater than Total_Units; ","")&amp;IF(AND($H387&lt;&gt;"",$J387&gt;$H387),"Leased_Units greater than Total_Units; ","")&amp;IF($I387&lt;0,"Occupied_Units negative; ","")&amp;IF($J387&lt;0,"Leased_Units negative; ","")&amp;IF($P387&lt;0,"Avg_Market_Rent negative; ","")))</f>
        <v/>
      </c>
    </row>
    <row r="388" ht="15" customHeight="1">
      <c r="A388" s="5" t="n"/>
      <c r="B388" s="15" t="n"/>
      <c r="C388" s="15">
        <f>IFERROR(VLOOKUP($B388,Community_Master!$A$2:$K$100,2,FALSE),"")</f>
        <v/>
      </c>
      <c r="D388" s="15">
        <f>IFERROR(VLOOKUP($B388,Community_Master!$A$2:$K$100,4,FALSE),"")</f>
        <v/>
      </c>
      <c r="E388" s="15">
        <f>IFERROR(VLOOKUP($B388,Community_Master!$A$2:$K$100,5,FALSE),"")</f>
        <v/>
      </c>
      <c r="F388" s="15">
        <f>IFERROR(VLOOKUP($B388,Community_Master!$A$2:$K$100,6,FALSE),"")</f>
        <v/>
      </c>
      <c r="G388" s="15">
        <f>IFERROR(VLOOKUP($B388,Community_Master!$A$2:$K$100,8,FALSE),"")</f>
        <v/>
      </c>
      <c r="H388" s="15">
        <f>IFERROR(VLOOKUP($B388,Community_Master!$A$2:$K$100,7,FALSE),"")</f>
        <v/>
      </c>
      <c r="I388" s="15" t="n"/>
      <c r="J388" s="15" t="n"/>
      <c r="K388" s="15" t="n"/>
      <c r="L388" s="15">
        <f>IF($H388="","",MAX($H388-$I388,0))</f>
        <v/>
      </c>
      <c r="M388" s="6">
        <f>IF($H388="","",IFERROR($I388/$H388,""))</f>
        <v/>
      </c>
      <c r="N388" s="6">
        <f>IF($H388="","",IFERROR($J388/$H388,""))</f>
        <v/>
      </c>
      <c r="O388" s="6" t="n"/>
      <c r="P388" s="7" t="n"/>
      <c r="Q388" s="7" t="n"/>
      <c r="R388" s="7" t="n"/>
      <c r="S388" s="7" t="n"/>
      <c r="T388" s="7">
        <f>IF($H388="","",IFERROR($H388*$P388,""))</f>
        <v/>
      </c>
      <c r="U388" s="7" t="n"/>
      <c r="V388" s="7" t="n"/>
      <c r="W388" s="7" t="n"/>
      <c r="X388" s="7">
        <f>IF(OR($U388="",$W388=""),"",($U388+$V388)-$W388)</f>
        <v/>
      </c>
      <c r="Y388" s="8" t="n"/>
      <c r="Z388" s="8" t="n"/>
      <c r="AA388" s="8" t="n"/>
      <c r="AB388" s="8" t="n"/>
      <c r="AC388" s="8" t="n"/>
      <c r="AD388" s="8" t="n"/>
      <c r="AE388" s="8" t="n"/>
      <c r="AF388" s="8" t="n"/>
      <c r="AG388" s="8" t="n"/>
      <c r="AH388" s="8" t="n"/>
      <c r="AI388" s="9" t="n"/>
      <c r="AJ388" s="8" t="n"/>
      <c r="AK388" s="8" t="n"/>
      <c r="AL388" s="15" t="n"/>
      <c r="AM388" s="15" t="n"/>
      <c r="AN388" s="15" t="n"/>
      <c r="AO388" s="15" t="n"/>
      <c r="AP388" s="10" t="n"/>
      <c r="AQ388" s="15">
        <f>IF($B388="","",IF(OR(ISERROR(MATCH($B388,Community_Master!$A$2:$A$100,0)),$A388="",AND($H388&lt;&gt;"",$I388&gt;$H388),AND($H388&lt;&gt;"",$J388&gt;$H388),$I388&lt;0,$J388&lt;0,$K388&lt;0,$P388&lt;0,$Q388&lt;0,$Y388&lt;0,$Z388&lt;0,$AA388&lt;0,$AB388&lt;0,$AC388&lt;0),"ERROR","OK"))</f>
        <v/>
      </c>
      <c r="AR388" s="15">
        <f>IF($B388="","",TRIM(IF(ISERROR(MATCH($B388,Community_Master!$A$2:$A$100,0)),"Invalid Community_ID; ","")&amp;IF($A388="","Missing Report_Month; ","")&amp;IF(AND($H388&lt;&gt;"",$I388&gt;$H388),"Occupied_Units greater than Total_Units; ","")&amp;IF(AND($H388&lt;&gt;"",$J388&gt;$H388),"Leased_Units greater than Total_Units; ","")&amp;IF($I388&lt;0,"Occupied_Units negative; ","")&amp;IF($J388&lt;0,"Leased_Units negative; ","")&amp;IF($P388&lt;0,"Avg_Market_Rent negative; ","")))</f>
        <v/>
      </c>
    </row>
    <row r="389" ht="15" customHeight="1">
      <c r="A389" s="5" t="n"/>
      <c r="B389" s="15" t="n"/>
      <c r="C389" s="15">
        <f>IFERROR(VLOOKUP($B389,Community_Master!$A$2:$K$100,2,FALSE),"")</f>
        <v/>
      </c>
      <c r="D389" s="15">
        <f>IFERROR(VLOOKUP($B389,Community_Master!$A$2:$K$100,4,FALSE),"")</f>
        <v/>
      </c>
      <c r="E389" s="15">
        <f>IFERROR(VLOOKUP($B389,Community_Master!$A$2:$K$100,5,FALSE),"")</f>
        <v/>
      </c>
      <c r="F389" s="15">
        <f>IFERROR(VLOOKUP($B389,Community_Master!$A$2:$K$100,6,FALSE),"")</f>
        <v/>
      </c>
      <c r="G389" s="15">
        <f>IFERROR(VLOOKUP($B389,Community_Master!$A$2:$K$100,8,FALSE),"")</f>
        <v/>
      </c>
      <c r="H389" s="15">
        <f>IFERROR(VLOOKUP($B389,Community_Master!$A$2:$K$100,7,FALSE),"")</f>
        <v/>
      </c>
      <c r="I389" s="15" t="n"/>
      <c r="J389" s="15" t="n"/>
      <c r="K389" s="15" t="n"/>
      <c r="L389" s="15">
        <f>IF($H389="","",MAX($H389-$I389,0))</f>
        <v/>
      </c>
      <c r="M389" s="6">
        <f>IF($H389="","",IFERROR($I389/$H389,""))</f>
        <v/>
      </c>
      <c r="N389" s="6">
        <f>IF($H389="","",IFERROR($J389/$H389,""))</f>
        <v/>
      </c>
      <c r="O389" s="6" t="n"/>
      <c r="P389" s="7" t="n"/>
      <c r="Q389" s="7" t="n"/>
      <c r="R389" s="7" t="n"/>
      <c r="S389" s="7" t="n"/>
      <c r="T389" s="7">
        <f>IF($H389="","",IFERROR($H389*$P389,""))</f>
        <v/>
      </c>
      <c r="U389" s="7" t="n"/>
      <c r="V389" s="7" t="n"/>
      <c r="W389" s="7" t="n"/>
      <c r="X389" s="7">
        <f>IF(OR($U389="",$W389=""),"",($U389+$V389)-$W389)</f>
        <v/>
      </c>
      <c r="Y389" s="8" t="n"/>
      <c r="Z389" s="8" t="n"/>
      <c r="AA389" s="8" t="n"/>
      <c r="AB389" s="8" t="n"/>
      <c r="AC389" s="8" t="n"/>
      <c r="AD389" s="8" t="n"/>
      <c r="AE389" s="8" t="n"/>
      <c r="AF389" s="8" t="n"/>
      <c r="AG389" s="8" t="n"/>
      <c r="AH389" s="8" t="n"/>
      <c r="AI389" s="9" t="n"/>
      <c r="AJ389" s="8" t="n"/>
      <c r="AK389" s="8" t="n"/>
      <c r="AL389" s="15" t="n"/>
      <c r="AM389" s="15" t="n"/>
      <c r="AN389" s="15" t="n"/>
      <c r="AO389" s="15" t="n"/>
      <c r="AP389" s="10" t="n"/>
      <c r="AQ389" s="15">
        <f>IF($B389="","",IF(OR(ISERROR(MATCH($B389,Community_Master!$A$2:$A$100,0)),$A389="",AND($H389&lt;&gt;"",$I389&gt;$H389),AND($H389&lt;&gt;"",$J389&gt;$H389),$I389&lt;0,$J389&lt;0,$K389&lt;0,$P389&lt;0,$Q389&lt;0,$Y389&lt;0,$Z389&lt;0,$AA389&lt;0,$AB389&lt;0,$AC389&lt;0),"ERROR","OK"))</f>
        <v/>
      </c>
      <c r="AR389" s="15">
        <f>IF($B389="","",TRIM(IF(ISERROR(MATCH($B389,Community_Master!$A$2:$A$100,0)),"Invalid Community_ID; ","")&amp;IF($A389="","Missing Report_Month; ","")&amp;IF(AND($H389&lt;&gt;"",$I389&gt;$H389),"Occupied_Units greater than Total_Units; ","")&amp;IF(AND($H389&lt;&gt;"",$J389&gt;$H389),"Leased_Units greater than Total_Units; ","")&amp;IF($I389&lt;0,"Occupied_Units negative; ","")&amp;IF($J389&lt;0,"Leased_Units negative; ","")&amp;IF($P389&lt;0,"Avg_Market_Rent negative; ","")))</f>
        <v/>
      </c>
    </row>
    <row r="390" ht="15" customHeight="1">
      <c r="A390" s="5" t="n"/>
      <c r="B390" s="15" t="n"/>
      <c r="C390" s="15">
        <f>IFERROR(VLOOKUP($B390,Community_Master!$A$2:$K$100,2,FALSE),"")</f>
        <v/>
      </c>
      <c r="D390" s="15">
        <f>IFERROR(VLOOKUP($B390,Community_Master!$A$2:$K$100,4,FALSE),"")</f>
        <v/>
      </c>
      <c r="E390" s="15">
        <f>IFERROR(VLOOKUP($B390,Community_Master!$A$2:$K$100,5,FALSE),"")</f>
        <v/>
      </c>
      <c r="F390" s="15">
        <f>IFERROR(VLOOKUP($B390,Community_Master!$A$2:$K$100,6,FALSE),"")</f>
        <v/>
      </c>
      <c r="G390" s="15">
        <f>IFERROR(VLOOKUP($B390,Community_Master!$A$2:$K$100,8,FALSE),"")</f>
        <v/>
      </c>
      <c r="H390" s="15">
        <f>IFERROR(VLOOKUP($B390,Community_Master!$A$2:$K$100,7,FALSE),"")</f>
        <v/>
      </c>
      <c r="I390" s="15" t="n"/>
      <c r="J390" s="15" t="n"/>
      <c r="K390" s="15" t="n"/>
      <c r="L390" s="15">
        <f>IF($H390="","",MAX($H390-$I390,0))</f>
        <v/>
      </c>
      <c r="M390" s="6">
        <f>IF($H390="","",IFERROR($I390/$H390,""))</f>
        <v/>
      </c>
      <c r="N390" s="6">
        <f>IF($H390="","",IFERROR($J390/$H390,""))</f>
        <v/>
      </c>
      <c r="O390" s="6" t="n"/>
      <c r="P390" s="7" t="n"/>
      <c r="Q390" s="7" t="n"/>
      <c r="R390" s="7" t="n"/>
      <c r="S390" s="7" t="n"/>
      <c r="T390" s="7">
        <f>IF($H390="","",IFERROR($H390*$P390,""))</f>
        <v/>
      </c>
      <c r="U390" s="7" t="n"/>
      <c r="V390" s="7" t="n"/>
      <c r="W390" s="7" t="n"/>
      <c r="X390" s="7">
        <f>IF(OR($U390="",$W390=""),"",($U390+$V390)-$W390)</f>
        <v/>
      </c>
      <c r="Y390" s="8" t="n"/>
      <c r="Z390" s="8" t="n"/>
      <c r="AA390" s="8" t="n"/>
      <c r="AB390" s="8" t="n"/>
      <c r="AC390" s="8" t="n"/>
      <c r="AD390" s="8" t="n"/>
      <c r="AE390" s="8" t="n"/>
      <c r="AF390" s="8" t="n"/>
      <c r="AG390" s="8" t="n"/>
      <c r="AH390" s="8" t="n"/>
      <c r="AI390" s="9" t="n"/>
      <c r="AJ390" s="8" t="n"/>
      <c r="AK390" s="8" t="n"/>
      <c r="AL390" s="15" t="n"/>
      <c r="AM390" s="15" t="n"/>
      <c r="AN390" s="15" t="n"/>
      <c r="AO390" s="15" t="n"/>
      <c r="AP390" s="10" t="n"/>
      <c r="AQ390" s="15">
        <f>IF($B390="","",IF(OR(ISERROR(MATCH($B390,Community_Master!$A$2:$A$100,0)),$A390="",AND($H390&lt;&gt;"",$I390&gt;$H390),AND($H390&lt;&gt;"",$J390&gt;$H390),$I390&lt;0,$J390&lt;0,$K390&lt;0,$P390&lt;0,$Q390&lt;0,$Y390&lt;0,$Z390&lt;0,$AA390&lt;0,$AB390&lt;0,$AC390&lt;0),"ERROR","OK"))</f>
        <v/>
      </c>
      <c r="AR390" s="15">
        <f>IF($B390="","",TRIM(IF(ISERROR(MATCH($B390,Community_Master!$A$2:$A$100,0)),"Invalid Community_ID; ","")&amp;IF($A390="","Missing Report_Month; ","")&amp;IF(AND($H390&lt;&gt;"",$I390&gt;$H390),"Occupied_Units greater than Total_Units; ","")&amp;IF(AND($H390&lt;&gt;"",$J390&gt;$H390),"Leased_Units greater than Total_Units; ","")&amp;IF($I390&lt;0,"Occupied_Units negative; ","")&amp;IF($J390&lt;0,"Leased_Units negative; ","")&amp;IF($P390&lt;0,"Avg_Market_Rent negative; ","")))</f>
        <v/>
      </c>
    </row>
    <row r="391" ht="15" customHeight="1">
      <c r="A391" s="5" t="n"/>
      <c r="B391" s="15" t="n"/>
      <c r="C391" s="15">
        <f>IFERROR(VLOOKUP($B391,Community_Master!$A$2:$K$100,2,FALSE),"")</f>
        <v/>
      </c>
      <c r="D391" s="15">
        <f>IFERROR(VLOOKUP($B391,Community_Master!$A$2:$K$100,4,FALSE),"")</f>
        <v/>
      </c>
      <c r="E391" s="15">
        <f>IFERROR(VLOOKUP($B391,Community_Master!$A$2:$K$100,5,FALSE),"")</f>
        <v/>
      </c>
      <c r="F391" s="15">
        <f>IFERROR(VLOOKUP($B391,Community_Master!$A$2:$K$100,6,FALSE),"")</f>
        <v/>
      </c>
      <c r="G391" s="15">
        <f>IFERROR(VLOOKUP($B391,Community_Master!$A$2:$K$100,8,FALSE),"")</f>
        <v/>
      </c>
      <c r="H391" s="15">
        <f>IFERROR(VLOOKUP($B391,Community_Master!$A$2:$K$100,7,FALSE),"")</f>
        <v/>
      </c>
      <c r="I391" s="15" t="n"/>
      <c r="J391" s="15" t="n"/>
      <c r="K391" s="15" t="n"/>
      <c r="L391" s="15">
        <f>IF($H391="","",MAX($H391-$I391,0))</f>
        <v/>
      </c>
      <c r="M391" s="6">
        <f>IF($H391="","",IFERROR($I391/$H391,""))</f>
        <v/>
      </c>
      <c r="N391" s="6">
        <f>IF($H391="","",IFERROR($J391/$H391,""))</f>
        <v/>
      </c>
      <c r="O391" s="6" t="n"/>
      <c r="P391" s="7" t="n"/>
      <c r="Q391" s="7" t="n"/>
      <c r="R391" s="7" t="n"/>
      <c r="S391" s="7" t="n"/>
      <c r="T391" s="7">
        <f>IF($H391="","",IFERROR($H391*$P391,""))</f>
        <v/>
      </c>
      <c r="U391" s="7" t="n"/>
      <c r="V391" s="7" t="n"/>
      <c r="W391" s="7" t="n"/>
      <c r="X391" s="7">
        <f>IF(OR($U391="",$W391=""),"",($U391+$V391)-$W391)</f>
        <v/>
      </c>
      <c r="Y391" s="8" t="n"/>
      <c r="Z391" s="8" t="n"/>
      <c r="AA391" s="8" t="n"/>
      <c r="AB391" s="8" t="n"/>
      <c r="AC391" s="8" t="n"/>
      <c r="AD391" s="8" t="n"/>
      <c r="AE391" s="8" t="n"/>
      <c r="AF391" s="8" t="n"/>
      <c r="AG391" s="8" t="n"/>
      <c r="AH391" s="8" t="n"/>
      <c r="AI391" s="9" t="n"/>
      <c r="AJ391" s="8" t="n"/>
      <c r="AK391" s="8" t="n"/>
      <c r="AL391" s="15" t="n"/>
      <c r="AM391" s="15" t="n"/>
      <c r="AN391" s="15" t="n"/>
      <c r="AO391" s="15" t="n"/>
      <c r="AP391" s="10" t="n"/>
      <c r="AQ391" s="15">
        <f>IF($B391="","",IF(OR(ISERROR(MATCH($B391,Community_Master!$A$2:$A$100,0)),$A391="",AND($H391&lt;&gt;"",$I391&gt;$H391),AND($H391&lt;&gt;"",$J391&gt;$H391),$I391&lt;0,$J391&lt;0,$K391&lt;0,$P391&lt;0,$Q391&lt;0,$Y391&lt;0,$Z391&lt;0,$AA391&lt;0,$AB391&lt;0,$AC391&lt;0),"ERROR","OK"))</f>
        <v/>
      </c>
      <c r="AR391" s="15">
        <f>IF($B391="","",TRIM(IF(ISERROR(MATCH($B391,Community_Master!$A$2:$A$100,0)),"Invalid Community_ID; ","")&amp;IF($A391="","Missing Report_Month; ","")&amp;IF(AND($H391&lt;&gt;"",$I391&gt;$H391),"Occupied_Units greater than Total_Units; ","")&amp;IF(AND($H391&lt;&gt;"",$J391&gt;$H391),"Leased_Units greater than Total_Units; ","")&amp;IF($I391&lt;0,"Occupied_Units negative; ","")&amp;IF($J391&lt;0,"Leased_Units negative; ","")&amp;IF($P391&lt;0,"Avg_Market_Rent negative; ","")))</f>
        <v/>
      </c>
    </row>
    <row r="392" ht="15" customHeight="1">
      <c r="A392" s="5" t="n"/>
      <c r="B392" s="15" t="n"/>
      <c r="C392" s="15">
        <f>IFERROR(VLOOKUP($B392,Community_Master!$A$2:$K$100,2,FALSE),"")</f>
        <v/>
      </c>
      <c r="D392" s="15">
        <f>IFERROR(VLOOKUP($B392,Community_Master!$A$2:$K$100,4,FALSE),"")</f>
        <v/>
      </c>
      <c r="E392" s="15">
        <f>IFERROR(VLOOKUP($B392,Community_Master!$A$2:$K$100,5,FALSE),"")</f>
        <v/>
      </c>
      <c r="F392" s="15">
        <f>IFERROR(VLOOKUP($B392,Community_Master!$A$2:$K$100,6,FALSE),"")</f>
        <v/>
      </c>
      <c r="G392" s="15">
        <f>IFERROR(VLOOKUP($B392,Community_Master!$A$2:$K$100,8,FALSE),"")</f>
        <v/>
      </c>
      <c r="H392" s="15">
        <f>IFERROR(VLOOKUP($B392,Community_Master!$A$2:$K$100,7,FALSE),"")</f>
        <v/>
      </c>
      <c r="I392" s="15" t="n"/>
      <c r="J392" s="15" t="n"/>
      <c r="K392" s="15" t="n"/>
      <c r="L392" s="15">
        <f>IF($H392="","",MAX($H392-$I392,0))</f>
        <v/>
      </c>
      <c r="M392" s="6">
        <f>IF($H392="","",IFERROR($I392/$H392,""))</f>
        <v/>
      </c>
      <c r="N392" s="6">
        <f>IF($H392="","",IFERROR($J392/$H392,""))</f>
        <v/>
      </c>
      <c r="O392" s="6" t="n"/>
      <c r="P392" s="7" t="n"/>
      <c r="Q392" s="7" t="n"/>
      <c r="R392" s="7" t="n"/>
      <c r="S392" s="7" t="n"/>
      <c r="T392" s="7">
        <f>IF($H392="","",IFERROR($H392*$P392,""))</f>
        <v/>
      </c>
      <c r="U392" s="7" t="n"/>
      <c r="V392" s="7" t="n"/>
      <c r="W392" s="7" t="n"/>
      <c r="X392" s="7">
        <f>IF(OR($U392="",$W392=""),"",($U392+$V392)-$W392)</f>
        <v/>
      </c>
      <c r="Y392" s="8" t="n"/>
      <c r="Z392" s="8" t="n"/>
      <c r="AA392" s="8" t="n"/>
      <c r="AB392" s="8" t="n"/>
      <c r="AC392" s="8" t="n"/>
      <c r="AD392" s="8" t="n"/>
      <c r="AE392" s="8" t="n"/>
      <c r="AF392" s="8" t="n"/>
      <c r="AG392" s="8" t="n"/>
      <c r="AH392" s="8" t="n"/>
      <c r="AI392" s="9" t="n"/>
      <c r="AJ392" s="8" t="n"/>
      <c r="AK392" s="8" t="n"/>
      <c r="AL392" s="15" t="n"/>
      <c r="AM392" s="15" t="n"/>
      <c r="AN392" s="15" t="n"/>
      <c r="AO392" s="15" t="n"/>
      <c r="AP392" s="10" t="n"/>
      <c r="AQ392" s="15">
        <f>IF($B392="","",IF(OR(ISERROR(MATCH($B392,Community_Master!$A$2:$A$100,0)),$A392="",AND($H392&lt;&gt;"",$I392&gt;$H392),AND($H392&lt;&gt;"",$J392&gt;$H392),$I392&lt;0,$J392&lt;0,$K392&lt;0,$P392&lt;0,$Q392&lt;0,$Y392&lt;0,$Z392&lt;0,$AA392&lt;0,$AB392&lt;0,$AC392&lt;0),"ERROR","OK"))</f>
        <v/>
      </c>
      <c r="AR392" s="15">
        <f>IF($B392="","",TRIM(IF(ISERROR(MATCH($B392,Community_Master!$A$2:$A$100,0)),"Invalid Community_ID; ","")&amp;IF($A392="","Missing Report_Month; ","")&amp;IF(AND($H392&lt;&gt;"",$I392&gt;$H392),"Occupied_Units greater than Total_Units; ","")&amp;IF(AND($H392&lt;&gt;"",$J392&gt;$H392),"Leased_Units greater than Total_Units; ","")&amp;IF($I392&lt;0,"Occupied_Units negative; ","")&amp;IF($J392&lt;0,"Leased_Units negative; ","")&amp;IF($P392&lt;0,"Avg_Market_Rent negative; ","")))</f>
        <v/>
      </c>
    </row>
    <row r="393" ht="15" customHeight="1">
      <c r="A393" s="5" t="n"/>
      <c r="B393" s="15" t="n"/>
      <c r="C393" s="15">
        <f>IFERROR(VLOOKUP($B393,Community_Master!$A$2:$K$100,2,FALSE),"")</f>
        <v/>
      </c>
      <c r="D393" s="15">
        <f>IFERROR(VLOOKUP($B393,Community_Master!$A$2:$K$100,4,FALSE),"")</f>
        <v/>
      </c>
      <c r="E393" s="15">
        <f>IFERROR(VLOOKUP($B393,Community_Master!$A$2:$K$100,5,FALSE),"")</f>
        <v/>
      </c>
      <c r="F393" s="15">
        <f>IFERROR(VLOOKUP($B393,Community_Master!$A$2:$K$100,6,FALSE),"")</f>
        <v/>
      </c>
      <c r="G393" s="15">
        <f>IFERROR(VLOOKUP($B393,Community_Master!$A$2:$K$100,8,FALSE),"")</f>
        <v/>
      </c>
      <c r="H393" s="15">
        <f>IFERROR(VLOOKUP($B393,Community_Master!$A$2:$K$100,7,FALSE),"")</f>
        <v/>
      </c>
      <c r="I393" s="15" t="n"/>
      <c r="J393" s="15" t="n"/>
      <c r="K393" s="15" t="n"/>
      <c r="L393" s="15">
        <f>IF($H393="","",MAX($H393-$I393,0))</f>
        <v/>
      </c>
      <c r="M393" s="6">
        <f>IF($H393="","",IFERROR($I393/$H393,""))</f>
        <v/>
      </c>
      <c r="N393" s="6">
        <f>IF($H393="","",IFERROR($J393/$H393,""))</f>
        <v/>
      </c>
      <c r="O393" s="6" t="n"/>
      <c r="P393" s="7" t="n"/>
      <c r="Q393" s="7" t="n"/>
      <c r="R393" s="7" t="n"/>
      <c r="S393" s="7" t="n"/>
      <c r="T393" s="7">
        <f>IF($H393="","",IFERROR($H393*$P393,""))</f>
        <v/>
      </c>
      <c r="U393" s="7" t="n"/>
      <c r="V393" s="7" t="n"/>
      <c r="W393" s="7" t="n"/>
      <c r="X393" s="7">
        <f>IF(OR($U393="",$W393=""),"",($U393+$V393)-$W393)</f>
        <v/>
      </c>
      <c r="Y393" s="8" t="n"/>
      <c r="Z393" s="8" t="n"/>
      <c r="AA393" s="8" t="n"/>
      <c r="AB393" s="8" t="n"/>
      <c r="AC393" s="8" t="n"/>
      <c r="AD393" s="8" t="n"/>
      <c r="AE393" s="8" t="n"/>
      <c r="AF393" s="8" t="n"/>
      <c r="AG393" s="8" t="n"/>
      <c r="AH393" s="8" t="n"/>
      <c r="AI393" s="9" t="n"/>
      <c r="AJ393" s="8" t="n"/>
      <c r="AK393" s="8" t="n"/>
      <c r="AL393" s="15" t="n"/>
      <c r="AM393" s="15" t="n"/>
      <c r="AN393" s="15" t="n"/>
      <c r="AO393" s="15" t="n"/>
      <c r="AP393" s="10" t="n"/>
      <c r="AQ393" s="15">
        <f>IF($B393="","",IF(OR(ISERROR(MATCH($B393,Community_Master!$A$2:$A$100,0)),$A393="",AND($H393&lt;&gt;"",$I393&gt;$H393),AND($H393&lt;&gt;"",$J393&gt;$H393),$I393&lt;0,$J393&lt;0,$K393&lt;0,$P393&lt;0,$Q393&lt;0,$Y393&lt;0,$Z393&lt;0,$AA393&lt;0,$AB393&lt;0,$AC393&lt;0),"ERROR","OK"))</f>
        <v/>
      </c>
      <c r="AR393" s="15">
        <f>IF($B393="","",TRIM(IF(ISERROR(MATCH($B393,Community_Master!$A$2:$A$100,0)),"Invalid Community_ID; ","")&amp;IF($A393="","Missing Report_Month; ","")&amp;IF(AND($H393&lt;&gt;"",$I393&gt;$H393),"Occupied_Units greater than Total_Units; ","")&amp;IF(AND($H393&lt;&gt;"",$J393&gt;$H393),"Leased_Units greater than Total_Units; ","")&amp;IF($I393&lt;0,"Occupied_Units negative; ","")&amp;IF($J393&lt;0,"Leased_Units negative; ","")&amp;IF($P393&lt;0,"Avg_Market_Rent negative; ","")))</f>
        <v/>
      </c>
    </row>
    <row r="394" ht="15" customHeight="1">
      <c r="A394" s="5" t="n"/>
      <c r="B394" s="15" t="n"/>
      <c r="C394" s="15">
        <f>IFERROR(VLOOKUP($B394,Community_Master!$A$2:$K$100,2,FALSE),"")</f>
        <v/>
      </c>
      <c r="D394" s="15">
        <f>IFERROR(VLOOKUP($B394,Community_Master!$A$2:$K$100,4,FALSE),"")</f>
        <v/>
      </c>
      <c r="E394" s="15">
        <f>IFERROR(VLOOKUP($B394,Community_Master!$A$2:$K$100,5,FALSE),"")</f>
        <v/>
      </c>
      <c r="F394" s="15">
        <f>IFERROR(VLOOKUP($B394,Community_Master!$A$2:$K$100,6,FALSE),"")</f>
        <v/>
      </c>
      <c r="G394" s="15">
        <f>IFERROR(VLOOKUP($B394,Community_Master!$A$2:$K$100,8,FALSE),"")</f>
        <v/>
      </c>
      <c r="H394" s="15">
        <f>IFERROR(VLOOKUP($B394,Community_Master!$A$2:$K$100,7,FALSE),"")</f>
        <v/>
      </c>
      <c r="I394" s="15" t="n"/>
      <c r="J394" s="15" t="n"/>
      <c r="K394" s="15" t="n"/>
      <c r="L394" s="15">
        <f>IF($H394="","",MAX($H394-$I394,0))</f>
        <v/>
      </c>
      <c r="M394" s="6">
        <f>IF($H394="","",IFERROR($I394/$H394,""))</f>
        <v/>
      </c>
      <c r="N394" s="6">
        <f>IF($H394="","",IFERROR($J394/$H394,""))</f>
        <v/>
      </c>
      <c r="O394" s="6" t="n"/>
      <c r="P394" s="7" t="n"/>
      <c r="Q394" s="7" t="n"/>
      <c r="R394" s="7" t="n"/>
      <c r="S394" s="7" t="n"/>
      <c r="T394" s="7">
        <f>IF($H394="","",IFERROR($H394*$P394,""))</f>
        <v/>
      </c>
      <c r="U394" s="7" t="n"/>
      <c r="V394" s="7" t="n"/>
      <c r="W394" s="7" t="n"/>
      <c r="X394" s="7">
        <f>IF(OR($U394="",$W394=""),"",($U394+$V394)-$W394)</f>
        <v/>
      </c>
      <c r="Y394" s="8" t="n"/>
      <c r="Z394" s="8" t="n"/>
      <c r="AA394" s="8" t="n"/>
      <c r="AB394" s="8" t="n"/>
      <c r="AC394" s="8" t="n"/>
      <c r="AD394" s="8" t="n"/>
      <c r="AE394" s="8" t="n"/>
      <c r="AF394" s="8" t="n"/>
      <c r="AG394" s="8" t="n"/>
      <c r="AH394" s="8" t="n"/>
      <c r="AI394" s="9" t="n"/>
      <c r="AJ394" s="8" t="n"/>
      <c r="AK394" s="8" t="n"/>
      <c r="AL394" s="15" t="n"/>
      <c r="AM394" s="15" t="n"/>
      <c r="AN394" s="15" t="n"/>
      <c r="AO394" s="15" t="n"/>
      <c r="AP394" s="10" t="n"/>
      <c r="AQ394" s="15">
        <f>IF($B394="","",IF(OR(ISERROR(MATCH($B394,Community_Master!$A$2:$A$100,0)),$A394="",AND($H394&lt;&gt;"",$I394&gt;$H394),AND($H394&lt;&gt;"",$J394&gt;$H394),$I394&lt;0,$J394&lt;0,$K394&lt;0,$P394&lt;0,$Q394&lt;0,$Y394&lt;0,$Z394&lt;0,$AA394&lt;0,$AB394&lt;0,$AC394&lt;0),"ERROR","OK"))</f>
        <v/>
      </c>
      <c r="AR394" s="15">
        <f>IF($B394="","",TRIM(IF(ISERROR(MATCH($B394,Community_Master!$A$2:$A$100,0)),"Invalid Community_ID; ","")&amp;IF($A394="","Missing Report_Month; ","")&amp;IF(AND($H394&lt;&gt;"",$I394&gt;$H394),"Occupied_Units greater than Total_Units; ","")&amp;IF(AND($H394&lt;&gt;"",$J394&gt;$H394),"Leased_Units greater than Total_Units; ","")&amp;IF($I394&lt;0,"Occupied_Units negative; ","")&amp;IF($J394&lt;0,"Leased_Units negative; ","")&amp;IF($P394&lt;0,"Avg_Market_Rent negative; ","")))</f>
        <v/>
      </c>
    </row>
    <row r="395" ht="15" customHeight="1">
      <c r="A395" s="5" t="n"/>
      <c r="B395" s="15" t="n"/>
      <c r="C395" s="15">
        <f>IFERROR(VLOOKUP($B395,Community_Master!$A$2:$K$100,2,FALSE),"")</f>
        <v/>
      </c>
      <c r="D395" s="15">
        <f>IFERROR(VLOOKUP($B395,Community_Master!$A$2:$K$100,4,FALSE),"")</f>
        <v/>
      </c>
      <c r="E395" s="15">
        <f>IFERROR(VLOOKUP($B395,Community_Master!$A$2:$K$100,5,FALSE),"")</f>
        <v/>
      </c>
      <c r="F395" s="15">
        <f>IFERROR(VLOOKUP($B395,Community_Master!$A$2:$K$100,6,FALSE),"")</f>
        <v/>
      </c>
      <c r="G395" s="15">
        <f>IFERROR(VLOOKUP($B395,Community_Master!$A$2:$K$100,8,FALSE),"")</f>
        <v/>
      </c>
      <c r="H395" s="15">
        <f>IFERROR(VLOOKUP($B395,Community_Master!$A$2:$K$100,7,FALSE),"")</f>
        <v/>
      </c>
      <c r="I395" s="15" t="n"/>
      <c r="J395" s="15" t="n"/>
      <c r="K395" s="15" t="n"/>
      <c r="L395" s="15">
        <f>IF($H395="","",MAX($H395-$I395,0))</f>
        <v/>
      </c>
      <c r="M395" s="6">
        <f>IF($H395="","",IFERROR($I395/$H395,""))</f>
        <v/>
      </c>
      <c r="N395" s="6">
        <f>IF($H395="","",IFERROR($J395/$H395,""))</f>
        <v/>
      </c>
      <c r="O395" s="6" t="n"/>
      <c r="P395" s="7" t="n"/>
      <c r="Q395" s="7" t="n"/>
      <c r="R395" s="7" t="n"/>
      <c r="S395" s="7" t="n"/>
      <c r="T395" s="7">
        <f>IF($H395="","",IFERROR($H395*$P395,""))</f>
        <v/>
      </c>
      <c r="U395" s="7" t="n"/>
      <c r="V395" s="7" t="n"/>
      <c r="W395" s="7" t="n"/>
      <c r="X395" s="7">
        <f>IF(OR($U395="",$W395=""),"",($U395+$V395)-$W395)</f>
        <v/>
      </c>
      <c r="Y395" s="8" t="n"/>
      <c r="Z395" s="8" t="n"/>
      <c r="AA395" s="8" t="n"/>
      <c r="AB395" s="8" t="n"/>
      <c r="AC395" s="8" t="n"/>
      <c r="AD395" s="8" t="n"/>
      <c r="AE395" s="8" t="n"/>
      <c r="AF395" s="8" t="n"/>
      <c r="AG395" s="8" t="n"/>
      <c r="AH395" s="8" t="n"/>
      <c r="AI395" s="9" t="n"/>
      <c r="AJ395" s="8" t="n"/>
      <c r="AK395" s="8" t="n"/>
      <c r="AL395" s="15" t="n"/>
      <c r="AM395" s="15" t="n"/>
      <c r="AN395" s="15" t="n"/>
      <c r="AO395" s="15" t="n"/>
      <c r="AP395" s="10" t="n"/>
      <c r="AQ395" s="15">
        <f>IF($B395="","",IF(OR(ISERROR(MATCH($B395,Community_Master!$A$2:$A$100,0)),$A395="",AND($H395&lt;&gt;"",$I395&gt;$H395),AND($H395&lt;&gt;"",$J395&gt;$H395),$I395&lt;0,$J395&lt;0,$K395&lt;0,$P395&lt;0,$Q395&lt;0,$Y395&lt;0,$Z395&lt;0,$AA395&lt;0,$AB395&lt;0,$AC395&lt;0),"ERROR","OK"))</f>
        <v/>
      </c>
      <c r="AR395" s="15">
        <f>IF($B395="","",TRIM(IF(ISERROR(MATCH($B395,Community_Master!$A$2:$A$100,0)),"Invalid Community_ID; ","")&amp;IF($A395="","Missing Report_Month; ","")&amp;IF(AND($H395&lt;&gt;"",$I395&gt;$H395),"Occupied_Units greater than Total_Units; ","")&amp;IF(AND($H395&lt;&gt;"",$J395&gt;$H395),"Leased_Units greater than Total_Units; ","")&amp;IF($I395&lt;0,"Occupied_Units negative; ","")&amp;IF($J395&lt;0,"Leased_Units negative; ","")&amp;IF($P395&lt;0,"Avg_Market_Rent negative; ","")))</f>
        <v/>
      </c>
    </row>
    <row r="396" ht="15" customHeight="1">
      <c r="A396" s="5" t="n"/>
      <c r="B396" s="15" t="n"/>
      <c r="C396" s="15">
        <f>IFERROR(VLOOKUP($B396,Community_Master!$A$2:$K$100,2,FALSE),"")</f>
        <v/>
      </c>
      <c r="D396" s="15">
        <f>IFERROR(VLOOKUP($B396,Community_Master!$A$2:$K$100,4,FALSE),"")</f>
        <v/>
      </c>
      <c r="E396" s="15">
        <f>IFERROR(VLOOKUP($B396,Community_Master!$A$2:$K$100,5,FALSE),"")</f>
        <v/>
      </c>
      <c r="F396" s="15">
        <f>IFERROR(VLOOKUP($B396,Community_Master!$A$2:$K$100,6,FALSE),"")</f>
        <v/>
      </c>
      <c r="G396" s="15">
        <f>IFERROR(VLOOKUP($B396,Community_Master!$A$2:$K$100,8,FALSE),"")</f>
        <v/>
      </c>
      <c r="H396" s="15">
        <f>IFERROR(VLOOKUP($B396,Community_Master!$A$2:$K$100,7,FALSE),"")</f>
        <v/>
      </c>
      <c r="I396" s="15" t="n"/>
      <c r="J396" s="15" t="n"/>
      <c r="K396" s="15" t="n"/>
      <c r="L396" s="15">
        <f>IF($H396="","",MAX($H396-$I396,0))</f>
        <v/>
      </c>
      <c r="M396" s="6">
        <f>IF($H396="","",IFERROR($I396/$H396,""))</f>
        <v/>
      </c>
      <c r="N396" s="6">
        <f>IF($H396="","",IFERROR($J396/$H396,""))</f>
        <v/>
      </c>
      <c r="O396" s="6" t="n"/>
      <c r="P396" s="7" t="n"/>
      <c r="Q396" s="7" t="n"/>
      <c r="R396" s="7" t="n"/>
      <c r="S396" s="7" t="n"/>
      <c r="T396" s="7">
        <f>IF($H396="","",IFERROR($H396*$P396,""))</f>
        <v/>
      </c>
      <c r="U396" s="7" t="n"/>
      <c r="V396" s="7" t="n"/>
      <c r="W396" s="7" t="n"/>
      <c r="X396" s="7">
        <f>IF(OR($U396="",$W396=""),"",($U396+$V396)-$W396)</f>
        <v/>
      </c>
      <c r="Y396" s="8" t="n"/>
      <c r="Z396" s="8" t="n"/>
      <c r="AA396" s="8" t="n"/>
      <c r="AB396" s="8" t="n"/>
      <c r="AC396" s="8" t="n"/>
      <c r="AD396" s="8" t="n"/>
      <c r="AE396" s="8" t="n"/>
      <c r="AF396" s="8" t="n"/>
      <c r="AG396" s="8" t="n"/>
      <c r="AH396" s="8" t="n"/>
      <c r="AI396" s="9" t="n"/>
      <c r="AJ396" s="8" t="n"/>
      <c r="AK396" s="8" t="n"/>
      <c r="AL396" s="15" t="n"/>
      <c r="AM396" s="15" t="n"/>
      <c r="AN396" s="15" t="n"/>
      <c r="AO396" s="15" t="n"/>
      <c r="AP396" s="10" t="n"/>
      <c r="AQ396" s="15">
        <f>IF($B396="","",IF(OR(ISERROR(MATCH($B396,Community_Master!$A$2:$A$100,0)),$A396="",AND($H396&lt;&gt;"",$I396&gt;$H396),AND($H396&lt;&gt;"",$J396&gt;$H396),$I396&lt;0,$J396&lt;0,$K396&lt;0,$P396&lt;0,$Q396&lt;0,$Y396&lt;0,$Z396&lt;0,$AA396&lt;0,$AB396&lt;0,$AC396&lt;0),"ERROR","OK"))</f>
        <v/>
      </c>
      <c r="AR396" s="15">
        <f>IF($B396="","",TRIM(IF(ISERROR(MATCH($B396,Community_Master!$A$2:$A$100,0)),"Invalid Community_ID; ","")&amp;IF($A396="","Missing Report_Month; ","")&amp;IF(AND($H396&lt;&gt;"",$I396&gt;$H396),"Occupied_Units greater than Total_Units; ","")&amp;IF(AND($H396&lt;&gt;"",$J396&gt;$H396),"Leased_Units greater than Total_Units; ","")&amp;IF($I396&lt;0,"Occupied_Units negative; ","")&amp;IF($J396&lt;0,"Leased_Units negative; ","")&amp;IF($P396&lt;0,"Avg_Market_Rent negative; ","")))</f>
        <v/>
      </c>
    </row>
    <row r="397" ht="15" customHeight="1">
      <c r="A397" s="5" t="n"/>
      <c r="B397" s="15" t="n"/>
      <c r="C397" s="15">
        <f>IFERROR(VLOOKUP($B397,Community_Master!$A$2:$K$100,2,FALSE),"")</f>
        <v/>
      </c>
      <c r="D397" s="15">
        <f>IFERROR(VLOOKUP($B397,Community_Master!$A$2:$K$100,4,FALSE),"")</f>
        <v/>
      </c>
      <c r="E397" s="15">
        <f>IFERROR(VLOOKUP($B397,Community_Master!$A$2:$K$100,5,FALSE),"")</f>
        <v/>
      </c>
      <c r="F397" s="15">
        <f>IFERROR(VLOOKUP($B397,Community_Master!$A$2:$K$100,6,FALSE),"")</f>
        <v/>
      </c>
      <c r="G397" s="15">
        <f>IFERROR(VLOOKUP($B397,Community_Master!$A$2:$K$100,8,FALSE),"")</f>
        <v/>
      </c>
      <c r="H397" s="15">
        <f>IFERROR(VLOOKUP($B397,Community_Master!$A$2:$K$100,7,FALSE),"")</f>
        <v/>
      </c>
      <c r="I397" s="15" t="n"/>
      <c r="J397" s="15" t="n"/>
      <c r="K397" s="15" t="n"/>
      <c r="L397" s="15">
        <f>IF($H397="","",MAX($H397-$I397,0))</f>
        <v/>
      </c>
      <c r="M397" s="6">
        <f>IF($H397="","",IFERROR($I397/$H397,""))</f>
        <v/>
      </c>
      <c r="N397" s="6">
        <f>IF($H397="","",IFERROR($J397/$H397,""))</f>
        <v/>
      </c>
      <c r="O397" s="6" t="n"/>
      <c r="P397" s="7" t="n"/>
      <c r="Q397" s="7" t="n"/>
      <c r="R397" s="7" t="n"/>
      <c r="S397" s="7" t="n"/>
      <c r="T397" s="7">
        <f>IF($H397="","",IFERROR($H397*$P397,""))</f>
        <v/>
      </c>
      <c r="U397" s="7" t="n"/>
      <c r="V397" s="7" t="n"/>
      <c r="W397" s="7" t="n"/>
      <c r="X397" s="7">
        <f>IF(OR($U397="",$W397=""),"",($U397+$V397)-$W397)</f>
        <v/>
      </c>
      <c r="Y397" s="8" t="n"/>
      <c r="Z397" s="8" t="n"/>
      <c r="AA397" s="8" t="n"/>
      <c r="AB397" s="8" t="n"/>
      <c r="AC397" s="8" t="n"/>
      <c r="AD397" s="8" t="n"/>
      <c r="AE397" s="8" t="n"/>
      <c r="AF397" s="8" t="n"/>
      <c r="AG397" s="8" t="n"/>
      <c r="AH397" s="8" t="n"/>
      <c r="AI397" s="9" t="n"/>
      <c r="AJ397" s="8" t="n"/>
      <c r="AK397" s="8" t="n"/>
      <c r="AL397" s="15" t="n"/>
      <c r="AM397" s="15" t="n"/>
      <c r="AN397" s="15" t="n"/>
      <c r="AO397" s="15" t="n"/>
      <c r="AP397" s="10" t="n"/>
      <c r="AQ397" s="15">
        <f>IF($B397="","",IF(OR(ISERROR(MATCH($B397,Community_Master!$A$2:$A$100,0)),$A397="",AND($H397&lt;&gt;"",$I397&gt;$H397),AND($H397&lt;&gt;"",$J397&gt;$H397),$I397&lt;0,$J397&lt;0,$K397&lt;0,$P397&lt;0,$Q397&lt;0,$Y397&lt;0,$Z397&lt;0,$AA397&lt;0,$AB397&lt;0,$AC397&lt;0),"ERROR","OK"))</f>
        <v/>
      </c>
      <c r="AR397" s="15">
        <f>IF($B397="","",TRIM(IF(ISERROR(MATCH($B397,Community_Master!$A$2:$A$100,0)),"Invalid Community_ID; ","")&amp;IF($A397="","Missing Report_Month; ","")&amp;IF(AND($H397&lt;&gt;"",$I397&gt;$H397),"Occupied_Units greater than Total_Units; ","")&amp;IF(AND($H397&lt;&gt;"",$J397&gt;$H397),"Leased_Units greater than Total_Units; ","")&amp;IF($I397&lt;0,"Occupied_Units negative; ","")&amp;IF($J397&lt;0,"Leased_Units negative; ","")&amp;IF($P397&lt;0,"Avg_Market_Rent negative; ","")))</f>
        <v/>
      </c>
    </row>
    <row r="398" ht="15" customHeight="1">
      <c r="A398" s="5" t="n"/>
      <c r="B398" s="15" t="n"/>
      <c r="C398" s="15">
        <f>IFERROR(VLOOKUP($B398,Community_Master!$A$2:$K$100,2,FALSE),"")</f>
        <v/>
      </c>
      <c r="D398" s="15">
        <f>IFERROR(VLOOKUP($B398,Community_Master!$A$2:$K$100,4,FALSE),"")</f>
        <v/>
      </c>
      <c r="E398" s="15">
        <f>IFERROR(VLOOKUP($B398,Community_Master!$A$2:$K$100,5,FALSE),"")</f>
        <v/>
      </c>
      <c r="F398" s="15">
        <f>IFERROR(VLOOKUP($B398,Community_Master!$A$2:$K$100,6,FALSE),"")</f>
        <v/>
      </c>
      <c r="G398" s="15">
        <f>IFERROR(VLOOKUP($B398,Community_Master!$A$2:$K$100,8,FALSE),"")</f>
        <v/>
      </c>
      <c r="H398" s="15">
        <f>IFERROR(VLOOKUP($B398,Community_Master!$A$2:$K$100,7,FALSE),"")</f>
        <v/>
      </c>
      <c r="I398" s="15" t="n"/>
      <c r="J398" s="15" t="n"/>
      <c r="K398" s="15" t="n"/>
      <c r="L398" s="15">
        <f>IF($H398="","",MAX($H398-$I398,0))</f>
        <v/>
      </c>
      <c r="M398" s="6">
        <f>IF($H398="","",IFERROR($I398/$H398,""))</f>
        <v/>
      </c>
      <c r="N398" s="6">
        <f>IF($H398="","",IFERROR($J398/$H398,""))</f>
        <v/>
      </c>
      <c r="O398" s="6" t="n"/>
      <c r="P398" s="7" t="n"/>
      <c r="Q398" s="7" t="n"/>
      <c r="R398" s="7" t="n"/>
      <c r="S398" s="7" t="n"/>
      <c r="T398" s="7">
        <f>IF($H398="","",IFERROR($H398*$P398,""))</f>
        <v/>
      </c>
      <c r="U398" s="7" t="n"/>
      <c r="V398" s="7" t="n"/>
      <c r="W398" s="7" t="n"/>
      <c r="X398" s="7">
        <f>IF(OR($U398="",$W398=""),"",($U398+$V398)-$W398)</f>
        <v/>
      </c>
      <c r="Y398" s="8" t="n"/>
      <c r="Z398" s="8" t="n"/>
      <c r="AA398" s="8" t="n"/>
      <c r="AB398" s="8" t="n"/>
      <c r="AC398" s="8" t="n"/>
      <c r="AD398" s="8" t="n"/>
      <c r="AE398" s="8" t="n"/>
      <c r="AF398" s="8" t="n"/>
      <c r="AG398" s="8" t="n"/>
      <c r="AH398" s="8" t="n"/>
      <c r="AI398" s="9" t="n"/>
      <c r="AJ398" s="8" t="n"/>
      <c r="AK398" s="8" t="n"/>
      <c r="AL398" s="15" t="n"/>
      <c r="AM398" s="15" t="n"/>
      <c r="AN398" s="15" t="n"/>
      <c r="AO398" s="15" t="n"/>
      <c r="AP398" s="10" t="n"/>
      <c r="AQ398" s="15">
        <f>IF($B398="","",IF(OR(ISERROR(MATCH($B398,Community_Master!$A$2:$A$100,0)),$A398="",AND($H398&lt;&gt;"",$I398&gt;$H398),AND($H398&lt;&gt;"",$J398&gt;$H398),$I398&lt;0,$J398&lt;0,$K398&lt;0,$P398&lt;0,$Q398&lt;0,$Y398&lt;0,$Z398&lt;0,$AA398&lt;0,$AB398&lt;0,$AC398&lt;0),"ERROR","OK"))</f>
        <v/>
      </c>
      <c r="AR398" s="15">
        <f>IF($B398="","",TRIM(IF(ISERROR(MATCH($B398,Community_Master!$A$2:$A$100,0)),"Invalid Community_ID; ","")&amp;IF($A398="","Missing Report_Month; ","")&amp;IF(AND($H398&lt;&gt;"",$I398&gt;$H398),"Occupied_Units greater than Total_Units; ","")&amp;IF(AND($H398&lt;&gt;"",$J398&gt;$H398),"Leased_Units greater than Total_Units; ","")&amp;IF($I398&lt;0,"Occupied_Units negative; ","")&amp;IF($J398&lt;0,"Leased_Units negative; ","")&amp;IF($P398&lt;0,"Avg_Market_Rent negative; ","")))</f>
        <v/>
      </c>
    </row>
    <row r="399" ht="15" customHeight="1">
      <c r="A399" s="5" t="n"/>
      <c r="B399" s="15" t="n"/>
      <c r="C399" s="15">
        <f>IFERROR(VLOOKUP($B399,Community_Master!$A$2:$K$100,2,FALSE),"")</f>
        <v/>
      </c>
      <c r="D399" s="15">
        <f>IFERROR(VLOOKUP($B399,Community_Master!$A$2:$K$100,4,FALSE),"")</f>
        <v/>
      </c>
      <c r="E399" s="15">
        <f>IFERROR(VLOOKUP($B399,Community_Master!$A$2:$K$100,5,FALSE),"")</f>
        <v/>
      </c>
      <c r="F399" s="15">
        <f>IFERROR(VLOOKUP($B399,Community_Master!$A$2:$K$100,6,FALSE),"")</f>
        <v/>
      </c>
      <c r="G399" s="15">
        <f>IFERROR(VLOOKUP($B399,Community_Master!$A$2:$K$100,8,FALSE),"")</f>
        <v/>
      </c>
      <c r="H399" s="15">
        <f>IFERROR(VLOOKUP($B399,Community_Master!$A$2:$K$100,7,FALSE),"")</f>
        <v/>
      </c>
      <c r="I399" s="15" t="n"/>
      <c r="J399" s="15" t="n"/>
      <c r="K399" s="15" t="n"/>
      <c r="L399" s="15">
        <f>IF($H399="","",MAX($H399-$I399,0))</f>
        <v/>
      </c>
      <c r="M399" s="6">
        <f>IF($H399="","",IFERROR($I399/$H399,""))</f>
        <v/>
      </c>
      <c r="N399" s="6">
        <f>IF($H399="","",IFERROR($J399/$H399,""))</f>
        <v/>
      </c>
      <c r="O399" s="6" t="n"/>
      <c r="P399" s="7" t="n"/>
      <c r="Q399" s="7" t="n"/>
      <c r="R399" s="7" t="n"/>
      <c r="S399" s="7" t="n"/>
      <c r="T399" s="7">
        <f>IF($H399="","",IFERROR($H399*$P399,""))</f>
        <v/>
      </c>
      <c r="U399" s="7" t="n"/>
      <c r="V399" s="7" t="n"/>
      <c r="W399" s="7" t="n"/>
      <c r="X399" s="7">
        <f>IF(OR($U399="",$W399=""),"",($U399+$V399)-$W399)</f>
        <v/>
      </c>
      <c r="Y399" s="8" t="n"/>
      <c r="Z399" s="8" t="n"/>
      <c r="AA399" s="8" t="n"/>
      <c r="AB399" s="8" t="n"/>
      <c r="AC399" s="8" t="n"/>
      <c r="AD399" s="8" t="n"/>
      <c r="AE399" s="8" t="n"/>
      <c r="AF399" s="8" t="n"/>
      <c r="AG399" s="8" t="n"/>
      <c r="AH399" s="8" t="n"/>
      <c r="AI399" s="9" t="n"/>
      <c r="AJ399" s="8" t="n"/>
      <c r="AK399" s="8" t="n"/>
      <c r="AL399" s="15" t="n"/>
      <c r="AM399" s="15" t="n"/>
      <c r="AN399" s="15" t="n"/>
      <c r="AO399" s="15" t="n"/>
      <c r="AP399" s="10" t="n"/>
      <c r="AQ399" s="15">
        <f>IF($B399="","",IF(OR(ISERROR(MATCH($B399,Community_Master!$A$2:$A$100,0)),$A399="",AND($H399&lt;&gt;"",$I399&gt;$H399),AND($H399&lt;&gt;"",$J399&gt;$H399),$I399&lt;0,$J399&lt;0,$K399&lt;0,$P399&lt;0,$Q399&lt;0,$Y399&lt;0,$Z399&lt;0,$AA399&lt;0,$AB399&lt;0,$AC399&lt;0),"ERROR","OK"))</f>
        <v/>
      </c>
      <c r="AR399" s="15">
        <f>IF($B399="","",TRIM(IF(ISERROR(MATCH($B399,Community_Master!$A$2:$A$100,0)),"Invalid Community_ID; ","")&amp;IF($A399="","Missing Report_Month; ","")&amp;IF(AND($H399&lt;&gt;"",$I399&gt;$H399),"Occupied_Units greater than Total_Units; ","")&amp;IF(AND($H399&lt;&gt;"",$J399&gt;$H399),"Leased_Units greater than Total_Units; ","")&amp;IF($I399&lt;0,"Occupied_Units negative; ","")&amp;IF($J399&lt;0,"Leased_Units negative; ","")&amp;IF($P399&lt;0,"Avg_Market_Rent negative; ","")))</f>
        <v/>
      </c>
    </row>
    <row r="400" ht="15" customHeight="1">
      <c r="A400" s="5" t="n"/>
      <c r="B400" s="15" t="n"/>
      <c r="C400" s="15">
        <f>IFERROR(VLOOKUP($B400,Community_Master!$A$2:$K$100,2,FALSE),"")</f>
        <v/>
      </c>
      <c r="D400" s="15">
        <f>IFERROR(VLOOKUP($B400,Community_Master!$A$2:$K$100,4,FALSE),"")</f>
        <v/>
      </c>
      <c r="E400" s="15">
        <f>IFERROR(VLOOKUP($B400,Community_Master!$A$2:$K$100,5,FALSE),"")</f>
        <v/>
      </c>
      <c r="F400" s="15">
        <f>IFERROR(VLOOKUP($B400,Community_Master!$A$2:$K$100,6,FALSE),"")</f>
        <v/>
      </c>
      <c r="G400" s="15">
        <f>IFERROR(VLOOKUP($B400,Community_Master!$A$2:$K$100,8,FALSE),"")</f>
        <v/>
      </c>
      <c r="H400" s="15">
        <f>IFERROR(VLOOKUP($B400,Community_Master!$A$2:$K$100,7,FALSE),"")</f>
        <v/>
      </c>
      <c r="I400" s="15" t="n"/>
      <c r="J400" s="15" t="n"/>
      <c r="K400" s="15" t="n"/>
      <c r="L400" s="15">
        <f>IF($H400="","",MAX($H400-$I400,0))</f>
        <v/>
      </c>
      <c r="M400" s="6">
        <f>IF($H400="","",IFERROR($I400/$H400,""))</f>
        <v/>
      </c>
      <c r="N400" s="6">
        <f>IF($H400="","",IFERROR($J400/$H400,""))</f>
        <v/>
      </c>
      <c r="O400" s="6" t="n"/>
      <c r="P400" s="7" t="n"/>
      <c r="Q400" s="7" t="n"/>
      <c r="R400" s="7" t="n"/>
      <c r="S400" s="7" t="n"/>
      <c r="T400" s="7">
        <f>IF($H400="","",IFERROR($H400*$P400,""))</f>
        <v/>
      </c>
      <c r="U400" s="7" t="n"/>
      <c r="V400" s="7" t="n"/>
      <c r="W400" s="7" t="n"/>
      <c r="X400" s="7">
        <f>IF(OR($U400="",$W400=""),"",($U400+$V400)-$W400)</f>
        <v/>
      </c>
      <c r="Y400" s="8" t="n"/>
      <c r="Z400" s="8" t="n"/>
      <c r="AA400" s="8" t="n"/>
      <c r="AB400" s="8" t="n"/>
      <c r="AC400" s="8" t="n"/>
      <c r="AD400" s="8" t="n"/>
      <c r="AE400" s="8" t="n"/>
      <c r="AF400" s="8" t="n"/>
      <c r="AG400" s="8" t="n"/>
      <c r="AH400" s="8" t="n"/>
      <c r="AI400" s="9" t="n"/>
      <c r="AJ400" s="8" t="n"/>
      <c r="AK400" s="8" t="n"/>
      <c r="AL400" s="15" t="n"/>
      <c r="AM400" s="15" t="n"/>
      <c r="AN400" s="15" t="n"/>
      <c r="AO400" s="15" t="n"/>
      <c r="AP400" s="10" t="n"/>
      <c r="AQ400" s="15">
        <f>IF($B400="","",IF(OR(ISERROR(MATCH($B400,Community_Master!$A$2:$A$100,0)),$A400="",AND($H400&lt;&gt;"",$I400&gt;$H400),AND($H400&lt;&gt;"",$J400&gt;$H400),$I400&lt;0,$J400&lt;0,$K400&lt;0,$P400&lt;0,$Q400&lt;0,$Y400&lt;0,$Z400&lt;0,$AA400&lt;0,$AB400&lt;0,$AC400&lt;0),"ERROR","OK"))</f>
        <v/>
      </c>
      <c r="AR400" s="15">
        <f>IF($B400="","",TRIM(IF(ISERROR(MATCH($B400,Community_Master!$A$2:$A$100,0)),"Invalid Community_ID; ","")&amp;IF($A400="","Missing Report_Month; ","")&amp;IF(AND($H400&lt;&gt;"",$I400&gt;$H400),"Occupied_Units greater than Total_Units; ","")&amp;IF(AND($H400&lt;&gt;"",$J400&gt;$H400),"Leased_Units greater than Total_Units; ","")&amp;IF($I400&lt;0,"Occupied_Units negative; ","")&amp;IF($J400&lt;0,"Leased_Units negative; ","")&amp;IF($P400&lt;0,"Avg_Market_Rent negative; ","")))</f>
        <v/>
      </c>
    </row>
    <row r="401" ht="15" customHeight="1">
      <c r="A401" s="5" t="n"/>
      <c r="B401" s="15" t="n"/>
      <c r="C401" s="15">
        <f>IFERROR(VLOOKUP($B401,Community_Master!$A$2:$K$100,2,FALSE),"")</f>
        <v/>
      </c>
      <c r="D401" s="15">
        <f>IFERROR(VLOOKUP($B401,Community_Master!$A$2:$K$100,4,FALSE),"")</f>
        <v/>
      </c>
      <c r="E401" s="15">
        <f>IFERROR(VLOOKUP($B401,Community_Master!$A$2:$K$100,5,FALSE),"")</f>
        <v/>
      </c>
      <c r="F401" s="15">
        <f>IFERROR(VLOOKUP($B401,Community_Master!$A$2:$K$100,6,FALSE),"")</f>
        <v/>
      </c>
      <c r="G401" s="15">
        <f>IFERROR(VLOOKUP($B401,Community_Master!$A$2:$K$100,8,FALSE),"")</f>
        <v/>
      </c>
      <c r="H401" s="15">
        <f>IFERROR(VLOOKUP($B401,Community_Master!$A$2:$K$100,7,FALSE),"")</f>
        <v/>
      </c>
      <c r="I401" s="15" t="n"/>
      <c r="J401" s="15" t="n"/>
      <c r="K401" s="15" t="n"/>
      <c r="L401" s="15">
        <f>IF($H401="","",MAX($H401-$I401,0))</f>
        <v/>
      </c>
      <c r="M401" s="6">
        <f>IF($H401="","",IFERROR($I401/$H401,""))</f>
        <v/>
      </c>
      <c r="N401" s="6">
        <f>IF($H401="","",IFERROR($J401/$H401,""))</f>
        <v/>
      </c>
      <c r="O401" s="6" t="n"/>
      <c r="P401" s="7" t="n"/>
      <c r="Q401" s="7" t="n"/>
      <c r="R401" s="7" t="n"/>
      <c r="S401" s="7" t="n"/>
      <c r="T401" s="7">
        <f>IF($H401="","",IFERROR($H401*$P401,""))</f>
        <v/>
      </c>
      <c r="U401" s="7" t="n"/>
      <c r="V401" s="7" t="n"/>
      <c r="W401" s="7" t="n"/>
      <c r="X401" s="7">
        <f>IF(OR($U401="",$W401=""),"",($U401+$V401)-$W401)</f>
        <v/>
      </c>
      <c r="Y401" s="8" t="n"/>
      <c r="Z401" s="8" t="n"/>
      <c r="AA401" s="8" t="n"/>
      <c r="AB401" s="8" t="n"/>
      <c r="AC401" s="8" t="n"/>
      <c r="AD401" s="8" t="n"/>
      <c r="AE401" s="8" t="n"/>
      <c r="AF401" s="8" t="n"/>
      <c r="AG401" s="8" t="n"/>
      <c r="AH401" s="8" t="n"/>
      <c r="AI401" s="9" t="n"/>
      <c r="AJ401" s="8" t="n"/>
      <c r="AK401" s="8" t="n"/>
      <c r="AL401" s="15" t="n"/>
      <c r="AM401" s="15" t="n"/>
      <c r="AN401" s="15" t="n"/>
      <c r="AO401" s="15" t="n"/>
      <c r="AP401" s="10" t="n"/>
      <c r="AQ401" s="15">
        <f>IF($B401="","",IF(OR(ISERROR(MATCH($B401,Community_Master!$A$2:$A$100,0)),$A401="",AND($H401&lt;&gt;"",$I401&gt;$H401),AND($H401&lt;&gt;"",$J401&gt;$H401),$I401&lt;0,$J401&lt;0,$K401&lt;0,$P401&lt;0,$Q401&lt;0,$Y401&lt;0,$Z401&lt;0,$AA401&lt;0,$AB401&lt;0,$AC401&lt;0),"ERROR","OK"))</f>
        <v/>
      </c>
      <c r="AR401" s="15">
        <f>IF($B401="","",TRIM(IF(ISERROR(MATCH($B401,Community_Master!$A$2:$A$100,0)),"Invalid Community_ID; ","")&amp;IF($A401="","Missing Report_Month; ","")&amp;IF(AND($H401&lt;&gt;"",$I401&gt;$H401),"Occupied_Units greater than Total_Units; ","")&amp;IF(AND($H401&lt;&gt;"",$J401&gt;$H401),"Leased_Units greater than Total_Units; ","")&amp;IF($I401&lt;0,"Occupied_Units negative; ","")&amp;IF($J401&lt;0,"Leased_Units negative; ","")&amp;IF($P401&lt;0,"Avg_Market_Rent negative; ","")))</f>
        <v/>
      </c>
    </row>
    <row r="402" ht="15" customHeight="1">
      <c r="A402" s="5" t="n"/>
      <c r="B402" s="15" t="n"/>
      <c r="C402" s="15">
        <f>IFERROR(VLOOKUP($B402,Community_Master!$A$2:$K$100,2,FALSE),"")</f>
        <v/>
      </c>
      <c r="D402" s="15">
        <f>IFERROR(VLOOKUP($B402,Community_Master!$A$2:$K$100,4,FALSE),"")</f>
        <v/>
      </c>
      <c r="E402" s="15">
        <f>IFERROR(VLOOKUP($B402,Community_Master!$A$2:$K$100,5,FALSE),"")</f>
        <v/>
      </c>
      <c r="F402" s="15">
        <f>IFERROR(VLOOKUP($B402,Community_Master!$A$2:$K$100,6,FALSE),"")</f>
        <v/>
      </c>
      <c r="G402" s="15">
        <f>IFERROR(VLOOKUP($B402,Community_Master!$A$2:$K$100,8,FALSE),"")</f>
        <v/>
      </c>
      <c r="H402" s="15">
        <f>IFERROR(VLOOKUP($B402,Community_Master!$A$2:$K$100,7,FALSE),"")</f>
        <v/>
      </c>
      <c r="I402" s="15" t="n"/>
      <c r="J402" s="15" t="n"/>
      <c r="K402" s="15" t="n"/>
      <c r="L402" s="15">
        <f>IF($H402="","",MAX($H402-$I402,0))</f>
        <v/>
      </c>
      <c r="M402" s="6">
        <f>IF($H402="","",IFERROR($I402/$H402,""))</f>
        <v/>
      </c>
      <c r="N402" s="6">
        <f>IF($H402="","",IFERROR($J402/$H402,""))</f>
        <v/>
      </c>
      <c r="O402" s="6" t="n"/>
      <c r="P402" s="7" t="n"/>
      <c r="Q402" s="7" t="n"/>
      <c r="R402" s="7" t="n"/>
      <c r="S402" s="7" t="n"/>
      <c r="T402" s="7">
        <f>IF($H402="","",IFERROR($H402*$P402,""))</f>
        <v/>
      </c>
      <c r="U402" s="7" t="n"/>
      <c r="V402" s="7" t="n"/>
      <c r="W402" s="7" t="n"/>
      <c r="X402" s="7">
        <f>IF(OR($U402="",$W402=""),"",($U402+$V402)-$W402)</f>
        <v/>
      </c>
      <c r="Y402" s="8" t="n"/>
      <c r="Z402" s="8" t="n"/>
      <c r="AA402" s="8" t="n"/>
      <c r="AB402" s="8" t="n"/>
      <c r="AC402" s="8" t="n"/>
      <c r="AD402" s="8" t="n"/>
      <c r="AE402" s="8" t="n"/>
      <c r="AF402" s="8" t="n"/>
      <c r="AG402" s="8" t="n"/>
      <c r="AH402" s="8" t="n"/>
      <c r="AI402" s="9" t="n"/>
      <c r="AJ402" s="8" t="n"/>
      <c r="AK402" s="8" t="n"/>
      <c r="AL402" s="15" t="n"/>
      <c r="AM402" s="15" t="n"/>
      <c r="AN402" s="15" t="n"/>
      <c r="AO402" s="15" t="n"/>
      <c r="AP402" s="10" t="n"/>
      <c r="AQ402" s="15">
        <f>IF($B402="","",IF(OR(ISERROR(MATCH($B402,Community_Master!$A$2:$A$100,0)),$A402="",AND($H402&lt;&gt;"",$I402&gt;$H402),AND($H402&lt;&gt;"",$J402&gt;$H402),$I402&lt;0,$J402&lt;0,$K402&lt;0,$P402&lt;0,$Q402&lt;0,$Y402&lt;0,$Z402&lt;0,$AA402&lt;0,$AB402&lt;0,$AC402&lt;0),"ERROR","OK"))</f>
        <v/>
      </c>
      <c r="AR402" s="15">
        <f>IF($B402="","",TRIM(IF(ISERROR(MATCH($B402,Community_Master!$A$2:$A$100,0)),"Invalid Community_ID; ","")&amp;IF($A402="","Missing Report_Month; ","")&amp;IF(AND($H402&lt;&gt;"",$I402&gt;$H402),"Occupied_Units greater than Total_Units; ","")&amp;IF(AND($H402&lt;&gt;"",$J402&gt;$H402),"Leased_Units greater than Total_Units; ","")&amp;IF($I402&lt;0,"Occupied_Units negative; ","")&amp;IF($J402&lt;0,"Leased_Units negative; ","")&amp;IF($P402&lt;0,"Avg_Market_Rent negative; ","")))</f>
        <v/>
      </c>
    </row>
    <row r="403" ht="15" customHeight="1">
      <c r="A403" s="5" t="n"/>
      <c r="B403" s="15" t="n"/>
      <c r="C403" s="15">
        <f>IFERROR(VLOOKUP($B403,Community_Master!$A$2:$K$100,2,FALSE),"")</f>
        <v/>
      </c>
      <c r="D403" s="15">
        <f>IFERROR(VLOOKUP($B403,Community_Master!$A$2:$K$100,4,FALSE),"")</f>
        <v/>
      </c>
      <c r="E403" s="15">
        <f>IFERROR(VLOOKUP($B403,Community_Master!$A$2:$K$100,5,FALSE),"")</f>
        <v/>
      </c>
      <c r="F403" s="15">
        <f>IFERROR(VLOOKUP($B403,Community_Master!$A$2:$K$100,6,FALSE),"")</f>
        <v/>
      </c>
      <c r="G403" s="15">
        <f>IFERROR(VLOOKUP($B403,Community_Master!$A$2:$K$100,8,FALSE),"")</f>
        <v/>
      </c>
      <c r="H403" s="15">
        <f>IFERROR(VLOOKUP($B403,Community_Master!$A$2:$K$100,7,FALSE),"")</f>
        <v/>
      </c>
      <c r="I403" s="15" t="n"/>
      <c r="J403" s="15" t="n"/>
      <c r="K403" s="15" t="n"/>
      <c r="L403" s="15">
        <f>IF($H403="","",MAX($H403-$I403,0))</f>
        <v/>
      </c>
      <c r="M403" s="6">
        <f>IF($H403="","",IFERROR($I403/$H403,""))</f>
        <v/>
      </c>
      <c r="N403" s="6">
        <f>IF($H403="","",IFERROR($J403/$H403,""))</f>
        <v/>
      </c>
      <c r="O403" s="6" t="n"/>
      <c r="P403" s="7" t="n"/>
      <c r="Q403" s="7" t="n"/>
      <c r="R403" s="7" t="n"/>
      <c r="S403" s="7" t="n"/>
      <c r="T403" s="7">
        <f>IF($H403="","",IFERROR($H403*$P403,""))</f>
        <v/>
      </c>
      <c r="U403" s="7" t="n"/>
      <c r="V403" s="7" t="n"/>
      <c r="W403" s="7" t="n"/>
      <c r="X403" s="7">
        <f>IF(OR($U403="",$W403=""),"",($U403+$V403)-$W403)</f>
        <v/>
      </c>
      <c r="Y403" s="8" t="n"/>
      <c r="Z403" s="8" t="n"/>
      <c r="AA403" s="8" t="n"/>
      <c r="AB403" s="8" t="n"/>
      <c r="AC403" s="8" t="n"/>
      <c r="AD403" s="8" t="n"/>
      <c r="AE403" s="8" t="n"/>
      <c r="AF403" s="8" t="n"/>
      <c r="AG403" s="8" t="n"/>
      <c r="AH403" s="8" t="n"/>
      <c r="AI403" s="9" t="n"/>
      <c r="AJ403" s="8" t="n"/>
      <c r="AK403" s="8" t="n"/>
      <c r="AL403" s="15" t="n"/>
      <c r="AM403" s="15" t="n"/>
      <c r="AN403" s="15" t="n"/>
      <c r="AO403" s="15" t="n"/>
      <c r="AP403" s="10" t="n"/>
      <c r="AQ403" s="15">
        <f>IF($B403="","",IF(OR(ISERROR(MATCH($B403,Community_Master!$A$2:$A$100,0)),$A403="",AND($H403&lt;&gt;"",$I403&gt;$H403),AND($H403&lt;&gt;"",$J403&gt;$H403),$I403&lt;0,$J403&lt;0,$K403&lt;0,$P403&lt;0,$Q403&lt;0,$Y403&lt;0,$Z403&lt;0,$AA403&lt;0,$AB403&lt;0,$AC403&lt;0),"ERROR","OK"))</f>
        <v/>
      </c>
      <c r="AR403" s="15">
        <f>IF($B403="","",TRIM(IF(ISERROR(MATCH($B403,Community_Master!$A$2:$A$100,0)),"Invalid Community_ID; ","")&amp;IF($A403="","Missing Report_Month; ","")&amp;IF(AND($H403&lt;&gt;"",$I403&gt;$H403),"Occupied_Units greater than Total_Units; ","")&amp;IF(AND($H403&lt;&gt;"",$J403&gt;$H403),"Leased_Units greater than Total_Units; ","")&amp;IF($I403&lt;0,"Occupied_Units negative; ","")&amp;IF($J403&lt;0,"Leased_Units negative; ","")&amp;IF($P403&lt;0,"Avg_Market_Rent negative; ","")))</f>
        <v/>
      </c>
    </row>
    <row r="404" ht="15" customHeight="1">
      <c r="A404" s="5" t="n"/>
      <c r="B404" s="15" t="n"/>
      <c r="C404" s="15">
        <f>IFERROR(VLOOKUP($B404,Community_Master!$A$2:$K$100,2,FALSE),"")</f>
        <v/>
      </c>
      <c r="D404" s="15">
        <f>IFERROR(VLOOKUP($B404,Community_Master!$A$2:$K$100,4,FALSE),"")</f>
        <v/>
      </c>
      <c r="E404" s="15">
        <f>IFERROR(VLOOKUP($B404,Community_Master!$A$2:$K$100,5,FALSE),"")</f>
        <v/>
      </c>
      <c r="F404" s="15">
        <f>IFERROR(VLOOKUP($B404,Community_Master!$A$2:$K$100,6,FALSE),"")</f>
        <v/>
      </c>
      <c r="G404" s="15">
        <f>IFERROR(VLOOKUP($B404,Community_Master!$A$2:$K$100,8,FALSE),"")</f>
        <v/>
      </c>
      <c r="H404" s="15">
        <f>IFERROR(VLOOKUP($B404,Community_Master!$A$2:$K$100,7,FALSE),"")</f>
        <v/>
      </c>
      <c r="I404" s="15" t="n"/>
      <c r="J404" s="15" t="n"/>
      <c r="K404" s="15" t="n"/>
      <c r="L404" s="15">
        <f>IF($H404="","",MAX($H404-$I404,0))</f>
        <v/>
      </c>
      <c r="M404" s="6">
        <f>IF($H404="","",IFERROR($I404/$H404,""))</f>
        <v/>
      </c>
      <c r="N404" s="6">
        <f>IF($H404="","",IFERROR($J404/$H404,""))</f>
        <v/>
      </c>
      <c r="O404" s="6" t="n"/>
      <c r="P404" s="7" t="n"/>
      <c r="Q404" s="7" t="n"/>
      <c r="R404" s="7" t="n"/>
      <c r="S404" s="7" t="n"/>
      <c r="T404" s="7">
        <f>IF($H404="","",IFERROR($H404*$P404,""))</f>
        <v/>
      </c>
      <c r="U404" s="7" t="n"/>
      <c r="V404" s="7" t="n"/>
      <c r="W404" s="7" t="n"/>
      <c r="X404" s="7">
        <f>IF(OR($U404="",$W404=""),"",($U404+$V404)-$W404)</f>
        <v/>
      </c>
      <c r="Y404" s="8" t="n"/>
      <c r="Z404" s="8" t="n"/>
      <c r="AA404" s="8" t="n"/>
      <c r="AB404" s="8" t="n"/>
      <c r="AC404" s="8" t="n"/>
      <c r="AD404" s="8" t="n"/>
      <c r="AE404" s="8" t="n"/>
      <c r="AF404" s="8" t="n"/>
      <c r="AG404" s="8" t="n"/>
      <c r="AH404" s="8" t="n"/>
      <c r="AI404" s="9" t="n"/>
      <c r="AJ404" s="8" t="n"/>
      <c r="AK404" s="8" t="n"/>
      <c r="AL404" s="15" t="n"/>
      <c r="AM404" s="15" t="n"/>
      <c r="AN404" s="15" t="n"/>
      <c r="AO404" s="15" t="n"/>
      <c r="AP404" s="10" t="n"/>
      <c r="AQ404" s="15">
        <f>IF($B404="","",IF(OR(ISERROR(MATCH($B404,Community_Master!$A$2:$A$100,0)),$A404="",AND($H404&lt;&gt;"",$I404&gt;$H404),AND($H404&lt;&gt;"",$J404&gt;$H404),$I404&lt;0,$J404&lt;0,$K404&lt;0,$P404&lt;0,$Q404&lt;0,$Y404&lt;0,$Z404&lt;0,$AA404&lt;0,$AB404&lt;0,$AC404&lt;0),"ERROR","OK"))</f>
        <v/>
      </c>
      <c r="AR404" s="15">
        <f>IF($B404="","",TRIM(IF(ISERROR(MATCH($B404,Community_Master!$A$2:$A$100,0)),"Invalid Community_ID; ","")&amp;IF($A404="","Missing Report_Month; ","")&amp;IF(AND($H404&lt;&gt;"",$I404&gt;$H404),"Occupied_Units greater than Total_Units; ","")&amp;IF(AND($H404&lt;&gt;"",$J404&gt;$H404),"Leased_Units greater than Total_Units; ","")&amp;IF($I404&lt;0,"Occupied_Units negative; ","")&amp;IF($J404&lt;0,"Leased_Units negative; ","")&amp;IF($P404&lt;0,"Avg_Market_Rent negative; ","")))</f>
        <v/>
      </c>
    </row>
    <row r="405" ht="15" customHeight="1">
      <c r="A405" s="5" t="n"/>
      <c r="B405" s="15" t="n"/>
      <c r="C405" s="15">
        <f>IFERROR(VLOOKUP($B405,Community_Master!$A$2:$K$100,2,FALSE),"")</f>
        <v/>
      </c>
      <c r="D405" s="15">
        <f>IFERROR(VLOOKUP($B405,Community_Master!$A$2:$K$100,4,FALSE),"")</f>
        <v/>
      </c>
      <c r="E405" s="15">
        <f>IFERROR(VLOOKUP($B405,Community_Master!$A$2:$K$100,5,FALSE),"")</f>
        <v/>
      </c>
      <c r="F405" s="15">
        <f>IFERROR(VLOOKUP($B405,Community_Master!$A$2:$K$100,6,FALSE),"")</f>
        <v/>
      </c>
      <c r="G405" s="15">
        <f>IFERROR(VLOOKUP($B405,Community_Master!$A$2:$K$100,8,FALSE),"")</f>
        <v/>
      </c>
      <c r="H405" s="15">
        <f>IFERROR(VLOOKUP($B405,Community_Master!$A$2:$K$100,7,FALSE),"")</f>
        <v/>
      </c>
      <c r="I405" s="15" t="n"/>
      <c r="J405" s="15" t="n"/>
      <c r="K405" s="15" t="n"/>
      <c r="L405" s="15">
        <f>IF($H405="","",MAX($H405-$I405,0))</f>
        <v/>
      </c>
      <c r="M405" s="6">
        <f>IF($H405="","",IFERROR($I405/$H405,""))</f>
        <v/>
      </c>
      <c r="N405" s="6">
        <f>IF($H405="","",IFERROR($J405/$H405,""))</f>
        <v/>
      </c>
      <c r="O405" s="6" t="n"/>
      <c r="P405" s="7" t="n"/>
      <c r="Q405" s="7" t="n"/>
      <c r="R405" s="7" t="n"/>
      <c r="S405" s="7" t="n"/>
      <c r="T405" s="7">
        <f>IF($H405="","",IFERROR($H405*$P405,""))</f>
        <v/>
      </c>
      <c r="U405" s="7" t="n"/>
      <c r="V405" s="7" t="n"/>
      <c r="W405" s="7" t="n"/>
      <c r="X405" s="7">
        <f>IF(OR($U405="",$W405=""),"",($U405+$V405)-$W405)</f>
        <v/>
      </c>
      <c r="Y405" s="8" t="n"/>
      <c r="Z405" s="8" t="n"/>
      <c r="AA405" s="8" t="n"/>
      <c r="AB405" s="8" t="n"/>
      <c r="AC405" s="8" t="n"/>
      <c r="AD405" s="8" t="n"/>
      <c r="AE405" s="8" t="n"/>
      <c r="AF405" s="8" t="n"/>
      <c r="AG405" s="8" t="n"/>
      <c r="AH405" s="8" t="n"/>
      <c r="AI405" s="9" t="n"/>
      <c r="AJ405" s="8" t="n"/>
      <c r="AK405" s="8" t="n"/>
      <c r="AL405" s="15" t="n"/>
      <c r="AM405" s="15" t="n"/>
      <c r="AN405" s="15" t="n"/>
      <c r="AO405" s="15" t="n"/>
      <c r="AP405" s="10" t="n"/>
      <c r="AQ405" s="15">
        <f>IF($B405="","",IF(OR(ISERROR(MATCH($B405,Community_Master!$A$2:$A$100,0)),$A405="",AND($H405&lt;&gt;"",$I405&gt;$H405),AND($H405&lt;&gt;"",$J405&gt;$H405),$I405&lt;0,$J405&lt;0,$K405&lt;0,$P405&lt;0,$Q405&lt;0,$Y405&lt;0,$Z405&lt;0,$AA405&lt;0,$AB405&lt;0,$AC405&lt;0),"ERROR","OK"))</f>
        <v/>
      </c>
      <c r="AR405" s="15">
        <f>IF($B405="","",TRIM(IF(ISERROR(MATCH($B405,Community_Master!$A$2:$A$100,0)),"Invalid Community_ID; ","")&amp;IF($A405="","Missing Report_Month; ","")&amp;IF(AND($H405&lt;&gt;"",$I405&gt;$H405),"Occupied_Units greater than Total_Units; ","")&amp;IF(AND($H405&lt;&gt;"",$J405&gt;$H405),"Leased_Units greater than Total_Units; ","")&amp;IF($I405&lt;0,"Occupied_Units negative; ","")&amp;IF($J405&lt;0,"Leased_Units negative; ","")&amp;IF($P405&lt;0,"Avg_Market_Rent negative; ","")))</f>
        <v/>
      </c>
    </row>
    <row r="406" ht="15" customHeight="1">
      <c r="A406" s="5" t="n"/>
      <c r="B406" s="15" t="n"/>
      <c r="C406" s="15">
        <f>IFERROR(VLOOKUP($B406,Community_Master!$A$2:$K$100,2,FALSE),"")</f>
        <v/>
      </c>
      <c r="D406" s="15">
        <f>IFERROR(VLOOKUP($B406,Community_Master!$A$2:$K$100,4,FALSE),"")</f>
        <v/>
      </c>
      <c r="E406" s="15">
        <f>IFERROR(VLOOKUP($B406,Community_Master!$A$2:$K$100,5,FALSE),"")</f>
        <v/>
      </c>
      <c r="F406" s="15">
        <f>IFERROR(VLOOKUP($B406,Community_Master!$A$2:$K$100,6,FALSE),"")</f>
        <v/>
      </c>
      <c r="G406" s="15">
        <f>IFERROR(VLOOKUP($B406,Community_Master!$A$2:$K$100,8,FALSE),"")</f>
        <v/>
      </c>
      <c r="H406" s="15">
        <f>IFERROR(VLOOKUP($B406,Community_Master!$A$2:$K$100,7,FALSE),"")</f>
        <v/>
      </c>
      <c r="I406" s="15" t="n"/>
      <c r="J406" s="15" t="n"/>
      <c r="K406" s="15" t="n"/>
      <c r="L406" s="15">
        <f>IF($H406="","",MAX($H406-$I406,0))</f>
        <v/>
      </c>
      <c r="M406" s="6">
        <f>IF($H406="","",IFERROR($I406/$H406,""))</f>
        <v/>
      </c>
      <c r="N406" s="6">
        <f>IF($H406="","",IFERROR($J406/$H406,""))</f>
        <v/>
      </c>
      <c r="O406" s="6" t="n"/>
      <c r="P406" s="7" t="n"/>
      <c r="Q406" s="7" t="n"/>
      <c r="R406" s="7" t="n"/>
      <c r="S406" s="7" t="n"/>
      <c r="T406" s="7">
        <f>IF($H406="","",IFERROR($H406*$P406,""))</f>
        <v/>
      </c>
      <c r="U406" s="7" t="n"/>
      <c r="V406" s="7" t="n"/>
      <c r="W406" s="7" t="n"/>
      <c r="X406" s="7">
        <f>IF(OR($U406="",$W406=""),"",($U406+$V406)-$W406)</f>
        <v/>
      </c>
      <c r="Y406" s="8" t="n"/>
      <c r="Z406" s="8" t="n"/>
      <c r="AA406" s="8" t="n"/>
      <c r="AB406" s="8" t="n"/>
      <c r="AC406" s="8" t="n"/>
      <c r="AD406" s="8" t="n"/>
      <c r="AE406" s="8" t="n"/>
      <c r="AF406" s="8" t="n"/>
      <c r="AG406" s="8" t="n"/>
      <c r="AH406" s="8" t="n"/>
      <c r="AI406" s="9" t="n"/>
      <c r="AJ406" s="8" t="n"/>
      <c r="AK406" s="8" t="n"/>
      <c r="AL406" s="15" t="n"/>
      <c r="AM406" s="15" t="n"/>
      <c r="AN406" s="15" t="n"/>
      <c r="AO406" s="15" t="n"/>
      <c r="AP406" s="10" t="n"/>
      <c r="AQ406" s="15">
        <f>IF($B406="","",IF(OR(ISERROR(MATCH($B406,Community_Master!$A$2:$A$100,0)),$A406="",AND($H406&lt;&gt;"",$I406&gt;$H406),AND($H406&lt;&gt;"",$J406&gt;$H406),$I406&lt;0,$J406&lt;0,$K406&lt;0,$P406&lt;0,$Q406&lt;0,$Y406&lt;0,$Z406&lt;0,$AA406&lt;0,$AB406&lt;0,$AC406&lt;0),"ERROR","OK"))</f>
        <v/>
      </c>
      <c r="AR406" s="15">
        <f>IF($B406="","",TRIM(IF(ISERROR(MATCH($B406,Community_Master!$A$2:$A$100,0)),"Invalid Community_ID; ","")&amp;IF($A406="","Missing Report_Month; ","")&amp;IF(AND($H406&lt;&gt;"",$I406&gt;$H406),"Occupied_Units greater than Total_Units; ","")&amp;IF(AND($H406&lt;&gt;"",$J406&gt;$H406),"Leased_Units greater than Total_Units; ","")&amp;IF($I406&lt;0,"Occupied_Units negative; ","")&amp;IF($J406&lt;0,"Leased_Units negative; ","")&amp;IF($P406&lt;0,"Avg_Market_Rent negative; ","")))</f>
        <v/>
      </c>
    </row>
    <row r="407" ht="15" customHeight="1">
      <c r="A407" s="5" t="n"/>
      <c r="B407" s="15" t="n"/>
      <c r="C407" s="15">
        <f>IFERROR(VLOOKUP($B407,Community_Master!$A$2:$K$100,2,FALSE),"")</f>
        <v/>
      </c>
      <c r="D407" s="15">
        <f>IFERROR(VLOOKUP($B407,Community_Master!$A$2:$K$100,4,FALSE),"")</f>
        <v/>
      </c>
      <c r="E407" s="15">
        <f>IFERROR(VLOOKUP($B407,Community_Master!$A$2:$K$100,5,FALSE),"")</f>
        <v/>
      </c>
      <c r="F407" s="15">
        <f>IFERROR(VLOOKUP($B407,Community_Master!$A$2:$K$100,6,FALSE),"")</f>
        <v/>
      </c>
      <c r="G407" s="15">
        <f>IFERROR(VLOOKUP($B407,Community_Master!$A$2:$K$100,8,FALSE),"")</f>
        <v/>
      </c>
      <c r="H407" s="15">
        <f>IFERROR(VLOOKUP($B407,Community_Master!$A$2:$K$100,7,FALSE),"")</f>
        <v/>
      </c>
      <c r="I407" s="15" t="n"/>
      <c r="J407" s="15" t="n"/>
      <c r="K407" s="15" t="n"/>
      <c r="L407" s="15">
        <f>IF($H407="","",MAX($H407-$I407,0))</f>
        <v/>
      </c>
      <c r="M407" s="6">
        <f>IF($H407="","",IFERROR($I407/$H407,""))</f>
        <v/>
      </c>
      <c r="N407" s="6">
        <f>IF($H407="","",IFERROR($J407/$H407,""))</f>
        <v/>
      </c>
      <c r="O407" s="6" t="n"/>
      <c r="P407" s="7" t="n"/>
      <c r="Q407" s="7" t="n"/>
      <c r="R407" s="7" t="n"/>
      <c r="S407" s="7" t="n"/>
      <c r="T407" s="7">
        <f>IF($H407="","",IFERROR($H407*$P407,""))</f>
        <v/>
      </c>
      <c r="U407" s="7" t="n"/>
      <c r="V407" s="7" t="n"/>
      <c r="W407" s="7" t="n"/>
      <c r="X407" s="7">
        <f>IF(OR($U407="",$W407=""),"",($U407+$V407)-$W407)</f>
        <v/>
      </c>
      <c r="Y407" s="8" t="n"/>
      <c r="Z407" s="8" t="n"/>
      <c r="AA407" s="8" t="n"/>
      <c r="AB407" s="8" t="n"/>
      <c r="AC407" s="8" t="n"/>
      <c r="AD407" s="8" t="n"/>
      <c r="AE407" s="8" t="n"/>
      <c r="AF407" s="8" t="n"/>
      <c r="AG407" s="8" t="n"/>
      <c r="AH407" s="8" t="n"/>
      <c r="AI407" s="9" t="n"/>
      <c r="AJ407" s="8" t="n"/>
      <c r="AK407" s="8" t="n"/>
      <c r="AL407" s="15" t="n"/>
      <c r="AM407" s="15" t="n"/>
      <c r="AN407" s="15" t="n"/>
      <c r="AO407" s="15" t="n"/>
      <c r="AP407" s="10" t="n"/>
      <c r="AQ407" s="15">
        <f>IF($B407="","",IF(OR(ISERROR(MATCH($B407,Community_Master!$A$2:$A$100,0)),$A407="",AND($H407&lt;&gt;"",$I407&gt;$H407),AND($H407&lt;&gt;"",$J407&gt;$H407),$I407&lt;0,$J407&lt;0,$K407&lt;0,$P407&lt;0,$Q407&lt;0,$Y407&lt;0,$Z407&lt;0,$AA407&lt;0,$AB407&lt;0,$AC407&lt;0),"ERROR","OK"))</f>
        <v/>
      </c>
      <c r="AR407" s="15">
        <f>IF($B407="","",TRIM(IF(ISERROR(MATCH($B407,Community_Master!$A$2:$A$100,0)),"Invalid Community_ID; ","")&amp;IF($A407="","Missing Report_Month; ","")&amp;IF(AND($H407&lt;&gt;"",$I407&gt;$H407),"Occupied_Units greater than Total_Units; ","")&amp;IF(AND($H407&lt;&gt;"",$J407&gt;$H407),"Leased_Units greater than Total_Units; ","")&amp;IF($I407&lt;0,"Occupied_Units negative; ","")&amp;IF($J407&lt;0,"Leased_Units negative; ","")&amp;IF($P407&lt;0,"Avg_Market_Rent negative; ","")))</f>
        <v/>
      </c>
    </row>
    <row r="408" ht="15" customHeight="1">
      <c r="A408" s="5" t="n"/>
      <c r="B408" s="15" t="n"/>
      <c r="C408" s="15">
        <f>IFERROR(VLOOKUP($B408,Community_Master!$A$2:$K$100,2,FALSE),"")</f>
        <v/>
      </c>
      <c r="D408" s="15">
        <f>IFERROR(VLOOKUP($B408,Community_Master!$A$2:$K$100,4,FALSE),"")</f>
        <v/>
      </c>
      <c r="E408" s="15">
        <f>IFERROR(VLOOKUP($B408,Community_Master!$A$2:$K$100,5,FALSE),"")</f>
        <v/>
      </c>
      <c r="F408" s="15">
        <f>IFERROR(VLOOKUP($B408,Community_Master!$A$2:$K$100,6,FALSE),"")</f>
        <v/>
      </c>
      <c r="G408" s="15">
        <f>IFERROR(VLOOKUP($B408,Community_Master!$A$2:$K$100,8,FALSE),"")</f>
        <v/>
      </c>
      <c r="H408" s="15">
        <f>IFERROR(VLOOKUP($B408,Community_Master!$A$2:$K$100,7,FALSE),"")</f>
        <v/>
      </c>
      <c r="I408" s="15" t="n"/>
      <c r="J408" s="15" t="n"/>
      <c r="K408" s="15" t="n"/>
      <c r="L408" s="15">
        <f>IF($H408="","",MAX($H408-$I408,0))</f>
        <v/>
      </c>
      <c r="M408" s="6">
        <f>IF($H408="","",IFERROR($I408/$H408,""))</f>
        <v/>
      </c>
      <c r="N408" s="6">
        <f>IF($H408="","",IFERROR($J408/$H408,""))</f>
        <v/>
      </c>
      <c r="O408" s="6" t="n"/>
      <c r="P408" s="7" t="n"/>
      <c r="Q408" s="7" t="n"/>
      <c r="R408" s="7" t="n"/>
      <c r="S408" s="7" t="n"/>
      <c r="T408" s="7">
        <f>IF($H408="","",IFERROR($H408*$P408,""))</f>
        <v/>
      </c>
      <c r="U408" s="7" t="n"/>
      <c r="V408" s="7" t="n"/>
      <c r="W408" s="7" t="n"/>
      <c r="X408" s="7">
        <f>IF(OR($U408="",$W408=""),"",($U408+$V408)-$W408)</f>
        <v/>
      </c>
      <c r="Y408" s="8" t="n"/>
      <c r="Z408" s="8" t="n"/>
      <c r="AA408" s="8" t="n"/>
      <c r="AB408" s="8" t="n"/>
      <c r="AC408" s="8" t="n"/>
      <c r="AD408" s="8" t="n"/>
      <c r="AE408" s="8" t="n"/>
      <c r="AF408" s="8" t="n"/>
      <c r="AG408" s="8" t="n"/>
      <c r="AH408" s="8" t="n"/>
      <c r="AI408" s="9" t="n"/>
      <c r="AJ408" s="8" t="n"/>
      <c r="AK408" s="8" t="n"/>
      <c r="AL408" s="15" t="n"/>
      <c r="AM408" s="15" t="n"/>
      <c r="AN408" s="15" t="n"/>
      <c r="AO408" s="15" t="n"/>
      <c r="AP408" s="10" t="n"/>
      <c r="AQ408" s="15">
        <f>IF($B408="","",IF(OR(ISERROR(MATCH($B408,Community_Master!$A$2:$A$100,0)),$A408="",AND($H408&lt;&gt;"",$I408&gt;$H408),AND($H408&lt;&gt;"",$J408&gt;$H408),$I408&lt;0,$J408&lt;0,$K408&lt;0,$P408&lt;0,$Q408&lt;0,$Y408&lt;0,$Z408&lt;0,$AA408&lt;0,$AB408&lt;0,$AC408&lt;0),"ERROR","OK"))</f>
        <v/>
      </c>
      <c r="AR408" s="15">
        <f>IF($B408="","",TRIM(IF(ISERROR(MATCH($B408,Community_Master!$A$2:$A$100,0)),"Invalid Community_ID; ","")&amp;IF($A408="","Missing Report_Month; ","")&amp;IF(AND($H408&lt;&gt;"",$I408&gt;$H408),"Occupied_Units greater than Total_Units; ","")&amp;IF(AND($H408&lt;&gt;"",$J408&gt;$H408),"Leased_Units greater than Total_Units; ","")&amp;IF($I408&lt;0,"Occupied_Units negative; ","")&amp;IF($J408&lt;0,"Leased_Units negative; ","")&amp;IF($P408&lt;0,"Avg_Market_Rent negative; ","")))</f>
        <v/>
      </c>
    </row>
    <row r="409" ht="15" customHeight="1">
      <c r="A409" s="5" t="n"/>
      <c r="B409" s="15" t="n"/>
      <c r="C409" s="15">
        <f>IFERROR(VLOOKUP($B409,Community_Master!$A$2:$K$100,2,FALSE),"")</f>
        <v/>
      </c>
      <c r="D409" s="15">
        <f>IFERROR(VLOOKUP($B409,Community_Master!$A$2:$K$100,4,FALSE),"")</f>
        <v/>
      </c>
      <c r="E409" s="15">
        <f>IFERROR(VLOOKUP($B409,Community_Master!$A$2:$K$100,5,FALSE),"")</f>
        <v/>
      </c>
      <c r="F409" s="15">
        <f>IFERROR(VLOOKUP($B409,Community_Master!$A$2:$K$100,6,FALSE),"")</f>
        <v/>
      </c>
      <c r="G409" s="15">
        <f>IFERROR(VLOOKUP($B409,Community_Master!$A$2:$K$100,8,FALSE),"")</f>
        <v/>
      </c>
      <c r="H409" s="15">
        <f>IFERROR(VLOOKUP($B409,Community_Master!$A$2:$K$100,7,FALSE),"")</f>
        <v/>
      </c>
      <c r="I409" s="15" t="n"/>
      <c r="J409" s="15" t="n"/>
      <c r="K409" s="15" t="n"/>
      <c r="L409" s="15">
        <f>IF($H409="","",MAX($H409-$I409,0))</f>
        <v/>
      </c>
      <c r="M409" s="6">
        <f>IF($H409="","",IFERROR($I409/$H409,""))</f>
        <v/>
      </c>
      <c r="N409" s="6">
        <f>IF($H409="","",IFERROR($J409/$H409,""))</f>
        <v/>
      </c>
      <c r="O409" s="6" t="n"/>
      <c r="P409" s="7" t="n"/>
      <c r="Q409" s="7" t="n"/>
      <c r="R409" s="7" t="n"/>
      <c r="S409" s="7" t="n"/>
      <c r="T409" s="7">
        <f>IF($H409="","",IFERROR($H409*$P409,""))</f>
        <v/>
      </c>
      <c r="U409" s="7" t="n"/>
      <c r="V409" s="7" t="n"/>
      <c r="W409" s="7" t="n"/>
      <c r="X409" s="7">
        <f>IF(OR($U409="",$W409=""),"",($U409+$V409)-$W409)</f>
        <v/>
      </c>
      <c r="Y409" s="8" t="n"/>
      <c r="Z409" s="8" t="n"/>
      <c r="AA409" s="8" t="n"/>
      <c r="AB409" s="8" t="n"/>
      <c r="AC409" s="8" t="n"/>
      <c r="AD409" s="8" t="n"/>
      <c r="AE409" s="8" t="n"/>
      <c r="AF409" s="8" t="n"/>
      <c r="AG409" s="8" t="n"/>
      <c r="AH409" s="8" t="n"/>
      <c r="AI409" s="9" t="n"/>
      <c r="AJ409" s="8" t="n"/>
      <c r="AK409" s="8" t="n"/>
      <c r="AL409" s="15" t="n"/>
      <c r="AM409" s="15" t="n"/>
      <c r="AN409" s="15" t="n"/>
      <c r="AO409" s="15" t="n"/>
      <c r="AP409" s="10" t="n"/>
      <c r="AQ409" s="15">
        <f>IF($B409="","",IF(OR(ISERROR(MATCH($B409,Community_Master!$A$2:$A$100,0)),$A409="",AND($H409&lt;&gt;"",$I409&gt;$H409),AND($H409&lt;&gt;"",$J409&gt;$H409),$I409&lt;0,$J409&lt;0,$K409&lt;0,$P409&lt;0,$Q409&lt;0,$Y409&lt;0,$Z409&lt;0,$AA409&lt;0,$AB409&lt;0,$AC409&lt;0),"ERROR","OK"))</f>
        <v/>
      </c>
      <c r="AR409" s="15">
        <f>IF($B409="","",TRIM(IF(ISERROR(MATCH($B409,Community_Master!$A$2:$A$100,0)),"Invalid Community_ID; ","")&amp;IF($A409="","Missing Report_Month; ","")&amp;IF(AND($H409&lt;&gt;"",$I409&gt;$H409),"Occupied_Units greater than Total_Units; ","")&amp;IF(AND($H409&lt;&gt;"",$J409&gt;$H409),"Leased_Units greater than Total_Units; ","")&amp;IF($I409&lt;0,"Occupied_Units negative; ","")&amp;IF($J409&lt;0,"Leased_Units negative; ","")&amp;IF($P409&lt;0,"Avg_Market_Rent negative; ","")))</f>
        <v/>
      </c>
    </row>
    <row r="410" ht="15" customHeight="1">
      <c r="A410" s="5" t="n"/>
      <c r="B410" s="15" t="n"/>
      <c r="C410" s="15">
        <f>IFERROR(VLOOKUP($B410,Community_Master!$A$2:$K$100,2,FALSE),"")</f>
        <v/>
      </c>
      <c r="D410" s="15">
        <f>IFERROR(VLOOKUP($B410,Community_Master!$A$2:$K$100,4,FALSE),"")</f>
        <v/>
      </c>
      <c r="E410" s="15">
        <f>IFERROR(VLOOKUP($B410,Community_Master!$A$2:$K$100,5,FALSE),"")</f>
        <v/>
      </c>
      <c r="F410" s="15">
        <f>IFERROR(VLOOKUP($B410,Community_Master!$A$2:$K$100,6,FALSE),"")</f>
        <v/>
      </c>
      <c r="G410" s="15">
        <f>IFERROR(VLOOKUP($B410,Community_Master!$A$2:$K$100,8,FALSE),"")</f>
        <v/>
      </c>
      <c r="H410" s="15">
        <f>IFERROR(VLOOKUP($B410,Community_Master!$A$2:$K$100,7,FALSE),"")</f>
        <v/>
      </c>
      <c r="I410" s="15" t="n"/>
      <c r="J410" s="15" t="n"/>
      <c r="K410" s="15" t="n"/>
      <c r="L410" s="15">
        <f>IF($H410="","",MAX($H410-$I410,0))</f>
        <v/>
      </c>
      <c r="M410" s="6">
        <f>IF($H410="","",IFERROR($I410/$H410,""))</f>
        <v/>
      </c>
      <c r="N410" s="6">
        <f>IF($H410="","",IFERROR($J410/$H410,""))</f>
        <v/>
      </c>
      <c r="O410" s="6" t="n"/>
      <c r="P410" s="7" t="n"/>
      <c r="Q410" s="7" t="n"/>
      <c r="R410" s="7" t="n"/>
      <c r="S410" s="7" t="n"/>
      <c r="T410" s="7">
        <f>IF($H410="","",IFERROR($H410*$P410,""))</f>
        <v/>
      </c>
      <c r="U410" s="7" t="n"/>
      <c r="V410" s="7" t="n"/>
      <c r="W410" s="7" t="n"/>
      <c r="X410" s="7">
        <f>IF(OR($U410="",$W410=""),"",($U410+$V410)-$W410)</f>
        <v/>
      </c>
      <c r="Y410" s="8" t="n"/>
      <c r="Z410" s="8" t="n"/>
      <c r="AA410" s="8" t="n"/>
      <c r="AB410" s="8" t="n"/>
      <c r="AC410" s="8" t="n"/>
      <c r="AD410" s="8" t="n"/>
      <c r="AE410" s="8" t="n"/>
      <c r="AF410" s="8" t="n"/>
      <c r="AG410" s="8" t="n"/>
      <c r="AH410" s="8" t="n"/>
      <c r="AI410" s="9" t="n"/>
      <c r="AJ410" s="8" t="n"/>
      <c r="AK410" s="8" t="n"/>
      <c r="AL410" s="15" t="n"/>
      <c r="AM410" s="15" t="n"/>
      <c r="AN410" s="15" t="n"/>
      <c r="AO410" s="15" t="n"/>
      <c r="AP410" s="10" t="n"/>
      <c r="AQ410" s="15">
        <f>IF($B410="","",IF(OR(ISERROR(MATCH($B410,Community_Master!$A$2:$A$100,0)),$A410="",AND($H410&lt;&gt;"",$I410&gt;$H410),AND($H410&lt;&gt;"",$J410&gt;$H410),$I410&lt;0,$J410&lt;0,$K410&lt;0,$P410&lt;0,$Q410&lt;0,$Y410&lt;0,$Z410&lt;0,$AA410&lt;0,$AB410&lt;0,$AC410&lt;0),"ERROR","OK"))</f>
        <v/>
      </c>
      <c r="AR410" s="15">
        <f>IF($B410="","",TRIM(IF(ISERROR(MATCH($B410,Community_Master!$A$2:$A$100,0)),"Invalid Community_ID; ","")&amp;IF($A410="","Missing Report_Month; ","")&amp;IF(AND($H410&lt;&gt;"",$I410&gt;$H410),"Occupied_Units greater than Total_Units; ","")&amp;IF(AND($H410&lt;&gt;"",$J410&gt;$H410),"Leased_Units greater than Total_Units; ","")&amp;IF($I410&lt;0,"Occupied_Units negative; ","")&amp;IF($J410&lt;0,"Leased_Units negative; ","")&amp;IF($P410&lt;0,"Avg_Market_Rent negative; ","")))</f>
        <v/>
      </c>
    </row>
    <row r="411" ht="15" customHeight="1">
      <c r="A411" s="5" t="n"/>
      <c r="B411" s="15" t="n"/>
      <c r="C411" s="15">
        <f>IFERROR(VLOOKUP($B411,Community_Master!$A$2:$K$100,2,FALSE),"")</f>
        <v/>
      </c>
      <c r="D411" s="15">
        <f>IFERROR(VLOOKUP($B411,Community_Master!$A$2:$K$100,4,FALSE),"")</f>
        <v/>
      </c>
      <c r="E411" s="15">
        <f>IFERROR(VLOOKUP($B411,Community_Master!$A$2:$K$100,5,FALSE),"")</f>
        <v/>
      </c>
      <c r="F411" s="15">
        <f>IFERROR(VLOOKUP($B411,Community_Master!$A$2:$K$100,6,FALSE),"")</f>
        <v/>
      </c>
      <c r="G411" s="15">
        <f>IFERROR(VLOOKUP($B411,Community_Master!$A$2:$K$100,8,FALSE),"")</f>
        <v/>
      </c>
      <c r="H411" s="15">
        <f>IFERROR(VLOOKUP($B411,Community_Master!$A$2:$K$100,7,FALSE),"")</f>
        <v/>
      </c>
      <c r="I411" s="15" t="n"/>
      <c r="J411" s="15" t="n"/>
      <c r="K411" s="15" t="n"/>
      <c r="L411" s="15">
        <f>IF($H411="","",MAX($H411-$I411,0))</f>
        <v/>
      </c>
      <c r="M411" s="6">
        <f>IF($H411="","",IFERROR($I411/$H411,""))</f>
        <v/>
      </c>
      <c r="N411" s="6">
        <f>IF($H411="","",IFERROR($J411/$H411,""))</f>
        <v/>
      </c>
      <c r="O411" s="6" t="n"/>
      <c r="P411" s="7" t="n"/>
      <c r="Q411" s="7" t="n"/>
      <c r="R411" s="7" t="n"/>
      <c r="S411" s="7" t="n"/>
      <c r="T411" s="7">
        <f>IF($H411="","",IFERROR($H411*$P411,""))</f>
        <v/>
      </c>
      <c r="U411" s="7" t="n"/>
      <c r="V411" s="7" t="n"/>
      <c r="W411" s="7" t="n"/>
      <c r="X411" s="7">
        <f>IF(OR($U411="",$W411=""),"",($U411+$V411)-$W411)</f>
        <v/>
      </c>
      <c r="Y411" s="8" t="n"/>
      <c r="Z411" s="8" t="n"/>
      <c r="AA411" s="8" t="n"/>
      <c r="AB411" s="8" t="n"/>
      <c r="AC411" s="8" t="n"/>
      <c r="AD411" s="8" t="n"/>
      <c r="AE411" s="8" t="n"/>
      <c r="AF411" s="8" t="n"/>
      <c r="AG411" s="8" t="n"/>
      <c r="AH411" s="8" t="n"/>
      <c r="AI411" s="9" t="n"/>
      <c r="AJ411" s="8" t="n"/>
      <c r="AK411" s="8" t="n"/>
      <c r="AL411" s="15" t="n"/>
      <c r="AM411" s="15" t="n"/>
      <c r="AN411" s="15" t="n"/>
      <c r="AO411" s="15" t="n"/>
      <c r="AP411" s="10" t="n"/>
      <c r="AQ411" s="15">
        <f>IF($B411="","",IF(OR(ISERROR(MATCH($B411,Community_Master!$A$2:$A$100,0)),$A411="",AND($H411&lt;&gt;"",$I411&gt;$H411),AND($H411&lt;&gt;"",$J411&gt;$H411),$I411&lt;0,$J411&lt;0,$K411&lt;0,$P411&lt;0,$Q411&lt;0,$Y411&lt;0,$Z411&lt;0,$AA411&lt;0,$AB411&lt;0,$AC411&lt;0),"ERROR","OK"))</f>
        <v/>
      </c>
      <c r="AR411" s="15">
        <f>IF($B411="","",TRIM(IF(ISERROR(MATCH($B411,Community_Master!$A$2:$A$100,0)),"Invalid Community_ID; ","")&amp;IF($A411="","Missing Report_Month; ","")&amp;IF(AND($H411&lt;&gt;"",$I411&gt;$H411),"Occupied_Units greater than Total_Units; ","")&amp;IF(AND($H411&lt;&gt;"",$J411&gt;$H411),"Leased_Units greater than Total_Units; ","")&amp;IF($I411&lt;0,"Occupied_Units negative; ","")&amp;IF($J411&lt;0,"Leased_Units negative; ","")&amp;IF($P411&lt;0,"Avg_Market_Rent negative; ","")))</f>
        <v/>
      </c>
    </row>
    <row r="412" ht="15" customHeight="1">
      <c r="A412" s="5" t="n"/>
      <c r="B412" s="15" t="n"/>
      <c r="C412" s="15">
        <f>IFERROR(VLOOKUP($B412,Community_Master!$A$2:$K$100,2,FALSE),"")</f>
        <v/>
      </c>
      <c r="D412" s="15">
        <f>IFERROR(VLOOKUP($B412,Community_Master!$A$2:$K$100,4,FALSE),"")</f>
        <v/>
      </c>
      <c r="E412" s="15">
        <f>IFERROR(VLOOKUP($B412,Community_Master!$A$2:$K$100,5,FALSE),"")</f>
        <v/>
      </c>
      <c r="F412" s="15">
        <f>IFERROR(VLOOKUP($B412,Community_Master!$A$2:$K$100,6,FALSE),"")</f>
        <v/>
      </c>
      <c r="G412" s="15">
        <f>IFERROR(VLOOKUP($B412,Community_Master!$A$2:$K$100,8,FALSE),"")</f>
        <v/>
      </c>
      <c r="H412" s="15">
        <f>IFERROR(VLOOKUP($B412,Community_Master!$A$2:$K$100,7,FALSE),"")</f>
        <v/>
      </c>
      <c r="I412" s="15" t="n"/>
      <c r="J412" s="15" t="n"/>
      <c r="K412" s="15" t="n"/>
      <c r="L412" s="15">
        <f>IF($H412="","",MAX($H412-$I412,0))</f>
        <v/>
      </c>
      <c r="M412" s="6">
        <f>IF($H412="","",IFERROR($I412/$H412,""))</f>
        <v/>
      </c>
      <c r="N412" s="6">
        <f>IF($H412="","",IFERROR($J412/$H412,""))</f>
        <v/>
      </c>
      <c r="O412" s="6" t="n"/>
      <c r="P412" s="7" t="n"/>
      <c r="Q412" s="7" t="n"/>
      <c r="R412" s="7" t="n"/>
      <c r="S412" s="7" t="n"/>
      <c r="T412" s="7">
        <f>IF($H412="","",IFERROR($H412*$P412,""))</f>
        <v/>
      </c>
      <c r="U412" s="7" t="n"/>
      <c r="V412" s="7" t="n"/>
      <c r="W412" s="7" t="n"/>
      <c r="X412" s="7">
        <f>IF(OR($U412="",$W412=""),"",($U412+$V412)-$W412)</f>
        <v/>
      </c>
      <c r="Y412" s="8" t="n"/>
      <c r="Z412" s="8" t="n"/>
      <c r="AA412" s="8" t="n"/>
      <c r="AB412" s="8" t="n"/>
      <c r="AC412" s="8" t="n"/>
      <c r="AD412" s="8" t="n"/>
      <c r="AE412" s="8" t="n"/>
      <c r="AF412" s="8" t="n"/>
      <c r="AG412" s="8" t="n"/>
      <c r="AH412" s="8" t="n"/>
      <c r="AI412" s="9" t="n"/>
      <c r="AJ412" s="8" t="n"/>
      <c r="AK412" s="8" t="n"/>
      <c r="AL412" s="15" t="n"/>
      <c r="AM412" s="15" t="n"/>
      <c r="AN412" s="15" t="n"/>
      <c r="AO412" s="15" t="n"/>
      <c r="AP412" s="10" t="n"/>
      <c r="AQ412" s="15">
        <f>IF($B412="","",IF(OR(ISERROR(MATCH($B412,Community_Master!$A$2:$A$100,0)),$A412="",AND($H412&lt;&gt;"",$I412&gt;$H412),AND($H412&lt;&gt;"",$J412&gt;$H412),$I412&lt;0,$J412&lt;0,$K412&lt;0,$P412&lt;0,$Q412&lt;0,$Y412&lt;0,$Z412&lt;0,$AA412&lt;0,$AB412&lt;0,$AC412&lt;0),"ERROR","OK"))</f>
        <v/>
      </c>
      <c r="AR412" s="15">
        <f>IF($B412="","",TRIM(IF(ISERROR(MATCH($B412,Community_Master!$A$2:$A$100,0)),"Invalid Community_ID; ","")&amp;IF($A412="","Missing Report_Month; ","")&amp;IF(AND($H412&lt;&gt;"",$I412&gt;$H412),"Occupied_Units greater than Total_Units; ","")&amp;IF(AND($H412&lt;&gt;"",$J412&gt;$H412),"Leased_Units greater than Total_Units; ","")&amp;IF($I412&lt;0,"Occupied_Units negative; ","")&amp;IF($J412&lt;0,"Leased_Units negative; ","")&amp;IF($P412&lt;0,"Avg_Market_Rent negative; ","")))</f>
        <v/>
      </c>
    </row>
    <row r="413" ht="15" customHeight="1">
      <c r="A413" s="5" t="n"/>
      <c r="B413" s="15" t="n"/>
      <c r="C413" s="15">
        <f>IFERROR(VLOOKUP($B413,Community_Master!$A$2:$K$100,2,FALSE),"")</f>
        <v/>
      </c>
      <c r="D413" s="15">
        <f>IFERROR(VLOOKUP($B413,Community_Master!$A$2:$K$100,4,FALSE),"")</f>
        <v/>
      </c>
      <c r="E413" s="15">
        <f>IFERROR(VLOOKUP($B413,Community_Master!$A$2:$K$100,5,FALSE),"")</f>
        <v/>
      </c>
      <c r="F413" s="15">
        <f>IFERROR(VLOOKUP($B413,Community_Master!$A$2:$K$100,6,FALSE),"")</f>
        <v/>
      </c>
      <c r="G413" s="15">
        <f>IFERROR(VLOOKUP($B413,Community_Master!$A$2:$K$100,8,FALSE),"")</f>
        <v/>
      </c>
      <c r="H413" s="15">
        <f>IFERROR(VLOOKUP($B413,Community_Master!$A$2:$K$100,7,FALSE),"")</f>
        <v/>
      </c>
      <c r="I413" s="15" t="n"/>
      <c r="J413" s="15" t="n"/>
      <c r="K413" s="15" t="n"/>
      <c r="L413" s="15">
        <f>IF($H413="","",MAX($H413-$I413,0))</f>
        <v/>
      </c>
      <c r="M413" s="6">
        <f>IF($H413="","",IFERROR($I413/$H413,""))</f>
        <v/>
      </c>
      <c r="N413" s="6">
        <f>IF($H413="","",IFERROR($J413/$H413,""))</f>
        <v/>
      </c>
      <c r="O413" s="6" t="n"/>
      <c r="P413" s="7" t="n"/>
      <c r="Q413" s="7" t="n"/>
      <c r="R413" s="7" t="n"/>
      <c r="S413" s="7" t="n"/>
      <c r="T413" s="7">
        <f>IF($H413="","",IFERROR($H413*$P413,""))</f>
        <v/>
      </c>
      <c r="U413" s="7" t="n"/>
      <c r="V413" s="7" t="n"/>
      <c r="W413" s="7" t="n"/>
      <c r="X413" s="7">
        <f>IF(OR($U413="",$W413=""),"",($U413+$V413)-$W413)</f>
        <v/>
      </c>
      <c r="Y413" s="8" t="n"/>
      <c r="Z413" s="8" t="n"/>
      <c r="AA413" s="8" t="n"/>
      <c r="AB413" s="8" t="n"/>
      <c r="AC413" s="8" t="n"/>
      <c r="AD413" s="8" t="n"/>
      <c r="AE413" s="8" t="n"/>
      <c r="AF413" s="8" t="n"/>
      <c r="AG413" s="8" t="n"/>
      <c r="AH413" s="8" t="n"/>
      <c r="AI413" s="9" t="n"/>
      <c r="AJ413" s="8" t="n"/>
      <c r="AK413" s="8" t="n"/>
      <c r="AL413" s="15" t="n"/>
      <c r="AM413" s="15" t="n"/>
      <c r="AN413" s="15" t="n"/>
      <c r="AO413" s="15" t="n"/>
      <c r="AP413" s="10" t="n"/>
      <c r="AQ413" s="15">
        <f>IF($B413="","",IF(OR(ISERROR(MATCH($B413,Community_Master!$A$2:$A$100,0)),$A413="",AND($H413&lt;&gt;"",$I413&gt;$H413),AND($H413&lt;&gt;"",$J413&gt;$H413),$I413&lt;0,$J413&lt;0,$K413&lt;0,$P413&lt;0,$Q413&lt;0,$Y413&lt;0,$Z413&lt;0,$AA413&lt;0,$AB413&lt;0,$AC413&lt;0),"ERROR","OK"))</f>
        <v/>
      </c>
      <c r="AR413" s="15">
        <f>IF($B413="","",TRIM(IF(ISERROR(MATCH($B413,Community_Master!$A$2:$A$100,0)),"Invalid Community_ID; ","")&amp;IF($A413="","Missing Report_Month; ","")&amp;IF(AND($H413&lt;&gt;"",$I413&gt;$H413),"Occupied_Units greater than Total_Units; ","")&amp;IF(AND($H413&lt;&gt;"",$J413&gt;$H413),"Leased_Units greater than Total_Units; ","")&amp;IF($I413&lt;0,"Occupied_Units negative; ","")&amp;IF($J413&lt;0,"Leased_Units negative; ","")&amp;IF($P413&lt;0,"Avg_Market_Rent negative; ","")))</f>
        <v/>
      </c>
    </row>
    <row r="414" ht="15" customHeight="1">
      <c r="A414" s="5" t="n"/>
      <c r="B414" s="15" t="n"/>
      <c r="C414" s="15">
        <f>IFERROR(VLOOKUP($B414,Community_Master!$A$2:$K$100,2,FALSE),"")</f>
        <v/>
      </c>
      <c r="D414" s="15">
        <f>IFERROR(VLOOKUP($B414,Community_Master!$A$2:$K$100,4,FALSE),"")</f>
        <v/>
      </c>
      <c r="E414" s="15">
        <f>IFERROR(VLOOKUP($B414,Community_Master!$A$2:$K$100,5,FALSE),"")</f>
        <v/>
      </c>
      <c r="F414" s="15">
        <f>IFERROR(VLOOKUP($B414,Community_Master!$A$2:$K$100,6,FALSE),"")</f>
        <v/>
      </c>
      <c r="G414" s="15">
        <f>IFERROR(VLOOKUP($B414,Community_Master!$A$2:$K$100,8,FALSE),"")</f>
        <v/>
      </c>
      <c r="H414" s="15">
        <f>IFERROR(VLOOKUP($B414,Community_Master!$A$2:$K$100,7,FALSE),"")</f>
        <v/>
      </c>
      <c r="I414" s="15" t="n"/>
      <c r="J414" s="15" t="n"/>
      <c r="K414" s="15" t="n"/>
      <c r="L414" s="15">
        <f>IF($H414="","",MAX($H414-$I414,0))</f>
        <v/>
      </c>
      <c r="M414" s="6">
        <f>IF($H414="","",IFERROR($I414/$H414,""))</f>
        <v/>
      </c>
      <c r="N414" s="6">
        <f>IF($H414="","",IFERROR($J414/$H414,""))</f>
        <v/>
      </c>
      <c r="O414" s="6" t="n"/>
      <c r="P414" s="7" t="n"/>
      <c r="Q414" s="7" t="n"/>
      <c r="R414" s="7" t="n"/>
      <c r="S414" s="7" t="n"/>
      <c r="T414" s="7">
        <f>IF($H414="","",IFERROR($H414*$P414,""))</f>
        <v/>
      </c>
      <c r="U414" s="7" t="n"/>
      <c r="V414" s="7" t="n"/>
      <c r="W414" s="7" t="n"/>
      <c r="X414" s="7">
        <f>IF(OR($U414="",$W414=""),"",($U414+$V414)-$W414)</f>
        <v/>
      </c>
      <c r="Y414" s="8" t="n"/>
      <c r="Z414" s="8" t="n"/>
      <c r="AA414" s="8" t="n"/>
      <c r="AB414" s="8" t="n"/>
      <c r="AC414" s="8" t="n"/>
      <c r="AD414" s="8" t="n"/>
      <c r="AE414" s="8" t="n"/>
      <c r="AF414" s="8" t="n"/>
      <c r="AG414" s="8" t="n"/>
      <c r="AH414" s="8" t="n"/>
      <c r="AI414" s="9" t="n"/>
      <c r="AJ414" s="8" t="n"/>
      <c r="AK414" s="8" t="n"/>
      <c r="AL414" s="15" t="n"/>
      <c r="AM414" s="15" t="n"/>
      <c r="AN414" s="15" t="n"/>
      <c r="AO414" s="15" t="n"/>
      <c r="AP414" s="10" t="n"/>
      <c r="AQ414" s="15">
        <f>IF($B414="","",IF(OR(ISERROR(MATCH($B414,Community_Master!$A$2:$A$100,0)),$A414="",AND($H414&lt;&gt;"",$I414&gt;$H414),AND($H414&lt;&gt;"",$J414&gt;$H414),$I414&lt;0,$J414&lt;0,$K414&lt;0,$P414&lt;0,$Q414&lt;0,$Y414&lt;0,$Z414&lt;0,$AA414&lt;0,$AB414&lt;0,$AC414&lt;0),"ERROR","OK"))</f>
        <v/>
      </c>
      <c r="AR414" s="15">
        <f>IF($B414="","",TRIM(IF(ISERROR(MATCH($B414,Community_Master!$A$2:$A$100,0)),"Invalid Community_ID; ","")&amp;IF($A414="","Missing Report_Month; ","")&amp;IF(AND($H414&lt;&gt;"",$I414&gt;$H414),"Occupied_Units greater than Total_Units; ","")&amp;IF(AND($H414&lt;&gt;"",$J414&gt;$H414),"Leased_Units greater than Total_Units; ","")&amp;IF($I414&lt;0,"Occupied_Units negative; ","")&amp;IF($J414&lt;0,"Leased_Units negative; ","")&amp;IF($P414&lt;0,"Avg_Market_Rent negative; ","")))</f>
        <v/>
      </c>
    </row>
    <row r="415" ht="15" customHeight="1">
      <c r="A415" s="5" t="n"/>
      <c r="B415" s="15" t="n"/>
      <c r="C415" s="15">
        <f>IFERROR(VLOOKUP($B415,Community_Master!$A$2:$K$100,2,FALSE),"")</f>
        <v/>
      </c>
      <c r="D415" s="15">
        <f>IFERROR(VLOOKUP($B415,Community_Master!$A$2:$K$100,4,FALSE),"")</f>
        <v/>
      </c>
      <c r="E415" s="15">
        <f>IFERROR(VLOOKUP($B415,Community_Master!$A$2:$K$100,5,FALSE),"")</f>
        <v/>
      </c>
      <c r="F415" s="15">
        <f>IFERROR(VLOOKUP($B415,Community_Master!$A$2:$K$100,6,FALSE),"")</f>
        <v/>
      </c>
      <c r="G415" s="15">
        <f>IFERROR(VLOOKUP($B415,Community_Master!$A$2:$K$100,8,FALSE),"")</f>
        <v/>
      </c>
      <c r="H415" s="15">
        <f>IFERROR(VLOOKUP($B415,Community_Master!$A$2:$K$100,7,FALSE),"")</f>
        <v/>
      </c>
      <c r="I415" s="15" t="n"/>
      <c r="J415" s="15" t="n"/>
      <c r="K415" s="15" t="n"/>
      <c r="L415" s="15">
        <f>IF($H415="","",MAX($H415-$I415,0))</f>
        <v/>
      </c>
      <c r="M415" s="6">
        <f>IF($H415="","",IFERROR($I415/$H415,""))</f>
        <v/>
      </c>
      <c r="N415" s="6">
        <f>IF($H415="","",IFERROR($J415/$H415,""))</f>
        <v/>
      </c>
      <c r="O415" s="6" t="n"/>
      <c r="P415" s="7" t="n"/>
      <c r="Q415" s="7" t="n"/>
      <c r="R415" s="7" t="n"/>
      <c r="S415" s="7" t="n"/>
      <c r="T415" s="7">
        <f>IF($H415="","",IFERROR($H415*$P415,""))</f>
        <v/>
      </c>
      <c r="U415" s="7" t="n"/>
      <c r="V415" s="7" t="n"/>
      <c r="W415" s="7" t="n"/>
      <c r="X415" s="7">
        <f>IF(OR($U415="",$W415=""),"",($U415+$V415)-$W415)</f>
        <v/>
      </c>
      <c r="Y415" s="8" t="n"/>
      <c r="Z415" s="8" t="n"/>
      <c r="AA415" s="8" t="n"/>
      <c r="AB415" s="8" t="n"/>
      <c r="AC415" s="8" t="n"/>
      <c r="AD415" s="8" t="n"/>
      <c r="AE415" s="8" t="n"/>
      <c r="AF415" s="8" t="n"/>
      <c r="AG415" s="8" t="n"/>
      <c r="AH415" s="8" t="n"/>
      <c r="AI415" s="9" t="n"/>
      <c r="AJ415" s="8" t="n"/>
      <c r="AK415" s="8" t="n"/>
      <c r="AL415" s="15" t="n"/>
      <c r="AM415" s="15" t="n"/>
      <c r="AN415" s="15" t="n"/>
      <c r="AO415" s="15" t="n"/>
      <c r="AP415" s="10" t="n"/>
      <c r="AQ415" s="15">
        <f>IF($B415="","",IF(OR(ISERROR(MATCH($B415,Community_Master!$A$2:$A$100,0)),$A415="",AND($H415&lt;&gt;"",$I415&gt;$H415),AND($H415&lt;&gt;"",$J415&gt;$H415),$I415&lt;0,$J415&lt;0,$K415&lt;0,$P415&lt;0,$Q415&lt;0,$Y415&lt;0,$Z415&lt;0,$AA415&lt;0,$AB415&lt;0,$AC415&lt;0),"ERROR","OK"))</f>
        <v/>
      </c>
      <c r="AR415" s="15">
        <f>IF($B415="","",TRIM(IF(ISERROR(MATCH($B415,Community_Master!$A$2:$A$100,0)),"Invalid Community_ID; ","")&amp;IF($A415="","Missing Report_Month; ","")&amp;IF(AND($H415&lt;&gt;"",$I415&gt;$H415),"Occupied_Units greater than Total_Units; ","")&amp;IF(AND($H415&lt;&gt;"",$J415&gt;$H415),"Leased_Units greater than Total_Units; ","")&amp;IF($I415&lt;0,"Occupied_Units negative; ","")&amp;IF($J415&lt;0,"Leased_Units negative; ","")&amp;IF($P415&lt;0,"Avg_Market_Rent negative; ","")))</f>
        <v/>
      </c>
    </row>
    <row r="416" ht="15" customHeight="1">
      <c r="A416" s="5" t="n"/>
      <c r="B416" s="15" t="n"/>
      <c r="C416" s="15">
        <f>IFERROR(VLOOKUP($B416,Community_Master!$A$2:$K$100,2,FALSE),"")</f>
        <v/>
      </c>
      <c r="D416" s="15">
        <f>IFERROR(VLOOKUP($B416,Community_Master!$A$2:$K$100,4,FALSE),"")</f>
        <v/>
      </c>
      <c r="E416" s="15">
        <f>IFERROR(VLOOKUP($B416,Community_Master!$A$2:$K$100,5,FALSE),"")</f>
        <v/>
      </c>
      <c r="F416" s="15">
        <f>IFERROR(VLOOKUP($B416,Community_Master!$A$2:$K$100,6,FALSE),"")</f>
        <v/>
      </c>
      <c r="G416" s="15">
        <f>IFERROR(VLOOKUP($B416,Community_Master!$A$2:$K$100,8,FALSE),"")</f>
        <v/>
      </c>
      <c r="H416" s="15">
        <f>IFERROR(VLOOKUP($B416,Community_Master!$A$2:$K$100,7,FALSE),"")</f>
        <v/>
      </c>
      <c r="I416" s="15" t="n"/>
      <c r="J416" s="15" t="n"/>
      <c r="K416" s="15" t="n"/>
      <c r="L416" s="15">
        <f>IF($H416="","",MAX($H416-$I416,0))</f>
        <v/>
      </c>
      <c r="M416" s="6">
        <f>IF($H416="","",IFERROR($I416/$H416,""))</f>
        <v/>
      </c>
      <c r="N416" s="6">
        <f>IF($H416="","",IFERROR($J416/$H416,""))</f>
        <v/>
      </c>
      <c r="O416" s="6" t="n"/>
      <c r="P416" s="7" t="n"/>
      <c r="Q416" s="7" t="n"/>
      <c r="R416" s="7" t="n"/>
      <c r="S416" s="7" t="n"/>
      <c r="T416" s="7">
        <f>IF($H416="","",IFERROR($H416*$P416,""))</f>
        <v/>
      </c>
      <c r="U416" s="7" t="n"/>
      <c r="V416" s="7" t="n"/>
      <c r="W416" s="7" t="n"/>
      <c r="X416" s="7">
        <f>IF(OR($U416="",$W416=""),"",($U416+$V416)-$W416)</f>
        <v/>
      </c>
      <c r="Y416" s="8" t="n"/>
      <c r="Z416" s="8" t="n"/>
      <c r="AA416" s="8" t="n"/>
      <c r="AB416" s="8" t="n"/>
      <c r="AC416" s="8" t="n"/>
      <c r="AD416" s="8" t="n"/>
      <c r="AE416" s="8" t="n"/>
      <c r="AF416" s="8" t="n"/>
      <c r="AG416" s="8" t="n"/>
      <c r="AH416" s="8" t="n"/>
      <c r="AI416" s="9" t="n"/>
      <c r="AJ416" s="8" t="n"/>
      <c r="AK416" s="8" t="n"/>
      <c r="AL416" s="15" t="n"/>
      <c r="AM416" s="15" t="n"/>
      <c r="AN416" s="15" t="n"/>
      <c r="AO416" s="15" t="n"/>
      <c r="AP416" s="10" t="n"/>
      <c r="AQ416" s="15">
        <f>IF($B416="","",IF(OR(ISERROR(MATCH($B416,Community_Master!$A$2:$A$100,0)),$A416="",AND($H416&lt;&gt;"",$I416&gt;$H416),AND($H416&lt;&gt;"",$J416&gt;$H416),$I416&lt;0,$J416&lt;0,$K416&lt;0,$P416&lt;0,$Q416&lt;0,$Y416&lt;0,$Z416&lt;0,$AA416&lt;0,$AB416&lt;0,$AC416&lt;0),"ERROR","OK"))</f>
        <v/>
      </c>
      <c r="AR416" s="15">
        <f>IF($B416="","",TRIM(IF(ISERROR(MATCH($B416,Community_Master!$A$2:$A$100,0)),"Invalid Community_ID; ","")&amp;IF($A416="","Missing Report_Month; ","")&amp;IF(AND($H416&lt;&gt;"",$I416&gt;$H416),"Occupied_Units greater than Total_Units; ","")&amp;IF(AND($H416&lt;&gt;"",$J416&gt;$H416),"Leased_Units greater than Total_Units; ","")&amp;IF($I416&lt;0,"Occupied_Units negative; ","")&amp;IF($J416&lt;0,"Leased_Units negative; ","")&amp;IF($P416&lt;0,"Avg_Market_Rent negative; ","")))</f>
        <v/>
      </c>
    </row>
    <row r="417" ht="15" customHeight="1">
      <c r="A417" s="5" t="n"/>
      <c r="B417" s="15" t="n"/>
      <c r="C417" s="15">
        <f>IFERROR(VLOOKUP($B417,Community_Master!$A$2:$K$100,2,FALSE),"")</f>
        <v/>
      </c>
      <c r="D417" s="15">
        <f>IFERROR(VLOOKUP($B417,Community_Master!$A$2:$K$100,4,FALSE),"")</f>
        <v/>
      </c>
      <c r="E417" s="15">
        <f>IFERROR(VLOOKUP($B417,Community_Master!$A$2:$K$100,5,FALSE),"")</f>
        <v/>
      </c>
      <c r="F417" s="15">
        <f>IFERROR(VLOOKUP($B417,Community_Master!$A$2:$K$100,6,FALSE),"")</f>
        <v/>
      </c>
      <c r="G417" s="15">
        <f>IFERROR(VLOOKUP($B417,Community_Master!$A$2:$K$100,8,FALSE),"")</f>
        <v/>
      </c>
      <c r="H417" s="15">
        <f>IFERROR(VLOOKUP($B417,Community_Master!$A$2:$K$100,7,FALSE),"")</f>
        <v/>
      </c>
      <c r="I417" s="15" t="n"/>
      <c r="J417" s="15" t="n"/>
      <c r="K417" s="15" t="n"/>
      <c r="L417" s="15">
        <f>IF($H417="","",MAX($H417-$I417,0))</f>
        <v/>
      </c>
      <c r="M417" s="6">
        <f>IF($H417="","",IFERROR($I417/$H417,""))</f>
        <v/>
      </c>
      <c r="N417" s="6">
        <f>IF($H417="","",IFERROR($J417/$H417,""))</f>
        <v/>
      </c>
      <c r="O417" s="6" t="n"/>
      <c r="P417" s="7" t="n"/>
      <c r="Q417" s="7" t="n"/>
      <c r="R417" s="7" t="n"/>
      <c r="S417" s="7" t="n"/>
      <c r="T417" s="7">
        <f>IF($H417="","",IFERROR($H417*$P417,""))</f>
        <v/>
      </c>
      <c r="U417" s="7" t="n"/>
      <c r="V417" s="7" t="n"/>
      <c r="W417" s="7" t="n"/>
      <c r="X417" s="7">
        <f>IF(OR($U417="",$W417=""),"",($U417+$V417)-$W417)</f>
        <v/>
      </c>
      <c r="Y417" s="8" t="n"/>
      <c r="Z417" s="8" t="n"/>
      <c r="AA417" s="8" t="n"/>
      <c r="AB417" s="8" t="n"/>
      <c r="AC417" s="8" t="n"/>
      <c r="AD417" s="8" t="n"/>
      <c r="AE417" s="8" t="n"/>
      <c r="AF417" s="8" t="n"/>
      <c r="AG417" s="8" t="n"/>
      <c r="AH417" s="8" t="n"/>
      <c r="AI417" s="9" t="n"/>
      <c r="AJ417" s="8" t="n"/>
      <c r="AK417" s="8" t="n"/>
      <c r="AL417" s="15" t="n"/>
      <c r="AM417" s="15" t="n"/>
      <c r="AN417" s="15" t="n"/>
      <c r="AO417" s="15" t="n"/>
      <c r="AP417" s="10" t="n"/>
      <c r="AQ417" s="15">
        <f>IF($B417="","",IF(OR(ISERROR(MATCH($B417,Community_Master!$A$2:$A$100,0)),$A417="",AND($H417&lt;&gt;"",$I417&gt;$H417),AND($H417&lt;&gt;"",$J417&gt;$H417),$I417&lt;0,$J417&lt;0,$K417&lt;0,$P417&lt;0,$Q417&lt;0,$Y417&lt;0,$Z417&lt;0,$AA417&lt;0,$AB417&lt;0,$AC417&lt;0),"ERROR","OK"))</f>
        <v/>
      </c>
      <c r="AR417" s="15">
        <f>IF($B417="","",TRIM(IF(ISERROR(MATCH($B417,Community_Master!$A$2:$A$100,0)),"Invalid Community_ID; ","")&amp;IF($A417="","Missing Report_Month; ","")&amp;IF(AND($H417&lt;&gt;"",$I417&gt;$H417),"Occupied_Units greater than Total_Units; ","")&amp;IF(AND($H417&lt;&gt;"",$J417&gt;$H417),"Leased_Units greater than Total_Units; ","")&amp;IF($I417&lt;0,"Occupied_Units negative; ","")&amp;IF($J417&lt;0,"Leased_Units negative; ","")&amp;IF($P417&lt;0,"Avg_Market_Rent negative; ","")))</f>
        <v/>
      </c>
    </row>
    <row r="418" ht="15" customHeight="1">
      <c r="A418" s="5" t="n"/>
      <c r="B418" s="15" t="n"/>
      <c r="C418" s="15">
        <f>IFERROR(VLOOKUP($B418,Community_Master!$A$2:$K$100,2,FALSE),"")</f>
        <v/>
      </c>
      <c r="D418" s="15">
        <f>IFERROR(VLOOKUP($B418,Community_Master!$A$2:$K$100,4,FALSE),"")</f>
        <v/>
      </c>
      <c r="E418" s="15">
        <f>IFERROR(VLOOKUP($B418,Community_Master!$A$2:$K$100,5,FALSE),"")</f>
        <v/>
      </c>
      <c r="F418" s="15">
        <f>IFERROR(VLOOKUP($B418,Community_Master!$A$2:$K$100,6,FALSE),"")</f>
        <v/>
      </c>
      <c r="G418" s="15">
        <f>IFERROR(VLOOKUP($B418,Community_Master!$A$2:$K$100,8,FALSE),"")</f>
        <v/>
      </c>
      <c r="H418" s="15">
        <f>IFERROR(VLOOKUP($B418,Community_Master!$A$2:$K$100,7,FALSE),"")</f>
        <v/>
      </c>
      <c r="I418" s="15" t="n"/>
      <c r="J418" s="15" t="n"/>
      <c r="K418" s="15" t="n"/>
      <c r="L418" s="15">
        <f>IF($H418="","",MAX($H418-$I418,0))</f>
        <v/>
      </c>
      <c r="M418" s="6">
        <f>IF($H418="","",IFERROR($I418/$H418,""))</f>
        <v/>
      </c>
      <c r="N418" s="6">
        <f>IF($H418="","",IFERROR($J418/$H418,""))</f>
        <v/>
      </c>
      <c r="O418" s="6" t="n"/>
      <c r="P418" s="7" t="n"/>
      <c r="Q418" s="7" t="n"/>
      <c r="R418" s="7" t="n"/>
      <c r="S418" s="7" t="n"/>
      <c r="T418" s="7">
        <f>IF($H418="","",IFERROR($H418*$P418,""))</f>
        <v/>
      </c>
      <c r="U418" s="7" t="n"/>
      <c r="V418" s="7" t="n"/>
      <c r="W418" s="7" t="n"/>
      <c r="X418" s="7">
        <f>IF(OR($U418="",$W418=""),"",($U418+$V418)-$W418)</f>
        <v/>
      </c>
      <c r="Y418" s="8" t="n"/>
      <c r="Z418" s="8" t="n"/>
      <c r="AA418" s="8" t="n"/>
      <c r="AB418" s="8" t="n"/>
      <c r="AC418" s="8" t="n"/>
      <c r="AD418" s="8" t="n"/>
      <c r="AE418" s="8" t="n"/>
      <c r="AF418" s="8" t="n"/>
      <c r="AG418" s="8" t="n"/>
      <c r="AH418" s="8" t="n"/>
      <c r="AI418" s="9" t="n"/>
      <c r="AJ418" s="8" t="n"/>
      <c r="AK418" s="8" t="n"/>
      <c r="AL418" s="15" t="n"/>
      <c r="AM418" s="15" t="n"/>
      <c r="AN418" s="15" t="n"/>
      <c r="AO418" s="15" t="n"/>
      <c r="AP418" s="10" t="n"/>
      <c r="AQ418" s="15">
        <f>IF($B418="","",IF(OR(ISERROR(MATCH($B418,Community_Master!$A$2:$A$100,0)),$A418="",AND($H418&lt;&gt;"",$I418&gt;$H418),AND($H418&lt;&gt;"",$J418&gt;$H418),$I418&lt;0,$J418&lt;0,$K418&lt;0,$P418&lt;0,$Q418&lt;0,$Y418&lt;0,$Z418&lt;0,$AA418&lt;0,$AB418&lt;0,$AC418&lt;0),"ERROR","OK"))</f>
        <v/>
      </c>
      <c r="AR418" s="15">
        <f>IF($B418="","",TRIM(IF(ISERROR(MATCH($B418,Community_Master!$A$2:$A$100,0)),"Invalid Community_ID; ","")&amp;IF($A418="","Missing Report_Month; ","")&amp;IF(AND($H418&lt;&gt;"",$I418&gt;$H418),"Occupied_Units greater than Total_Units; ","")&amp;IF(AND($H418&lt;&gt;"",$J418&gt;$H418),"Leased_Units greater than Total_Units; ","")&amp;IF($I418&lt;0,"Occupied_Units negative; ","")&amp;IF($J418&lt;0,"Leased_Units negative; ","")&amp;IF($P418&lt;0,"Avg_Market_Rent negative; ","")))</f>
        <v/>
      </c>
    </row>
    <row r="419" ht="15" customHeight="1">
      <c r="A419" s="5" t="n"/>
      <c r="B419" s="15" t="n"/>
      <c r="C419" s="15">
        <f>IFERROR(VLOOKUP($B419,Community_Master!$A$2:$K$100,2,FALSE),"")</f>
        <v/>
      </c>
      <c r="D419" s="15">
        <f>IFERROR(VLOOKUP($B419,Community_Master!$A$2:$K$100,4,FALSE),"")</f>
        <v/>
      </c>
      <c r="E419" s="15">
        <f>IFERROR(VLOOKUP($B419,Community_Master!$A$2:$K$100,5,FALSE),"")</f>
        <v/>
      </c>
      <c r="F419" s="15">
        <f>IFERROR(VLOOKUP($B419,Community_Master!$A$2:$K$100,6,FALSE),"")</f>
        <v/>
      </c>
      <c r="G419" s="15">
        <f>IFERROR(VLOOKUP($B419,Community_Master!$A$2:$K$100,8,FALSE),"")</f>
        <v/>
      </c>
      <c r="H419" s="15">
        <f>IFERROR(VLOOKUP($B419,Community_Master!$A$2:$K$100,7,FALSE),"")</f>
        <v/>
      </c>
      <c r="I419" s="15" t="n"/>
      <c r="J419" s="15" t="n"/>
      <c r="K419" s="15" t="n"/>
      <c r="L419" s="15">
        <f>IF($H419="","",MAX($H419-$I419,0))</f>
        <v/>
      </c>
      <c r="M419" s="6">
        <f>IF($H419="","",IFERROR($I419/$H419,""))</f>
        <v/>
      </c>
      <c r="N419" s="6">
        <f>IF($H419="","",IFERROR($J419/$H419,""))</f>
        <v/>
      </c>
      <c r="O419" s="6" t="n"/>
      <c r="P419" s="7" t="n"/>
      <c r="Q419" s="7" t="n"/>
      <c r="R419" s="7" t="n"/>
      <c r="S419" s="7" t="n"/>
      <c r="T419" s="7">
        <f>IF($H419="","",IFERROR($H419*$P419,""))</f>
        <v/>
      </c>
      <c r="U419" s="7" t="n"/>
      <c r="V419" s="7" t="n"/>
      <c r="W419" s="7" t="n"/>
      <c r="X419" s="7">
        <f>IF(OR($U419="",$W419=""),"",($U419+$V419)-$W419)</f>
        <v/>
      </c>
      <c r="Y419" s="8" t="n"/>
      <c r="Z419" s="8" t="n"/>
      <c r="AA419" s="8" t="n"/>
      <c r="AB419" s="8" t="n"/>
      <c r="AC419" s="8" t="n"/>
      <c r="AD419" s="8" t="n"/>
      <c r="AE419" s="8" t="n"/>
      <c r="AF419" s="8" t="n"/>
      <c r="AG419" s="8" t="n"/>
      <c r="AH419" s="8" t="n"/>
      <c r="AI419" s="9" t="n"/>
      <c r="AJ419" s="8" t="n"/>
      <c r="AK419" s="8" t="n"/>
      <c r="AL419" s="15" t="n"/>
      <c r="AM419" s="15" t="n"/>
      <c r="AN419" s="15" t="n"/>
      <c r="AO419" s="15" t="n"/>
      <c r="AP419" s="10" t="n"/>
      <c r="AQ419" s="15">
        <f>IF($B419="","",IF(OR(ISERROR(MATCH($B419,Community_Master!$A$2:$A$100,0)),$A419="",AND($H419&lt;&gt;"",$I419&gt;$H419),AND($H419&lt;&gt;"",$J419&gt;$H419),$I419&lt;0,$J419&lt;0,$K419&lt;0,$P419&lt;0,$Q419&lt;0,$Y419&lt;0,$Z419&lt;0,$AA419&lt;0,$AB419&lt;0,$AC419&lt;0),"ERROR","OK"))</f>
        <v/>
      </c>
      <c r="AR419" s="15">
        <f>IF($B419="","",TRIM(IF(ISERROR(MATCH($B419,Community_Master!$A$2:$A$100,0)),"Invalid Community_ID; ","")&amp;IF($A419="","Missing Report_Month; ","")&amp;IF(AND($H419&lt;&gt;"",$I419&gt;$H419),"Occupied_Units greater than Total_Units; ","")&amp;IF(AND($H419&lt;&gt;"",$J419&gt;$H419),"Leased_Units greater than Total_Units; ","")&amp;IF($I419&lt;0,"Occupied_Units negative; ","")&amp;IF($J419&lt;0,"Leased_Units negative; ","")&amp;IF($P419&lt;0,"Avg_Market_Rent negative; ","")))</f>
        <v/>
      </c>
    </row>
    <row r="420" ht="15" customHeight="1">
      <c r="A420" s="5" t="n"/>
      <c r="B420" s="15" t="n"/>
      <c r="C420" s="15">
        <f>IFERROR(VLOOKUP($B420,Community_Master!$A$2:$K$100,2,FALSE),"")</f>
        <v/>
      </c>
      <c r="D420" s="15">
        <f>IFERROR(VLOOKUP($B420,Community_Master!$A$2:$K$100,4,FALSE),"")</f>
        <v/>
      </c>
      <c r="E420" s="15">
        <f>IFERROR(VLOOKUP($B420,Community_Master!$A$2:$K$100,5,FALSE),"")</f>
        <v/>
      </c>
      <c r="F420" s="15">
        <f>IFERROR(VLOOKUP($B420,Community_Master!$A$2:$K$100,6,FALSE),"")</f>
        <v/>
      </c>
      <c r="G420" s="15">
        <f>IFERROR(VLOOKUP($B420,Community_Master!$A$2:$K$100,8,FALSE),"")</f>
        <v/>
      </c>
      <c r="H420" s="15">
        <f>IFERROR(VLOOKUP($B420,Community_Master!$A$2:$K$100,7,FALSE),"")</f>
        <v/>
      </c>
      <c r="I420" s="15" t="n"/>
      <c r="J420" s="15" t="n"/>
      <c r="K420" s="15" t="n"/>
      <c r="L420" s="15">
        <f>IF($H420="","",MAX($H420-$I420,0))</f>
        <v/>
      </c>
      <c r="M420" s="6">
        <f>IF($H420="","",IFERROR($I420/$H420,""))</f>
        <v/>
      </c>
      <c r="N420" s="6">
        <f>IF($H420="","",IFERROR($J420/$H420,""))</f>
        <v/>
      </c>
      <c r="O420" s="6" t="n"/>
      <c r="P420" s="7" t="n"/>
      <c r="Q420" s="7" t="n"/>
      <c r="R420" s="7" t="n"/>
      <c r="S420" s="7" t="n"/>
      <c r="T420" s="7">
        <f>IF($H420="","",IFERROR($H420*$P420,""))</f>
        <v/>
      </c>
      <c r="U420" s="7" t="n"/>
      <c r="V420" s="7" t="n"/>
      <c r="W420" s="7" t="n"/>
      <c r="X420" s="7">
        <f>IF(OR($U420="",$W420=""),"",($U420+$V420)-$W420)</f>
        <v/>
      </c>
      <c r="Y420" s="8" t="n"/>
      <c r="Z420" s="8" t="n"/>
      <c r="AA420" s="8" t="n"/>
      <c r="AB420" s="8" t="n"/>
      <c r="AC420" s="8" t="n"/>
      <c r="AD420" s="8" t="n"/>
      <c r="AE420" s="8" t="n"/>
      <c r="AF420" s="8" t="n"/>
      <c r="AG420" s="8" t="n"/>
      <c r="AH420" s="8" t="n"/>
      <c r="AI420" s="9" t="n"/>
      <c r="AJ420" s="8" t="n"/>
      <c r="AK420" s="8" t="n"/>
      <c r="AL420" s="15" t="n"/>
      <c r="AM420" s="15" t="n"/>
      <c r="AN420" s="15" t="n"/>
      <c r="AO420" s="15" t="n"/>
      <c r="AP420" s="10" t="n"/>
      <c r="AQ420" s="15">
        <f>IF($B420="","",IF(OR(ISERROR(MATCH($B420,Community_Master!$A$2:$A$100,0)),$A420="",AND($H420&lt;&gt;"",$I420&gt;$H420),AND($H420&lt;&gt;"",$J420&gt;$H420),$I420&lt;0,$J420&lt;0,$K420&lt;0,$P420&lt;0,$Q420&lt;0,$Y420&lt;0,$Z420&lt;0,$AA420&lt;0,$AB420&lt;0,$AC420&lt;0),"ERROR","OK"))</f>
        <v/>
      </c>
      <c r="AR420" s="15">
        <f>IF($B420="","",TRIM(IF(ISERROR(MATCH($B420,Community_Master!$A$2:$A$100,0)),"Invalid Community_ID; ","")&amp;IF($A420="","Missing Report_Month; ","")&amp;IF(AND($H420&lt;&gt;"",$I420&gt;$H420),"Occupied_Units greater than Total_Units; ","")&amp;IF(AND($H420&lt;&gt;"",$J420&gt;$H420),"Leased_Units greater than Total_Units; ","")&amp;IF($I420&lt;0,"Occupied_Units negative; ","")&amp;IF($J420&lt;0,"Leased_Units negative; ","")&amp;IF($P420&lt;0,"Avg_Market_Rent negative; ","")))</f>
        <v/>
      </c>
    </row>
    <row r="421" ht="15" customHeight="1">
      <c r="A421" s="5" t="n"/>
      <c r="B421" s="15" t="n"/>
      <c r="C421" s="15">
        <f>IFERROR(VLOOKUP($B421,Community_Master!$A$2:$K$100,2,FALSE),"")</f>
        <v/>
      </c>
      <c r="D421" s="15">
        <f>IFERROR(VLOOKUP($B421,Community_Master!$A$2:$K$100,4,FALSE),"")</f>
        <v/>
      </c>
      <c r="E421" s="15">
        <f>IFERROR(VLOOKUP($B421,Community_Master!$A$2:$K$100,5,FALSE),"")</f>
        <v/>
      </c>
      <c r="F421" s="15">
        <f>IFERROR(VLOOKUP($B421,Community_Master!$A$2:$K$100,6,FALSE),"")</f>
        <v/>
      </c>
      <c r="G421" s="15">
        <f>IFERROR(VLOOKUP($B421,Community_Master!$A$2:$K$100,8,FALSE),"")</f>
        <v/>
      </c>
      <c r="H421" s="15">
        <f>IFERROR(VLOOKUP($B421,Community_Master!$A$2:$K$100,7,FALSE),"")</f>
        <v/>
      </c>
      <c r="I421" s="15" t="n"/>
      <c r="J421" s="15" t="n"/>
      <c r="K421" s="15" t="n"/>
      <c r="L421" s="15">
        <f>IF($H421="","",MAX($H421-$I421,0))</f>
        <v/>
      </c>
      <c r="M421" s="6">
        <f>IF($H421="","",IFERROR($I421/$H421,""))</f>
        <v/>
      </c>
      <c r="N421" s="6">
        <f>IF($H421="","",IFERROR($J421/$H421,""))</f>
        <v/>
      </c>
      <c r="O421" s="6" t="n"/>
      <c r="P421" s="7" t="n"/>
      <c r="Q421" s="7" t="n"/>
      <c r="R421" s="7" t="n"/>
      <c r="S421" s="7" t="n"/>
      <c r="T421" s="7">
        <f>IF($H421="","",IFERROR($H421*$P421,""))</f>
        <v/>
      </c>
      <c r="U421" s="7" t="n"/>
      <c r="V421" s="7" t="n"/>
      <c r="W421" s="7" t="n"/>
      <c r="X421" s="7">
        <f>IF(OR($U421="",$W421=""),"",($U421+$V421)-$W421)</f>
        <v/>
      </c>
      <c r="Y421" s="8" t="n"/>
      <c r="Z421" s="8" t="n"/>
      <c r="AA421" s="8" t="n"/>
      <c r="AB421" s="8" t="n"/>
      <c r="AC421" s="8" t="n"/>
      <c r="AD421" s="8" t="n"/>
      <c r="AE421" s="8" t="n"/>
      <c r="AF421" s="8" t="n"/>
      <c r="AG421" s="8" t="n"/>
      <c r="AH421" s="8" t="n"/>
      <c r="AI421" s="9" t="n"/>
      <c r="AJ421" s="8" t="n"/>
      <c r="AK421" s="8" t="n"/>
      <c r="AL421" s="15" t="n"/>
      <c r="AM421" s="15" t="n"/>
      <c r="AN421" s="15" t="n"/>
      <c r="AO421" s="15" t="n"/>
      <c r="AP421" s="10" t="n"/>
      <c r="AQ421" s="15">
        <f>IF($B421="","",IF(OR(ISERROR(MATCH($B421,Community_Master!$A$2:$A$100,0)),$A421="",AND($H421&lt;&gt;"",$I421&gt;$H421),AND($H421&lt;&gt;"",$J421&gt;$H421),$I421&lt;0,$J421&lt;0,$K421&lt;0,$P421&lt;0,$Q421&lt;0,$Y421&lt;0,$Z421&lt;0,$AA421&lt;0,$AB421&lt;0,$AC421&lt;0),"ERROR","OK"))</f>
        <v/>
      </c>
      <c r="AR421" s="15">
        <f>IF($B421="","",TRIM(IF(ISERROR(MATCH($B421,Community_Master!$A$2:$A$100,0)),"Invalid Community_ID; ","")&amp;IF($A421="","Missing Report_Month; ","")&amp;IF(AND($H421&lt;&gt;"",$I421&gt;$H421),"Occupied_Units greater than Total_Units; ","")&amp;IF(AND($H421&lt;&gt;"",$J421&gt;$H421),"Leased_Units greater than Total_Units; ","")&amp;IF($I421&lt;0,"Occupied_Units negative; ","")&amp;IF($J421&lt;0,"Leased_Units negative; ","")&amp;IF($P421&lt;0,"Avg_Market_Rent negative; ","")))</f>
        <v/>
      </c>
    </row>
    <row r="422" ht="15" customHeight="1">
      <c r="A422" s="5" t="n"/>
      <c r="B422" s="15" t="n"/>
      <c r="C422" s="15">
        <f>IFERROR(VLOOKUP($B422,Community_Master!$A$2:$K$100,2,FALSE),"")</f>
        <v/>
      </c>
      <c r="D422" s="15">
        <f>IFERROR(VLOOKUP($B422,Community_Master!$A$2:$K$100,4,FALSE),"")</f>
        <v/>
      </c>
      <c r="E422" s="15">
        <f>IFERROR(VLOOKUP($B422,Community_Master!$A$2:$K$100,5,FALSE),"")</f>
        <v/>
      </c>
      <c r="F422" s="15">
        <f>IFERROR(VLOOKUP($B422,Community_Master!$A$2:$K$100,6,FALSE),"")</f>
        <v/>
      </c>
      <c r="G422" s="15">
        <f>IFERROR(VLOOKUP($B422,Community_Master!$A$2:$K$100,8,FALSE),"")</f>
        <v/>
      </c>
      <c r="H422" s="15">
        <f>IFERROR(VLOOKUP($B422,Community_Master!$A$2:$K$100,7,FALSE),"")</f>
        <v/>
      </c>
      <c r="I422" s="15" t="n"/>
      <c r="J422" s="15" t="n"/>
      <c r="K422" s="15" t="n"/>
      <c r="L422" s="15">
        <f>IF($H422="","",MAX($H422-$I422,0))</f>
        <v/>
      </c>
      <c r="M422" s="6">
        <f>IF($H422="","",IFERROR($I422/$H422,""))</f>
        <v/>
      </c>
      <c r="N422" s="6">
        <f>IF($H422="","",IFERROR($J422/$H422,""))</f>
        <v/>
      </c>
      <c r="O422" s="6" t="n"/>
      <c r="P422" s="7" t="n"/>
      <c r="Q422" s="7" t="n"/>
      <c r="R422" s="7" t="n"/>
      <c r="S422" s="7" t="n"/>
      <c r="T422" s="7">
        <f>IF($H422="","",IFERROR($H422*$P422,""))</f>
        <v/>
      </c>
      <c r="U422" s="7" t="n"/>
      <c r="V422" s="7" t="n"/>
      <c r="W422" s="7" t="n"/>
      <c r="X422" s="7">
        <f>IF(OR($U422="",$W422=""),"",($U422+$V422)-$W422)</f>
        <v/>
      </c>
      <c r="Y422" s="8" t="n"/>
      <c r="Z422" s="8" t="n"/>
      <c r="AA422" s="8" t="n"/>
      <c r="AB422" s="8" t="n"/>
      <c r="AC422" s="8" t="n"/>
      <c r="AD422" s="8" t="n"/>
      <c r="AE422" s="8" t="n"/>
      <c r="AF422" s="8" t="n"/>
      <c r="AG422" s="8" t="n"/>
      <c r="AH422" s="8" t="n"/>
      <c r="AI422" s="9" t="n"/>
      <c r="AJ422" s="8" t="n"/>
      <c r="AK422" s="8" t="n"/>
      <c r="AL422" s="15" t="n"/>
      <c r="AM422" s="15" t="n"/>
      <c r="AN422" s="15" t="n"/>
      <c r="AO422" s="15" t="n"/>
      <c r="AP422" s="10" t="n"/>
      <c r="AQ422" s="15">
        <f>IF($B422="","",IF(OR(ISERROR(MATCH($B422,Community_Master!$A$2:$A$100,0)),$A422="",AND($H422&lt;&gt;"",$I422&gt;$H422),AND($H422&lt;&gt;"",$J422&gt;$H422),$I422&lt;0,$J422&lt;0,$K422&lt;0,$P422&lt;0,$Q422&lt;0,$Y422&lt;0,$Z422&lt;0,$AA422&lt;0,$AB422&lt;0,$AC422&lt;0),"ERROR","OK"))</f>
        <v/>
      </c>
      <c r="AR422" s="15">
        <f>IF($B422="","",TRIM(IF(ISERROR(MATCH($B422,Community_Master!$A$2:$A$100,0)),"Invalid Community_ID; ","")&amp;IF($A422="","Missing Report_Month; ","")&amp;IF(AND($H422&lt;&gt;"",$I422&gt;$H422),"Occupied_Units greater than Total_Units; ","")&amp;IF(AND($H422&lt;&gt;"",$J422&gt;$H422),"Leased_Units greater than Total_Units; ","")&amp;IF($I422&lt;0,"Occupied_Units negative; ","")&amp;IF($J422&lt;0,"Leased_Units negative; ","")&amp;IF($P422&lt;0,"Avg_Market_Rent negative; ","")))</f>
        <v/>
      </c>
    </row>
    <row r="423" ht="15" customHeight="1">
      <c r="A423" s="5" t="n"/>
      <c r="B423" s="15" t="n"/>
      <c r="C423" s="15">
        <f>IFERROR(VLOOKUP($B423,Community_Master!$A$2:$K$100,2,FALSE),"")</f>
        <v/>
      </c>
      <c r="D423" s="15">
        <f>IFERROR(VLOOKUP($B423,Community_Master!$A$2:$K$100,4,FALSE),"")</f>
        <v/>
      </c>
      <c r="E423" s="15">
        <f>IFERROR(VLOOKUP($B423,Community_Master!$A$2:$K$100,5,FALSE),"")</f>
        <v/>
      </c>
      <c r="F423" s="15">
        <f>IFERROR(VLOOKUP($B423,Community_Master!$A$2:$K$100,6,FALSE),"")</f>
        <v/>
      </c>
      <c r="G423" s="15">
        <f>IFERROR(VLOOKUP($B423,Community_Master!$A$2:$K$100,8,FALSE),"")</f>
        <v/>
      </c>
      <c r="H423" s="15">
        <f>IFERROR(VLOOKUP($B423,Community_Master!$A$2:$K$100,7,FALSE),"")</f>
        <v/>
      </c>
      <c r="I423" s="15" t="n"/>
      <c r="J423" s="15" t="n"/>
      <c r="K423" s="15" t="n"/>
      <c r="L423" s="15">
        <f>IF($H423="","",MAX($H423-$I423,0))</f>
        <v/>
      </c>
      <c r="M423" s="6">
        <f>IF($H423="","",IFERROR($I423/$H423,""))</f>
        <v/>
      </c>
      <c r="N423" s="6">
        <f>IF($H423="","",IFERROR($J423/$H423,""))</f>
        <v/>
      </c>
      <c r="O423" s="6" t="n"/>
      <c r="P423" s="7" t="n"/>
      <c r="Q423" s="7" t="n"/>
      <c r="R423" s="7" t="n"/>
      <c r="S423" s="7" t="n"/>
      <c r="T423" s="7">
        <f>IF($H423="","",IFERROR($H423*$P423,""))</f>
        <v/>
      </c>
      <c r="U423" s="7" t="n"/>
      <c r="V423" s="7" t="n"/>
      <c r="W423" s="7" t="n"/>
      <c r="X423" s="7">
        <f>IF(OR($U423="",$W423=""),"",($U423+$V423)-$W423)</f>
        <v/>
      </c>
      <c r="Y423" s="8" t="n"/>
      <c r="Z423" s="8" t="n"/>
      <c r="AA423" s="8" t="n"/>
      <c r="AB423" s="8" t="n"/>
      <c r="AC423" s="8" t="n"/>
      <c r="AD423" s="8" t="n"/>
      <c r="AE423" s="8" t="n"/>
      <c r="AF423" s="8" t="n"/>
      <c r="AG423" s="8" t="n"/>
      <c r="AH423" s="8" t="n"/>
      <c r="AI423" s="9" t="n"/>
      <c r="AJ423" s="8" t="n"/>
      <c r="AK423" s="8" t="n"/>
      <c r="AL423" s="15" t="n"/>
      <c r="AM423" s="15" t="n"/>
      <c r="AN423" s="15" t="n"/>
      <c r="AO423" s="15" t="n"/>
      <c r="AP423" s="10" t="n"/>
      <c r="AQ423" s="15">
        <f>IF($B423="","",IF(OR(ISERROR(MATCH($B423,Community_Master!$A$2:$A$100,0)),$A423="",AND($H423&lt;&gt;"",$I423&gt;$H423),AND($H423&lt;&gt;"",$J423&gt;$H423),$I423&lt;0,$J423&lt;0,$K423&lt;0,$P423&lt;0,$Q423&lt;0,$Y423&lt;0,$Z423&lt;0,$AA423&lt;0,$AB423&lt;0,$AC423&lt;0),"ERROR","OK"))</f>
        <v/>
      </c>
      <c r="AR423" s="15">
        <f>IF($B423="","",TRIM(IF(ISERROR(MATCH($B423,Community_Master!$A$2:$A$100,0)),"Invalid Community_ID; ","")&amp;IF($A423="","Missing Report_Month; ","")&amp;IF(AND($H423&lt;&gt;"",$I423&gt;$H423),"Occupied_Units greater than Total_Units; ","")&amp;IF(AND($H423&lt;&gt;"",$J423&gt;$H423),"Leased_Units greater than Total_Units; ","")&amp;IF($I423&lt;0,"Occupied_Units negative; ","")&amp;IF($J423&lt;0,"Leased_Units negative; ","")&amp;IF($P423&lt;0,"Avg_Market_Rent negative; ","")))</f>
        <v/>
      </c>
    </row>
    <row r="424" ht="15" customHeight="1">
      <c r="A424" s="5" t="n"/>
      <c r="B424" s="15" t="n"/>
      <c r="C424" s="15">
        <f>IFERROR(VLOOKUP($B424,Community_Master!$A$2:$K$100,2,FALSE),"")</f>
        <v/>
      </c>
      <c r="D424" s="15">
        <f>IFERROR(VLOOKUP($B424,Community_Master!$A$2:$K$100,4,FALSE),"")</f>
        <v/>
      </c>
      <c r="E424" s="15">
        <f>IFERROR(VLOOKUP($B424,Community_Master!$A$2:$K$100,5,FALSE),"")</f>
        <v/>
      </c>
      <c r="F424" s="15">
        <f>IFERROR(VLOOKUP($B424,Community_Master!$A$2:$K$100,6,FALSE),"")</f>
        <v/>
      </c>
      <c r="G424" s="15">
        <f>IFERROR(VLOOKUP($B424,Community_Master!$A$2:$K$100,8,FALSE),"")</f>
        <v/>
      </c>
      <c r="H424" s="15">
        <f>IFERROR(VLOOKUP($B424,Community_Master!$A$2:$K$100,7,FALSE),"")</f>
        <v/>
      </c>
      <c r="I424" s="15" t="n"/>
      <c r="J424" s="15" t="n"/>
      <c r="K424" s="15" t="n"/>
      <c r="L424" s="15">
        <f>IF($H424="","",MAX($H424-$I424,0))</f>
        <v/>
      </c>
      <c r="M424" s="6">
        <f>IF($H424="","",IFERROR($I424/$H424,""))</f>
        <v/>
      </c>
      <c r="N424" s="6">
        <f>IF($H424="","",IFERROR($J424/$H424,""))</f>
        <v/>
      </c>
      <c r="O424" s="6" t="n"/>
      <c r="P424" s="7" t="n"/>
      <c r="Q424" s="7" t="n"/>
      <c r="R424" s="7" t="n"/>
      <c r="S424" s="7" t="n"/>
      <c r="T424" s="7">
        <f>IF($H424="","",IFERROR($H424*$P424,""))</f>
        <v/>
      </c>
      <c r="U424" s="7" t="n"/>
      <c r="V424" s="7" t="n"/>
      <c r="W424" s="7" t="n"/>
      <c r="X424" s="7">
        <f>IF(OR($U424="",$W424=""),"",($U424+$V424)-$W424)</f>
        <v/>
      </c>
      <c r="Y424" s="8" t="n"/>
      <c r="Z424" s="8" t="n"/>
      <c r="AA424" s="8" t="n"/>
      <c r="AB424" s="8" t="n"/>
      <c r="AC424" s="8" t="n"/>
      <c r="AD424" s="8" t="n"/>
      <c r="AE424" s="8" t="n"/>
      <c r="AF424" s="8" t="n"/>
      <c r="AG424" s="8" t="n"/>
      <c r="AH424" s="8" t="n"/>
      <c r="AI424" s="9" t="n"/>
      <c r="AJ424" s="8" t="n"/>
      <c r="AK424" s="8" t="n"/>
      <c r="AL424" s="15" t="n"/>
      <c r="AM424" s="15" t="n"/>
      <c r="AN424" s="15" t="n"/>
      <c r="AO424" s="15" t="n"/>
      <c r="AP424" s="10" t="n"/>
      <c r="AQ424" s="15">
        <f>IF($B424="","",IF(OR(ISERROR(MATCH($B424,Community_Master!$A$2:$A$100,0)),$A424="",AND($H424&lt;&gt;"",$I424&gt;$H424),AND($H424&lt;&gt;"",$J424&gt;$H424),$I424&lt;0,$J424&lt;0,$K424&lt;0,$P424&lt;0,$Q424&lt;0,$Y424&lt;0,$Z424&lt;0,$AA424&lt;0,$AB424&lt;0,$AC424&lt;0),"ERROR","OK"))</f>
        <v/>
      </c>
      <c r="AR424" s="15">
        <f>IF($B424="","",TRIM(IF(ISERROR(MATCH($B424,Community_Master!$A$2:$A$100,0)),"Invalid Community_ID; ","")&amp;IF($A424="","Missing Report_Month; ","")&amp;IF(AND($H424&lt;&gt;"",$I424&gt;$H424),"Occupied_Units greater than Total_Units; ","")&amp;IF(AND($H424&lt;&gt;"",$J424&gt;$H424),"Leased_Units greater than Total_Units; ","")&amp;IF($I424&lt;0,"Occupied_Units negative; ","")&amp;IF($J424&lt;0,"Leased_Units negative; ","")&amp;IF($P424&lt;0,"Avg_Market_Rent negative; ","")))</f>
        <v/>
      </c>
    </row>
    <row r="425" ht="15" customHeight="1">
      <c r="A425" s="5" t="n"/>
      <c r="B425" s="15" t="n"/>
      <c r="C425" s="15">
        <f>IFERROR(VLOOKUP($B425,Community_Master!$A$2:$K$100,2,FALSE),"")</f>
        <v/>
      </c>
      <c r="D425" s="15">
        <f>IFERROR(VLOOKUP($B425,Community_Master!$A$2:$K$100,4,FALSE),"")</f>
        <v/>
      </c>
      <c r="E425" s="15">
        <f>IFERROR(VLOOKUP($B425,Community_Master!$A$2:$K$100,5,FALSE),"")</f>
        <v/>
      </c>
      <c r="F425" s="15">
        <f>IFERROR(VLOOKUP($B425,Community_Master!$A$2:$K$100,6,FALSE),"")</f>
        <v/>
      </c>
      <c r="G425" s="15">
        <f>IFERROR(VLOOKUP($B425,Community_Master!$A$2:$K$100,8,FALSE),"")</f>
        <v/>
      </c>
      <c r="H425" s="15">
        <f>IFERROR(VLOOKUP($B425,Community_Master!$A$2:$K$100,7,FALSE),"")</f>
        <v/>
      </c>
      <c r="I425" s="15" t="n"/>
      <c r="J425" s="15" t="n"/>
      <c r="K425" s="15" t="n"/>
      <c r="L425" s="15">
        <f>IF($H425="","",MAX($H425-$I425,0))</f>
        <v/>
      </c>
      <c r="M425" s="6">
        <f>IF($H425="","",IFERROR($I425/$H425,""))</f>
        <v/>
      </c>
      <c r="N425" s="6">
        <f>IF($H425="","",IFERROR($J425/$H425,""))</f>
        <v/>
      </c>
      <c r="O425" s="6" t="n"/>
      <c r="P425" s="7" t="n"/>
      <c r="Q425" s="7" t="n"/>
      <c r="R425" s="7" t="n"/>
      <c r="S425" s="7" t="n"/>
      <c r="T425" s="7">
        <f>IF($H425="","",IFERROR($H425*$P425,""))</f>
        <v/>
      </c>
      <c r="U425" s="7" t="n"/>
      <c r="V425" s="7" t="n"/>
      <c r="W425" s="7" t="n"/>
      <c r="X425" s="7">
        <f>IF(OR($U425="",$W425=""),"",($U425+$V425)-$W425)</f>
        <v/>
      </c>
      <c r="Y425" s="8" t="n"/>
      <c r="Z425" s="8" t="n"/>
      <c r="AA425" s="8" t="n"/>
      <c r="AB425" s="8" t="n"/>
      <c r="AC425" s="8" t="n"/>
      <c r="AD425" s="8" t="n"/>
      <c r="AE425" s="8" t="n"/>
      <c r="AF425" s="8" t="n"/>
      <c r="AG425" s="8" t="n"/>
      <c r="AH425" s="8" t="n"/>
      <c r="AI425" s="9" t="n"/>
      <c r="AJ425" s="8" t="n"/>
      <c r="AK425" s="8" t="n"/>
      <c r="AL425" s="15" t="n"/>
      <c r="AM425" s="15" t="n"/>
      <c r="AN425" s="15" t="n"/>
      <c r="AO425" s="15" t="n"/>
      <c r="AP425" s="10" t="n"/>
      <c r="AQ425" s="15">
        <f>IF($B425="","",IF(OR(ISERROR(MATCH($B425,Community_Master!$A$2:$A$100,0)),$A425="",AND($H425&lt;&gt;"",$I425&gt;$H425),AND($H425&lt;&gt;"",$J425&gt;$H425),$I425&lt;0,$J425&lt;0,$K425&lt;0,$P425&lt;0,$Q425&lt;0,$Y425&lt;0,$Z425&lt;0,$AA425&lt;0,$AB425&lt;0,$AC425&lt;0),"ERROR","OK"))</f>
        <v/>
      </c>
      <c r="AR425" s="15">
        <f>IF($B425="","",TRIM(IF(ISERROR(MATCH($B425,Community_Master!$A$2:$A$100,0)),"Invalid Community_ID; ","")&amp;IF($A425="","Missing Report_Month; ","")&amp;IF(AND($H425&lt;&gt;"",$I425&gt;$H425),"Occupied_Units greater than Total_Units; ","")&amp;IF(AND($H425&lt;&gt;"",$J425&gt;$H425),"Leased_Units greater than Total_Units; ","")&amp;IF($I425&lt;0,"Occupied_Units negative; ","")&amp;IF($J425&lt;0,"Leased_Units negative; ","")&amp;IF($P425&lt;0,"Avg_Market_Rent negative; ","")))</f>
        <v/>
      </c>
    </row>
    <row r="426" ht="15" customHeight="1">
      <c r="A426" s="5" t="n"/>
      <c r="B426" s="15" t="n"/>
      <c r="C426" s="15">
        <f>IFERROR(VLOOKUP($B426,Community_Master!$A$2:$K$100,2,FALSE),"")</f>
        <v/>
      </c>
      <c r="D426" s="15">
        <f>IFERROR(VLOOKUP($B426,Community_Master!$A$2:$K$100,4,FALSE),"")</f>
        <v/>
      </c>
      <c r="E426" s="15">
        <f>IFERROR(VLOOKUP($B426,Community_Master!$A$2:$K$100,5,FALSE),"")</f>
        <v/>
      </c>
      <c r="F426" s="15">
        <f>IFERROR(VLOOKUP($B426,Community_Master!$A$2:$K$100,6,FALSE),"")</f>
        <v/>
      </c>
      <c r="G426" s="15">
        <f>IFERROR(VLOOKUP($B426,Community_Master!$A$2:$K$100,8,FALSE),"")</f>
        <v/>
      </c>
      <c r="H426" s="15">
        <f>IFERROR(VLOOKUP($B426,Community_Master!$A$2:$K$100,7,FALSE),"")</f>
        <v/>
      </c>
      <c r="I426" s="15" t="n"/>
      <c r="J426" s="15" t="n"/>
      <c r="K426" s="15" t="n"/>
      <c r="L426" s="15">
        <f>IF($H426="","",MAX($H426-$I426,0))</f>
        <v/>
      </c>
      <c r="M426" s="6">
        <f>IF($H426="","",IFERROR($I426/$H426,""))</f>
        <v/>
      </c>
      <c r="N426" s="6">
        <f>IF($H426="","",IFERROR($J426/$H426,""))</f>
        <v/>
      </c>
      <c r="O426" s="6" t="n"/>
      <c r="P426" s="7" t="n"/>
      <c r="Q426" s="7" t="n"/>
      <c r="R426" s="7" t="n"/>
      <c r="S426" s="7" t="n"/>
      <c r="T426" s="7">
        <f>IF($H426="","",IFERROR($H426*$P426,""))</f>
        <v/>
      </c>
      <c r="U426" s="7" t="n"/>
      <c r="V426" s="7" t="n"/>
      <c r="W426" s="7" t="n"/>
      <c r="X426" s="7">
        <f>IF(OR($U426="",$W426=""),"",($U426+$V426)-$W426)</f>
        <v/>
      </c>
      <c r="Y426" s="8" t="n"/>
      <c r="Z426" s="8" t="n"/>
      <c r="AA426" s="8" t="n"/>
      <c r="AB426" s="8" t="n"/>
      <c r="AC426" s="8" t="n"/>
      <c r="AD426" s="8" t="n"/>
      <c r="AE426" s="8" t="n"/>
      <c r="AF426" s="8" t="n"/>
      <c r="AG426" s="8" t="n"/>
      <c r="AH426" s="8" t="n"/>
      <c r="AI426" s="9" t="n"/>
      <c r="AJ426" s="8" t="n"/>
      <c r="AK426" s="8" t="n"/>
      <c r="AL426" s="15" t="n"/>
      <c r="AM426" s="15" t="n"/>
      <c r="AN426" s="15" t="n"/>
      <c r="AO426" s="15" t="n"/>
      <c r="AP426" s="10" t="n"/>
      <c r="AQ426" s="15">
        <f>IF($B426="","",IF(OR(ISERROR(MATCH($B426,Community_Master!$A$2:$A$100,0)),$A426="",AND($H426&lt;&gt;"",$I426&gt;$H426),AND($H426&lt;&gt;"",$J426&gt;$H426),$I426&lt;0,$J426&lt;0,$K426&lt;0,$P426&lt;0,$Q426&lt;0,$Y426&lt;0,$Z426&lt;0,$AA426&lt;0,$AB426&lt;0,$AC426&lt;0),"ERROR","OK"))</f>
        <v/>
      </c>
      <c r="AR426" s="15">
        <f>IF($B426="","",TRIM(IF(ISERROR(MATCH($B426,Community_Master!$A$2:$A$100,0)),"Invalid Community_ID; ","")&amp;IF($A426="","Missing Report_Month; ","")&amp;IF(AND($H426&lt;&gt;"",$I426&gt;$H426),"Occupied_Units greater than Total_Units; ","")&amp;IF(AND($H426&lt;&gt;"",$J426&gt;$H426),"Leased_Units greater than Total_Units; ","")&amp;IF($I426&lt;0,"Occupied_Units negative; ","")&amp;IF($J426&lt;0,"Leased_Units negative; ","")&amp;IF($P426&lt;0,"Avg_Market_Rent negative; ","")))</f>
        <v/>
      </c>
    </row>
    <row r="427" ht="15" customHeight="1">
      <c r="A427" s="5" t="n"/>
      <c r="B427" s="15" t="n"/>
      <c r="C427" s="15">
        <f>IFERROR(VLOOKUP($B427,Community_Master!$A$2:$K$100,2,FALSE),"")</f>
        <v/>
      </c>
      <c r="D427" s="15">
        <f>IFERROR(VLOOKUP($B427,Community_Master!$A$2:$K$100,4,FALSE),"")</f>
        <v/>
      </c>
      <c r="E427" s="15">
        <f>IFERROR(VLOOKUP($B427,Community_Master!$A$2:$K$100,5,FALSE),"")</f>
        <v/>
      </c>
      <c r="F427" s="15">
        <f>IFERROR(VLOOKUP($B427,Community_Master!$A$2:$K$100,6,FALSE),"")</f>
        <v/>
      </c>
      <c r="G427" s="15">
        <f>IFERROR(VLOOKUP($B427,Community_Master!$A$2:$K$100,8,FALSE),"")</f>
        <v/>
      </c>
      <c r="H427" s="15">
        <f>IFERROR(VLOOKUP($B427,Community_Master!$A$2:$K$100,7,FALSE),"")</f>
        <v/>
      </c>
      <c r="I427" s="15" t="n"/>
      <c r="J427" s="15" t="n"/>
      <c r="K427" s="15" t="n"/>
      <c r="L427" s="15">
        <f>IF($H427="","",MAX($H427-$I427,0))</f>
        <v/>
      </c>
      <c r="M427" s="6">
        <f>IF($H427="","",IFERROR($I427/$H427,""))</f>
        <v/>
      </c>
      <c r="N427" s="6">
        <f>IF($H427="","",IFERROR($J427/$H427,""))</f>
        <v/>
      </c>
      <c r="O427" s="6" t="n"/>
      <c r="P427" s="7" t="n"/>
      <c r="Q427" s="7" t="n"/>
      <c r="R427" s="7" t="n"/>
      <c r="S427" s="7" t="n"/>
      <c r="T427" s="7">
        <f>IF($H427="","",IFERROR($H427*$P427,""))</f>
        <v/>
      </c>
      <c r="U427" s="7" t="n"/>
      <c r="V427" s="7" t="n"/>
      <c r="W427" s="7" t="n"/>
      <c r="X427" s="7">
        <f>IF(OR($U427="",$W427=""),"",($U427+$V427)-$W427)</f>
        <v/>
      </c>
      <c r="Y427" s="8" t="n"/>
      <c r="Z427" s="8" t="n"/>
      <c r="AA427" s="8" t="n"/>
      <c r="AB427" s="8" t="n"/>
      <c r="AC427" s="8" t="n"/>
      <c r="AD427" s="8" t="n"/>
      <c r="AE427" s="8" t="n"/>
      <c r="AF427" s="8" t="n"/>
      <c r="AG427" s="8" t="n"/>
      <c r="AH427" s="8" t="n"/>
      <c r="AI427" s="9" t="n"/>
      <c r="AJ427" s="8" t="n"/>
      <c r="AK427" s="8" t="n"/>
      <c r="AL427" s="15" t="n"/>
      <c r="AM427" s="15" t="n"/>
      <c r="AN427" s="15" t="n"/>
      <c r="AO427" s="15" t="n"/>
      <c r="AP427" s="10" t="n"/>
      <c r="AQ427" s="15">
        <f>IF($B427="","",IF(OR(ISERROR(MATCH($B427,Community_Master!$A$2:$A$100,0)),$A427="",AND($H427&lt;&gt;"",$I427&gt;$H427),AND($H427&lt;&gt;"",$J427&gt;$H427),$I427&lt;0,$J427&lt;0,$K427&lt;0,$P427&lt;0,$Q427&lt;0,$Y427&lt;0,$Z427&lt;0,$AA427&lt;0,$AB427&lt;0,$AC427&lt;0),"ERROR","OK"))</f>
        <v/>
      </c>
      <c r="AR427" s="15">
        <f>IF($B427="","",TRIM(IF(ISERROR(MATCH($B427,Community_Master!$A$2:$A$100,0)),"Invalid Community_ID; ","")&amp;IF($A427="","Missing Report_Month; ","")&amp;IF(AND($H427&lt;&gt;"",$I427&gt;$H427),"Occupied_Units greater than Total_Units; ","")&amp;IF(AND($H427&lt;&gt;"",$J427&gt;$H427),"Leased_Units greater than Total_Units; ","")&amp;IF($I427&lt;0,"Occupied_Units negative; ","")&amp;IF($J427&lt;0,"Leased_Units negative; ","")&amp;IF($P427&lt;0,"Avg_Market_Rent negative; ","")))</f>
        <v/>
      </c>
    </row>
    <row r="428" ht="15" customHeight="1">
      <c r="A428" s="5" t="n"/>
      <c r="B428" s="15" t="n"/>
      <c r="C428" s="15">
        <f>IFERROR(VLOOKUP($B428,Community_Master!$A$2:$K$100,2,FALSE),"")</f>
        <v/>
      </c>
      <c r="D428" s="15">
        <f>IFERROR(VLOOKUP($B428,Community_Master!$A$2:$K$100,4,FALSE),"")</f>
        <v/>
      </c>
      <c r="E428" s="15">
        <f>IFERROR(VLOOKUP($B428,Community_Master!$A$2:$K$100,5,FALSE),"")</f>
        <v/>
      </c>
      <c r="F428" s="15">
        <f>IFERROR(VLOOKUP($B428,Community_Master!$A$2:$K$100,6,FALSE),"")</f>
        <v/>
      </c>
      <c r="G428" s="15">
        <f>IFERROR(VLOOKUP($B428,Community_Master!$A$2:$K$100,8,FALSE),"")</f>
        <v/>
      </c>
      <c r="H428" s="15">
        <f>IFERROR(VLOOKUP($B428,Community_Master!$A$2:$K$100,7,FALSE),"")</f>
        <v/>
      </c>
      <c r="I428" s="15" t="n"/>
      <c r="J428" s="15" t="n"/>
      <c r="K428" s="15" t="n"/>
      <c r="L428" s="15">
        <f>IF($H428="","",MAX($H428-$I428,0))</f>
        <v/>
      </c>
      <c r="M428" s="6">
        <f>IF($H428="","",IFERROR($I428/$H428,""))</f>
        <v/>
      </c>
      <c r="N428" s="6">
        <f>IF($H428="","",IFERROR($J428/$H428,""))</f>
        <v/>
      </c>
      <c r="O428" s="6" t="n"/>
      <c r="P428" s="7" t="n"/>
      <c r="Q428" s="7" t="n"/>
      <c r="R428" s="7" t="n"/>
      <c r="S428" s="7" t="n"/>
      <c r="T428" s="7">
        <f>IF($H428="","",IFERROR($H428*$P428,""))</f>
        <v/>
      </c>
      <c r="U428" s="7" t="n"/>
      <c r="V428" s="7" t="n"/>
      <c r="W428" s="7" t="n"/>
      <c r="X428" s="7">
        <f>IF(OR($U428="",$W428=""),"",($U428+$V428)-$W428)</f>
        <v/>
      </c>
      <c r="Y428" s="8" t="n"/>
      <c r="Z428" s="8" t="n"/>
      <c r="AA428" s="8" t="n"/>
      <c r="AB428" s="8" t="n"/>
      <c r="AC428" s="8" t="n"/>
      <c r="AD428" s="8" t="n"/>
      <c r="AE428" s="8" t="n"/>
      <c r="AF428" s="8" t="n"/>
      <c r="AG428" s="8" t="n"/>
      <c r="AH428" s="8" t="n"/>
      <c r="AI428" s="9" t="n"/>
      <c r="AJ428" s="8" t="n"/>
      <c r="AK428" s="8" t="n"/>
      <c r="AL428" s="15" t="n"/>
      <c r="AM428" s="15" t="n"/>
      <c r="AN428" s="15" t="n"/>
      <c r="AO428" s="15" t="n"/>
      <c r="AP428" s="10" t="n"/>
      <c r="AQ428" s="15">
        <f>IF($B428="","",IF(OR(ISERROR(MATCH($B428,Community_Master!$A$2:$A$100,0)),$A428="",AND($H428&lt;&gt;"",$I428&gt;$H428),AND($H428&lt;&gt;"",$J428&gt;$H428),$I428&lt;0,$J428&lt;0,$K428&lt;0,$P428&lt;0,$Q428&lt;0,$Y428&lt;0,$Z428&lt;0,$AA428&lt;0,$AB428&lt;0,$AC428&lt;0),"ERROR","OK"))</f>
        <v/>
      </c>
      <c r="AR428" s="15">
        <f>IF($B428="","",TRIM(IF(ISERROR(MATCH($B428,Community_Master!$A$2:$A$100,0)),"Invalid Community_ID; ","")&amp;IF($A428="","Missing Report_Month; ","")&amp;IF(AND($H428&lt;&gt;"",$I428&gt;$H428),"Occupied_Units greater than Total_Units; ","")&amp;IF(AND($H428&lt;&gt;"",$J428&gt;$H428),"Leased_Units greater than Total_Units; ","")&amp;IF($I428&lt;0,"Occupied_Units negative; ","")&amp;IF($J428&lt;0,"Leased_Units negative; ","")&amp;IF($P428&lt;0,"Avg_Market_Rent negative; ","")))</f>
        <v/>
      </c>
    </row>
    <row r="429" ht="15" customHeight="1">
      <c r="A429" s="5" t="n"/>
      <c r="B429" s="15" t="n"/>
      <c r="C429" s="15">
        <f>IFERROR(VLOOKUP($B429,Community_Master!$A$2:$K$100,2,FALSE),"")</f>
        <v/>
      </c>
      <c r="D429" s="15">
        <f>IFERROR(VLOOKUP($B429,Community_Master!$A$2:$K$100,4,FALSE),"")</f>
        <v/>
      </c>
      <c r="E429" s="15">
        <f>IFERROR(VLOOKUP($B429,Community_Master!$A$2:$K$100,5,FALSE),"")</f>
        <v/>
      </c>
      <c r="F429" s="15">
        <f>IFERROR(VLOOKUP($B429,Community_Master!$A$2:$K$100,6,FALSE),"")</f>
        <v/>
      </c>
      <c r="G429" s="15">
        <f>IFERROR(VLOOKUP($B429,Community_Master!$A$2:$K$100,8,FALSE),"")</f>
        <v/>
      </c>
      <c r="H429" s="15">
        <f>IFERROR(VLOOKUP($B429,Community_Master!$A$2:$K$100,7,FALSE),"")</f>
        <v/>
      </c>
      <c r="I429" s="15" t="n"/>
      <c r="J429" s="15" t="n"/>
      <c r="K429" s="15" t="n"/>
      <c r="L429" s="15">
        <f>IF($H429="","",MAX($H429-$I429,0))</f>
        <v/>
      </c>
      <c r="M429" s="6">
        <f>IF($H429="","",IFERROR($I429/$H429,""))</f>
        <v/>
      </c>
      <c r="N429" s="6">
        <f>IF($H429="","",IFERROR($J429/$H429,""))</f>
        <v/>
      </c>
      <c r="O429" s="6" t="n"/>
      <c r="P429" s="7" t="n"/>
      <c r="Q429" s="7" t="n"/>
      <c r="R429" s="7" t="n"/>
      <c r="S429" s="7" t="n"/>
      <c r="T429" s="7">
        <f>IF($H429="","",IFERROR($H429*$P429,""))</f>
        <v/>
      </c>
      <c r="U429" s="7" t="n"/>
      <c r="V429" s="7" t="n"/>
      <c r="W429" s="7" t="n"/>
      <c r="X429" s="7">
        <f>IF(OR($U429="",$W429=""),"",($U429+$V429)-$W429)</f>
        <v/>
      </c>
      <c r="Y429" s="8" t="n"/>
      <c r="Z429" s="8" t="n"/>
      <c r="AA429" s="8" t="n"/>
      <c r="AB429" s="8" t="n"/>
      <c r="AC429" s="8" t="n"/>
      <c r="AD429" s="8" t="n"/>
      <c r="AE429" s="8" t="n"/>
      <c r="AF429" s="8" t="n"/>
      <c r="AG429" s="8" t="n"/>
      <c r="AH429" s="8" t="n"/>
      <c r="AI429" s="9" t="n"/>
      <c r="AJ429" s="8" t="n"/>
      <c r="AK429" s="8" t="n"/>
      <c r="AL429" s="15" t="n"/>
      <c r="AM429" s="15" t="n"/>
      <c r="AN429" s="15" t="n"/>
      <c r="AO429" s="15" t="n"/>
      <c r="AP429" s="10" t="n"/>
      <c r="AQ429" s="15">
        <f>IF($B429="","",IF(OR(ISERROR(MATCH($B429,Community_Master!$A$2:$A$100,0)),$A429="",AND($H429&lt;&gt;"",$I429&gt;$H429),AND($H429&lt;&gt;"",$J429&gt;$H429),$I429&lt;0,$J429&lt;0,$K429&lt;0,$P429&lt;0,$Q429&lt;0,$Y429&lt;0,$Z429&lt;0,$AA429&lt;0,$AB429&lt;0,$AC429&lt;0),"ERROR","OK"))</f>
        <v/>
      </c>
      <c r="AR429" s="15">
        <f>IF($B429="","",TRIM(IF(ISERROR(MATCH($B429,Community_Master!$A$2:$A$100,0)),"Invalid Community_ID; ","")&amp;IF($A429="","Missing Report_Month; ","")&amp;IF(AND($H429&lt;&gt;"",$I429&gt;$H429),"Occupied_Units greater than Total_Units; ","")&amp;IF(AND($H429&lt;&gt;"",$J429&gt;$H429),"Leased_Units greater than Total_Units; ","")&amp;IF($I429&lt;0,"Occupied_Units negative; ","")&amp;IF($J429&lt;0,"Leased_Units negative; ","")&amp;IF($P429&lt;0,"Avg_Market_Rent negative; ","")))</f>
        <v/>
      </c>
    </row>
    <row r="430" ht="15" customHeight="1">
      <c r="A430" s="5" t="n"/>
      <c r="B430" s="15" t="n"/>
      <c r="C430" s="15">
        <f>IFERROR(VLOOKUP($B430,Community_Master!$A$2:$K$100,2,FALSE),"")</f>
        <v/>
      </c>
      <c r="D430" s="15">
        <f>IFERROR(VLOOKUP($B430,Community_Master!$A$2:$K$100,4,FALSE),"")</f>
        <v/>
      </c>
      <c r="E430" s="15">
        <f>IFERROR(VLOOKUP($B430,Community_Master!$A$2:$K$100,5,FALSE),"")</f>
        <v/>
      </c>
      <c r="F430" s="15">
        <f>IFERROR(VLOOKUP($B430,Community_Master!$A$2:$K$100,6,FALSE),"")</f>
        <v/>
      </c>
      <c r="G430" s="15">
        <f>IFERROR(VLOOKUP($B430,Community_Master!$A$2:$K$100,8,FALSE),"")</f>
        <v/>
      </c>
      <c r="H430" s="15">
        <f>IFERROR(VLOOKUP($B430,Community_Master!$A$2:$K$100,7,FALSE),"")</f>
        <v/>
      </c>
      <c r="I430" s="15" t="n"/>
      <c r="J430" s="15" t="n"/>
      <c r="K430" s="15" t="n"/>
      <c r="L430" s="15">
        <f>IF($H430="","",MAX($H430-$I430,0))</f>
        <v/>
      </c>
      <c r="M430" s="6">
        <f>IF($H430="","",IFERROR($I430/$H430,""))</f>
        <v/>
      </c>
      <c r="N430" s="6">
        <f>IF($H430="","",IFERROR($J430/$H430,""))</f>
        <v/>
      </c>
      <c r="O430" s="6" t="n"/>
      <c r="P430" s="7" t="n"/>
      <c r="Q430" s="7" t="n"/>
      <c r="R430" s="7" t="n"/>
      <c r="S430" s="7" t="n"/>
      <c r="T430" s="7">
        <f>IF($H430="","",IFERROR($H430*$P430,""))</f>
        <v/>
      </c>
      <c r="U430" s="7" t="n"/>
      <c r="V430" s="7" t="n"/>
      <c r="W430" s="7" t="n"/>
      <c r="X430" s="7">
        <f>IF(OR($U430="",$W430=""),"",($U430+$V430)-$W430)</f>
        <v/>
      </c>
      <c r="Y430" s="8" t="n"/>
      <c r="Z430" s="8" t="n"/>
      <c r="AA430" s="8" t="n"/>
      <c r="AB430" s="8" t="n"/>
      <c r="AC430" s="8" t="n"/>
      <c r="AD430" s="8" t="n"/>
      <c r="AE430" s="8" t="n"/>
      <c r="AF430" s="8" t="n"/>
      <c r="AG430" s="8" t="n"/>
      <c r="AH430" s="8" t="n"/>
      <c r="AI430" s="9" t="n"/>
      <c r="AJ430" s="8" t="n"/>
      <c r="AK430" s="8" t="n"/>
      <c r="AL430" s="15" t="n"/>
      <c r="AM430" s="15" t="n"/>
      <c r="AN430" s="15" t="n"/>
      <c r="AO430" s="15" t="n"/>
      <c r="AP430" s="10" t="n"/>
      <c r="AQ430" s="15">
        <f>IF($B430="","",IF(OR(ISERROR(MATCH($B430,Community_Master!$A$2:$A$100,0)),$A430="",AND($H430&lt;&gt;"",$I430&gt;$H430),AND($H430&lt;&gt;"",$J430&gt;$H430),$I430&lt;0,$J430&lt;0,$K430&lt;0,$P430&lt;0,$Q430&lt;0,$Y430&lt;0,$Z430&lt;0,$AA430&lt;0,$AB430&lt;0,$AC430&lt;0),"ERROR","OK"))</f>
        <v/>
      </c>
      <c r="AR430" s="15">
        <f>IF($B430="","",TRIM(IF(ISERROR(MATCH($B430,Community_Master!$A$2:$A$100,0)),"Invalid Community_ID; ","")&amp;IF($A430="","Missing Report_Month; ","")&amp;IF(AND($H430&lt;&gt;"",$I430&gt;$H430),"Occupied_Units greater than Total_Units; ","")&amp;IF(AND($H430&lt;&gt;"",$J430&gt;$H430),"Leased_Units greater than Total_Units; ","")&amp;IF($I430&lt;0,"Occupied_Units negative; ","")&amp;IF($J430&lt;0,"Leased_Units negative; ","")&amp;IF($P430&lt;0,"Avg_Market_Rent negative; ","")))</f>
        <v/>
      </c>
    </row>
    <row r="431" ht="15" customHeight="1">
      <c r="A431" s="5" t="n"/>
      <c r="B431" s="15" t="n"/>
      <c r="C431" s="15">
        <f>IFERROR(VLOOKUP($B431,Community_Master!$A$2:$K$100,2,FALSE),"")</f>
        <v/>
      </c>
      <c r="D431" s="15">
        <f>IFERROR(VLOOKUP($B431,Community_Master!$A$2:$K$100,4,FALSE),"")</f>
        <v/>
      </c>
      <c r="E431" s="15">
        <f>IFERROR(VLOOKUP($B431,Community_Master!$A$2:$K$100,5,FALSE),"")</f>
        <v/>
      </c>
      <c r="F431" s="15">
        <f>IFERROR(VLOOKUP($B431,Community_Master!$A$2:$K$100,6,FALSE),"")</f>
        <v/>
      </c>
      <c r="G431" s="15">
        <f>IFERROR(VLOOKUP($B431,Community_Master!$A$2:$K$100,8,FALSE),"")</f>
        <v/>
      </c>
      <c r="H431" s="15">
        <f>IFERROR(VLOOKUP($B431,Community_Master!$A$2:$K$100,7,FALSE),"")</f>
        <v/>
      </c>
      <c r="I431" s="15" t="n"/>
      <c r="J431" s="15" t="n"/>
      <c r="K431" s="15" t="n"/>
      <c r="L431" s="15">
        <f>IF($H431="","",MAX($H431-$I431,0))</f>
        <v/>
      </c>
      <c r="M431" s="6">
        <f>IF($H431="","",IFERROR($I431/$H431,""))</f>
        <v/>
      </c>
      <c r="N431" s="6">
        <f>IF($H431="","",IFERROR($J431/$H431,""))</f>
        <v/>
      </c>
      <c r="O431" s="6" t="n"/>
      <c r="P431" s="7" t="n"/>
      <c r="Q431" s="7" t="n"/>
      <c r="R431" s="7" t="n"/>
      <c r="S431" s="7" t="n"/>
      <c r="T431" s="7">
        <f>IF($H431="","",IFERROR($H431*$P431,""))</f>
        <v/>
      </c>
      <c r="U431" s="7" t="n"/>
      <c r="V431" s="7" t="n"/>
      <c r="W431" s="7" t="n"/>
      <c r="X431" s="7">
        <f>IF(OR($U431="",$W431=""),"",($U431+$V431)-$W431)</f>
        <v/>
      </c>
      <c r="Y431" s="8" t="n"/>
      <c r="Z431" s="8" t="n"/>
      <c r="AA431" s="8" t="n"/>
      <c r="AB431" s="8" t="n"/>
      <c r="AC431" s="8" t="n"/>
      <c r="AD431" s="8" t="n"/>
      <c r="AE431" s="8" t="n"/>
      <c r="AF431" s="8" t="n"/>
      <c r="AG431" s="8" t="n"/>
      <c r="AH431" s="8" t="n"/>
      <c r="AI431" s="9" t="n"/>
      <c r="AJ431" s="8" t="n"/>
      <c r="AK431" s="8" t="n"/>
      <c r="AL431" s="15" t="n"/>
      <c r="AM431" s="15" t="n"/>
      <c r="AN431" s="15" t="n"/>
      <c r="AO431" s="15" t="n"/>
      <c r="AP431" s="10" t="n"/>
      <c r="AQ431" s="15">
        <f>IF($B431="","",IF(OR(ISERROR(MATCH($B431,Community_Master!$A$2:$A$100,0)),$A431="",AND($H431&lt;&gt;"",$I431&gt;$H431),AND($H431&lt;&gt;"",$J431&gt;$H431),$I431&lt;0,$J431&lt;0,$K431&lt;0,$P431&lt;0,$Q431&lt;0,$Y431&lt;0,$Z431&lt;0,$AA431&lt;0,$AB431&lt;0,$AC431&lt;0),"ERROR","OK"))</f>
        <v/>
      </c>
      <c r="AR431" s="15">
        <f>IF($B431="","",TRIM(IF(ISERROR(MATCH($B431,Community_Master!$A$2:$A$100,0)),"Invalid Community_ID; ","")&amp;IF($A431="","Missing Report_Month; ","")&amp;IF(AND($H431&lt;&gt;"",$I431&gt;$H431),"Occupied_Units greater than Total_Units; ","")&amp;IF(AND($H431&lt;&gt;"",$J431&gt;$H431),"Leased_Units greater than Total_Units; ","")&amp;IF($I431&lt;0,"Occupied_Units negative; ","")&amp;IF($J431&lt;0,"Leased_Units negative; ","")&amp;IF($P431&lt;0,"Avg_Market_Rent negative; ","")))</f>
        <v/>
      </c>
    </row>
    <row r="432" ht="15" customHeight="1">
      <c r="A432" s="5" t="n"/>
      <c r="B432" s="15" t="n"/>
      <c r="C432" s="15">
        <f>IFERROR(VLOOKUP($B432,Community_Master!$A$2:$K$100,2,FALSE),"")</f>
        <v/>
      </c>
      <c r="D432" s="15">
        <f>IFERROR(VLOOKUP($B432,Community_Master!$A$2:$K$100,4,FALSE),"")</f>
        <v/>
      </c>
      <c r="E432" s="15">
        <f>IFERROR(VLOOKUP($B432,Community_Master!$A$2:$K$100,5,FALSE),"")</f>
        <v/>
      </c>
      <c r="F432" s="15">
        <f>IFERROR(VLOOKUP($B432,Community_Master!$A$2:$K$100,6,FALSE),"")</f>
        <v/>
      </c>
      <c r="G432" s="15">
        <f>IFERROR(VLOOKUP($B432,Community_Master!$A$2:$K$100,8,FALSE),"")</f>
        <v/>
      </c>
      <c r="H432" s="15">
        <f>IFERROR(VLOOKUP($B432,Community_Master!$A$2:$K$100,7,FALSE),"")</f>
        <v/>
      </c>
      <c r="I432" s="15" t="n"/>
      <c r="J432" s="15" t="n"/>
      <c r="K432" s="15" t="n"/>
      <c r="L432" s="15">
        <f>IF($H432="","",MAX($H432-$I432,0))</f>
        <v/>
      </c>
      <c r="M432" s="6">
        <f>IF($H432="","",IFERROR($I432/$H432,""))</f>
        <v/>
      </c>
      <c r="N432" s="6">
        <f>IF($H432="","",IFERROR($J432/$H432,""))</f>
        <v/>
      </c>
      <c r="O432" s="6" t="n"/>
      <c r="P432" s="7" t="n"/>
      <c r="Q432" s="7" t="n"/>
      <c r="R432" s="7" t="n"/>
      <c r="S432" s="7" t="n"/>
      <c r="T432" s="7">
        <f>IF($H432="","",IFERROR($H432*$P432,""))</f>
        <v/>
      </c>
      <c r="U432" s="7" t="n"/>
      <c r="V432" s="7" t="n"/>
      <c r="W432" s="7" t="n"/>
      <c r="X432" s="7">
        <f>IF(OR($U432="",$W432=""),"",($U432+$V432)-$W432)</f>
        <v/>
      </c>
      <c r="Y432" s="8" t="n"/>
      <c r="Z432" s="8" t="n"/>
      <c r="AA432" s="8" t="n"/>
      <c r="AB432" s="8" t="n"/>
      <c r="AC432" s="8" t="n"/>
      <c r="AD432" s="8" t="n"/>
      <c r="AE432" s="8" t="n"/>
      <c r="AF432" s="8" t="n"/>
      <c r="AG432" s="8" t="n"/>
      <c r="AH432" s="8" t="n"/>
      <c r="AI432" s="9" t="n"/>
      <c r="AJ432" s="8" t="n"/>
      <c r="AK432" s="8" t="n"/>
      <c r="AL432" s="15" t="n"/>
      <c r="AM432" s="15" t="n"/>
      <c r="AN432" s="15" t="n"/>
      <c r="AO432" s="15" t="n"/>
      <c r="AP432" s="10" t="n"/>
      <c r="AQ432" s="15">
        <f>IF($B432="","",IF(OR(ISERROR(MATCH($B432,Community_Master!$A$2:$A$100,0)),$A432="",AND($H432&lt;&gt;"",$I432&gt;$H432),AND($H432&lt;&gt;"",$J432&gt;$H432),$I432&lt;0,$J432&lt;0,$K432&lt;0,$P432&lt;0,$Q432&lt;0,$Y432&lt;0,$Z432&lt;0,$AA432&lt;0,$AB432&lt;0,$AC432&lt;0),"ERROR","OK"))</f>
        <v/>
      </c>
      <c r="AR432" s="15">
        <f>IF($B432="","",TRIM(IF(ISERROR(MATCH($B432,Community_Master!$A$2:$A$100,0)),"Invalid Community_ID; ","")&amp;IF($A432="","Missing Report_Month; ","")&amp;IF(AND($H432&lt;&gt;"",$I432&gt;$H432),"Occupied_Units greater than Total_Units; ","")&amp;IF(AND($H432&lt;&gt;"",$J432&gt;$H432),"Leased_Units greater than Total_Units; ","")&amp;IF($I432&lt;0,"Occupied_Units negative; ","")&amp;IF($J432&lt;0,"Leased_Units negative; ","")&amp;IF($P432&lt;0,"Avg_Market_Rent negative; ","")))</f>
        <v/>
      </c>
    </row>
    <row r="433" ht="15" customHeight="1">
      <c r="A433" s="5" t="n"/>
      <c r="B433" s="15" t="n"/>
      <c r="C433" s="15">
        <f>IFERROR(VLOOKUP($B433,Community_Master!$A$2:$K$100,2,FALSE),"")</f>
        <v/>
      </c>
      <c r="D433" s="15">
        <f>IFERROR(VLOOKUP($B433,Community_Master!$A$2:$K$100,4,FALSE),"")</f>
        <v/>
      </c>
      <c r="E433" s="15">
        <f>IFERROR(VLOOKUP($B433,Community_Master!$A$2:$K$100,5,FALSE),"")</f>
        <v/>
      </c>
      <c r="F433" s="15">
        <f>IFERROR(VLOOKUP($B433,Community_Master!$A$2:$K$100,6,FALSE),"")</f>
        <v/>
      </c>
      <c r="G433" s="15">
        <f>IFERROR(VLOOKUP($B433,Community_Master!$A$2:$K$100,8,FALSE),"")</f>
        <v/>
      </c>
      <c r="H433" s="15">
        <f>IFERROR(VLOOKUP($B433,Community_Master!$A$2:$K$100,7,FALSE),"")</f>
        <v/>
      </c>
      <c r="I433" s="15" t="n"/>
      <c r="J433" s="15" t="n"/>
      <c r="K433" s="15" t="n"/>
      <c r="L433" s="15">
        <f>IF($H433="","",MAX($H433-$I433,0))</f>
        <v/>
      </c>
      <c r="M433" s="6">
        <f>IF($H433="","",IFERROR($I433/$H433,""))</f>
        <v/>
      </c>
      <c r="N433" s="6">
        <f>IF($H433="","",IFERROR($J433/$H433,""))</f>
        <v/>
      </c>
      <c r="O433" s="6" t="n"/>
      <c r="P433" s="7" t="n"/>
      <c r="Q433" s="7" t="n"/>
      <c r="R433" s="7" t="n"/>
      <c r="S433" s="7" t="n"/>
      <c r="T433" s="7">
        <f>IF($H433="","",IFERROR($H433*$P433,""))</f>
        <v/>
      </c>
      <c r="U433" s="7" t="n"/>
      <c r="V433" s="7" t="n"/>
      <c r="W433" s="7" t="n"/>
      <c r="X433" s="7">
        <f>IF(OR($U433="",$W433=""),"",($U433+$V433)-$W433)</f>
        <v/>
      </c>
      <c r="Y433" s="8" t="n"/>
      <c r="Z433" s="8" t="n"/>
      <c r="AA433" s="8" t="n"/>
      <c r="AB433" s="8" t="n"/>
      <c r="AC433" s="8" t="n"/>
      <c r="AD433" s="8" t="n"/>
      <c r="AE433" s="8" t="n"/>
      <c r="AF433" s="8" t="n"/>
      <c r="AG433" s="8" t="n"/>
      <c r="AH433" s="8" t="n"/>
      <c r="AI433" s="9" t="n"/>
      <c r="AJ433" s="8" t="n"/>
      <c r="AK433" s="8" t="n"/>
      <c r="AL433" s="15" t="n"/>
      <c r="AM433" s="15" t="n"/>
      <c r="AN433" s="15" t="n"/>
      <c r="AO433" s="15" t="n"/>
      <c r="AP433" s="10" t="n"/>
      <c r="AQ433" s="15">
        <f>IF($B433="","",IF(OR(ISERROR(MATCH($B433,Community_Master!$A$2:$A$100,0)),$A433="",AND($H433&lt;&gt;"",$I433&gt;$H433),AND($H433&lt;&gt;"",$J433&gt;$H433),$I433&lt;0,$J433&lt;0,$K433&lt;0,$P433&lt;0,$Q433&lt;0,$Y433&lt;0,$Z433&lt;0,$AA433&lt;0,$AB433&lt;0,$AC433&lt;0),"ERROR","OK"))</f>
        <v/>
      </c>
      <c r="AR433" s="15">
        <f>IF($B433="","",TRIM(IF(ISERROR(MATCH($B433,Community_Master!$A$2:$A$100,0)),"Invalid Community_ID; ","")&amp;IF($A433="","Missing Report_Month; ","")&amp;IF(AND($H433&lt;&gt;"",$I433&gt;$H433),"Occupied_Units greater than Total_Units; ","")&amp;IF(AND($H433&lt;&gt;"",$J433&gt;$H433),"Leased_Units greater than Total_Units; ","")&amp;IF($I433&lt;0,"Occupied_Units negative; ","")&amp;IF($J433&lt;0,"Leased_Units negative; ","")&amp;IF($P433&lt;0,"Avg_Market_Rent negative; ","")))</f>
        <v/>
      </c>
    </row>
    <row r="434" ht="15" customHeight="1">
      <c r="A434" s="5" t="n"/>
      <c r="B434" s="15" t="n"/>
      <c r="C434" s="15">
        <f>IFERROR(VLOOKUP($B434,Community_Master!$A$2:$K$100,2,FALSE),"")</f>
        <v/>
      </c>
      <c r="D434" s="15">
        <f>IFERROR(VLOOKUP($B434,Community_Master!$A$2:$K$100,4,FALSE),"")</f>
        <v/>
      </c>
      <c r="E434" s="15">
        <f>IFERROR(VLOOKUP($B434,Community_Master!$A$2:$K$100,5,FALSE),"")</f>
        <v/>
      </c>
      <c r="F434" s="15">
        <f>IFERROR(VLOOKUP($B434,Community_Master!$A$2:$K$100,6,FALSE),"")</f>
        <v/>
      </c>
      <c r="G434" s="15">
        <f>IFERROR(VLOOKUP($B434,Community_Master!$A$2:$K$100,8,FALSE),"")</f>
        <v/>
      </c>
      <c r="H434" s="15">
        <f>IFERROR(VLOOKUP($B434,Community_Master!$A$2:$K$100,7,FALSE),"")</f>
        <v/>
      </c>
      <c r="I434" s="15" t="n"/>
      <c r="J434" s="15" t="n"/>
      <c r="K434" s="15" t="n"/>
      <c r="L434" s="15">
        <f>IF($H434="","",MAX($H434-$I434,0))</f>
        <v/>
      </c>
      <c r="M434" s="6">
        <f>IF($H434="","",IFERROR($I434/$H434,""))</f>
        <v/>
      </c>
      <c r="N434" s="6">
        <f>IF($H434="","",IFERROR($J434/$H434,""))</f>
        <v/>
      </c>
      <c r="O434" s="6" t="n"/>
      <c r="P434" s="7" t="n"/>
      <c r="Q434" s="7" t="n"/>
      <c r="R434" s="7" t="n"/>
      <c r="S434" s="7" t="n"/>
      <c r="T434" s="7">
        <f>IF($H434="","",IFERROR($H434*$P434,""))</f>
        <v/>
      </c>
      <c r="U434" s="7" t="n"/>
      <c r="V434" s="7" t="n"/>
      <c r="W434" s="7" t="n"/>
      <c r="X434" s="7">
        <f>IF(OR($U434="",$W434=""),"",($U434+$V434)-$W434)</f>
        <v/>
      </c>
      <c r="Y434" s="8" t="n"/>
      <c r="Z434" s="8" t="n"/>
      <c r="AA434" s="8" t="n"/>
      <c r="AB434" s="8" t="n"/>
      <c r="AC434" s="8" t="n"/>
      <c r="AD434" s="8" t="n"/>
      <c r="AE434" s="8" t="n"/>
      <c r="AF434" s="8" t="n"/>
      <c r="AG434" s="8" t="n"/>
      <c r="AH434" s="8" t="n"/>
      <c r="AI434" s="9" t="n"/>
      <c r="AJ434" s="8" t="n"/>
      <c r="AK434" s="8" t="n"/>
      <c r="AL434" s="15" t="n"/>
      <c r="AM434" s="15" t="n"/>
      <c r="AN434" s="15" t="n"/>
      <c r="AO434" s="15" t="n"/>
      <c r="AP434" s="10" t="n"/>
      <c r="AQ434" s="15">
        <f>IF($B434="","",IF(OR(ISERROR(MATCH($B434,Community_Master!$A$2:$A$100,0)),$A434="",AND($H434&lt;&gt;"",$I434&gt;$H434),AND($H434&lt;&gt;"",$J434&gt;$H434),$I434&lt;0,$J434&lt;0,$K434&lt;0,$P434&lt;0,$Q434&lt;0,$Y434&lt;0,$Z434&lt;0,$AA434&lt;0,$AB434&lt;0,$AC434&lt;0),"ERROR","OK"))</f>
        <v/>
      </c>
      <c r="AR434" s="15">
        <f>IF($B434="","",TRIM(IF(ISERROR(MATCH($B434,Community_Master!$A$2:$A$100,0)),"Invalid Community_ID; ","")&amp;IF($A434="","Missing Report_Month; ","")&amp;IF(AND($H434&lt;&gt;"",$I434&gt;$H434),"Occupied_Units greater than Total_Units; ","")&amp;IF(AND($H434&lt;&gt;"",$J434&gt;$H434),"Leased_Units greater than Total_Units; ","")&amp;IF($I434&lt;0,"Occupied_Units negative; ","")&amp;IF($J434&lt;0,"Leased_Units negative; ","")&amp;IF($P434&lt;0,"Avg_Market_Rent negative; ","")))</f>
        <v/>
      </c>
    </row>
    <row r="435" ht="15" customHeight="1">
      <c r="A435" s="5" t="n"/>
      <c r="B435" s="15" t="n"/>
      <c r="C435" s="15">
        <f>IFERROR(VLOOKUP($B435,Community_Master!$A$2:$K$100,2,FALSE),"")</f>
        <v/>
      </c>
      <c r="D435" s="15">
        <f>IFERROR(VLOOKUP($B435,Community_Master!$A$2:$K$100,4,FALSE),"")</f>
        <v/>
      </c>
      <c r="E435" s="15">
        <f>IFERROR(VLOOKUP($B435,Community_Master!$A$2:$K$100,5,FALSE),"")</f>
        <v/>
      </c>
      <c r="F435" s="15">
        <f>IFERROR(VLOOKUP($B435,Community_Master!$A$2:$K$100,6,FALSE),"")</f>
        <v/>
      </c>
      <c r="G435" s="15">
        <f>IFERROR(VLOOKUP($B435,Community_Master!$A$2:$K$100,8,FALSE),"")</f>
        <v/>
      </c>
      <c r="H435" s="15">
        <f>IFERROR(VLOOKUP($B435,Community_Master!$A$2:$K$100,7,FALSE),"")</f>
        <v/>
      </c>
      <c r="I435" s="15" t="n"/>
      <c r="J435" s="15" t="n"/>
      <c r="K435" s="15" t="n"/>
      <c r="L435" s="15">
        <f>IF($H435="","",MAX($H435-$I435,0))</f>
        <v/>
      </c>
      <c r="M435" s="6">
        <f>IF($H435="","",IFERROR($I435/$H435,""))</f>
        <v/>
      </c>
      <c r="N435" s="6">
        <f>IF($H435="","",IFERROR($J435/$H435,""))</f>
        <v/>
      </c>
      <c r="O435" s="6" t="n"/>
      <c r="P435" s="7" t="n"/>
      <c r="Q435" s="7" t="n"/>
      <c r="R435" s="7" t="n"/>
      <c r="S435" s="7" t="n"/>
      <c r="T435" s="7">
        <f>IF($H435="","",IFERROR($H435*$P435,""))</f>
        <v/>
      </c>
      <c r="U435" s="7" t="n"/>
      <c r="V435" s="7" t="n"/>
      <c r="W435" s="7" t="n"/>
      <c r="X435" s="7">
        <f>IF(OR($U435="",$W435=""),"",($U435+$V435)-$W435)</f>
        <v/>
      </c>
      <c r="Y435" s="8" t="n"/>
      <c r="Z435" s="8" t="n"/>
      <c r="AA435" s="8" t="n"/>
      <c r="AB435" s="8" t="n"/>
      <c r="AC435" s="8" t="n"/>
      <c r="AD435" s="8" t="n"/>
      <c r="AE435" s="8" t="n"/>
      <c r="AF435" s="8" t="n"/>
      <c r="AG435" s="8" t="n"/>
      <c r="AH435" s="8" t="n"/>
      <c r="AI435" s="9" t="n"/>
      <c r="AJ435" s="8" t="n"/>
      <c r="AK435" s="8" t="n"/>
      <c r="AL435" s="15" t="n"/>
      <c r="AM435" s="15" t="n"/>
      <c r="AN435" s="15" t="n"/>
      <c r="AO435" s="15" t="n"/>
      <c r="AP435" s="10" t="n"/>
      <c r="AQ435" s="15">
        <f>IF($B435="","",IF(OR(ISERROR(MATCH($B435,Community_Master!$A$2:$A$100,0)),$A435="",AND($H435&lt;&gt;"",$I435&gt;$H435),AND($H435&lt;&gt;"",$J435&gt;$H435),$I435&lt;0,$J435&lt;0,$K435&lt;0,$P435&lt;0,$Q435&lt;0,$Y435&lt;0,$Z435&lt;0,$AA435&lt;0,$AB435&lt;0,$AC435&lt;0),"ERROR","OK"))</f>
        <v/>
      </c>
      <c r="AR435" s="15">
        <f>IF($B435="","",TRIM(IF(ISERROR(MATCH($B435,Community_Master!$A$2:$A$100,0)),"Invalid Community_ID; ","")&amp;IF($A435="","Missing Report_Month; ","")&amp;IF(AND($H435&lt;&gt;"",$I435&gt;$H435),"Occupied_Units greater than Total_Units; ","")&amp;IF(AND($H435&lt;&gt;"",$J435&gt;$H435),"Leased_Units greater than Total_Units; ","")&amp;IF($I435&lt;0,"Occupied_Units negative; ","")&amp;IF($J435&lt;0,"Leased_Units negative; ","")&amp;IF($P435&lt;0,"Avg_Market_Rent negative; ","")))</f>
        <v/>
      </c>
    </row>
    <row r="436" ht="15" customHeight="1">
      <c r="A436" s="5" t="n"/>
      <c r="B436" s="15" t="n"/>
      <c r="C436" s="15">
        <f>IFERROR(VLOOKUP($B436,Community_Master!$A$2:$K$100,2,FALSE),"")</f>
        <v/>
      </c>
      <c r="D436" s="15">
        <f>IFERROR(VLOOKUP($B436,Community_Master!$A$2:$K$100,4,FALSE),"")</f>
        <v/>
      </c>
      <c r="E436" s="15">
        <f>IFERROR(VLOOKUP($B436,Community_Master!$A$2:$K$100,5,FALSE),"")</f>
        <v/>
      </c>
      <c r="F436" s="15">
        <f>IFERROR(VLOOKUP($B436,Community_Master!$A$2:$K$100,6,FALSE),"")</f>
        <v/>
      </c>
      <c r="G436" s="15">
        <f>IFERROR(VLOOKUP($B436,Community_Master!$A$2:$K$100,8,FALSE),"")</f>
        <v/>
      </c>
      <c r="H436" s="15">
        <f>IFERROR(VLOOKUP($B436,Community_Master!$A$2:$K$100,7,FALSE),"")</f>
        <v/>
      </c>
      <c r="I436" s="15" t="n"/>
      <c r="J436" s="15" t="n"/>
      <c r="K436" s="15" t="n"/>
      <c r="L436" s="15">
        <f>IF($H436="","",MAX($H436-$I436,0))</f>
        <v/>
      </c>
      <c r="M436" s="6">
        <f>IF($H436="","",IFERROR($I436/$H436,""))</f>
        <v/>
      </c>
      <c r="N436" s="6">
        <f>IF($H436="","",IFERROR($J436/$H436,""))</f>
        <v/>
      </c>
      <c r="O436" s="6" t="n"/>
      <c r="P436" s="7" t="n"/>
      <c r="Q436" s="7" t="n"/>
      <c r="R436" s="7" t="n"/>
      <c r="S436" s="7" t="n"/>
      <c r="T436" s="7">
        <f>IF($H436="","",IFERROR($H436*$P436,""))</f>
        <v/>
      </c>
      <c r="U436" s="7" t="n"/>
      <c r="V436" s="7" t="n"/>
      <c r="W436" s="7" t="n"/>
      <c r="X436" s="7">
        <f>IF(OR($U436="",$W436=""),"",($U436+$V436)-$W436)</f>
        <v/>
      </c>
      <c r="Y436" s="8" t="n"/>
      <c r="Z436" s="8" t="n"/>
      <c r="AA436" s="8" t="n"/>
      <c r="AB436" s="8" t="n"/>
      <c r="AC436" s="8" t="n"/>
      <c r="AD436" s="8" t="n"/>
      <c r="AE436" s="8" t="n"/>
      <c r="AF436" s="8" t="n"/>
      <c r="AG436" s="8" t="n"/>
      <c r="AH436" s="8" t="n"/>
      <c r="AI436" s="9" t="n"/>
      <c r="AJ436" s="8" t="n"/>
      <c r="AK436" s="8" t="n"/>
      <c r="AL436" s="15" t="n"/>
      <c r="AM436" s="15" t="n"/>
      <c r="AN436" s="15" t="n"/>
      <c r="AO436" s="15" t="n"/>
      <c r="AP436" s="10" t="n"/>
      <c r="AQ436" s="15">
        <f>IF($B436="","",IF(OR(ISERROR(MATCH($B436,Community_Master!$A$2:$A$100,0)),$A436="",AND($H436&lt;&gt;"",$I436&gt;$H436),AND($H436&lt;&gt;"",$J436&gt;$H436),$I436&lt;0,$J436&lt;0,$K436&lt;0,$P436&lt;0,$Q436&lt;0,$Y436&lt;0,$Z436&lt;0,$AA436&lt;0,$AB436&lt;0,$AC436&lt;0),"ERROR","OK"))</f>
        <v/>
      </c>
      <c r="AR436" s="15">
        <f>IF($B436="","",TRIM(IF(ISERROR(MATCH($B436,Community_Master!$A$2:$A$100,0)),"Invalid Community_ID; ","")&amp;IF($A436="","Missing Report_Month; ","")&amp;IF(AND($H436&lt;&gt;"",$I436&gt;$H436),"Occupied_Units greater than Total_Units; ","")&amp;IF(AND($H436&lt;&gt;"",$J436&gt;$H436),"Leased_Units greater than Total_Units; ","")&amp;IF($I436&lt;0,"Occupied_Units negative; ","")&amp;IF($J436&lt;0,"Leased_Units negative; ","")&amp;IF($P436&lt;0,"Avg_Market_Rent negative; ","")))</f>
        <v/>
      </c>
    </row>
    <row r="437" ht="15" customHeight="1">
      <c r="A437" s="5" t="n"/>
      <c r="B437" s="15" t="n"/>
      <c r="C437" s="15">
        <f>IFERROR(VLOOKUP($B437,Community_Master!$A$2:$K$100,2,FALSE),"")</f>
        <v/>
      </c>
      <c r="D437" s="15">
        <f>IFERROR(VLOOKUP($B437,Community_Master!$A$2:$K$100,4,FALSE),"")</f>
        <v/>
      </c>
      <c r="E437" s="15">
        <f>IFERROR(VLOOKUP($B437,Community_Master!$A$2:$K$100,5,FALSE),"")</f>
        <v/>
      </c>
      <c r="F437" s="15">
        <f>IFERROR(VLOOKUP($B437,Community_Master!$A$2:$K$100,6,FALSE),"")</f>
        <v/>
      </c>
      <c r="G437" s="15">
        <f>IFERROR(VLOOKUP($B437,Community_Master!$A$2:$K$100,8,FALSE),"")</f>
        <v/>
      </c>
      <c r="H437" s="15">
        <f>IFERROR(VLOOKUP($B437,Community_Master!$A$2:$K$100,7,FALSE),"")</f>
        <v/>
      </c>
      <c r="I437" s="15" t="n"/>
      <c r="J437" s="15" t="n"/>
      <c r="K437" s="15" t="n"/>
      <c r="L437" s="15">
        <f>IF($H437="","",MAX($H437-$I437,0))</f>
        <v/>
      </c>
      <c r="M437" s="6">
        <f>IF($H437="","",IFERROR($I437/$H437,""))</f>
        <v/>
      </c>
      <c r="N437" s="6">
        <f>IF($H437="","",IFERROR($J437/$H437,""))</f>
        <v/>
      </c>
      <c r="O437" s="6" t="n"/>
      <c r="P437" s="7" t="n"/>
      <c r="Q437" s="7" t="n"/>
      <c r="R437" s="7" t="n"/>
      <c r="S437" s="7" t="n"/>
      <c r="T437" s="7">
        <f>IF($H437="","",IFERROR($H437*$P437,""))</f>
        <v/>
      </c>
      <c r="U437" s="7" t="n"/>
      <c r="V437" s="7" t="n"/>
      <c r="W437" s="7" t="n"/>
      <c r="X437" s="7">
        <f>IF(OR($U437="",$W437=""),"",($U437+$V437)-$W437)</f>
        <v/>
      </c>
      <c r="Y437" s="8" t="n"/>
      <c r="Z437" s="8" t="n"/>
      <c r="AA437" s="8" t="n"/>
      <c r="AB437" s="8" t="n"/>
      <c r="AC437" s="8" t="n"/>
      <c r="AD437" s="8" t="n"/>
      <c r="AE437" s="8" t="n"/>
      <c r="AF437" s="8" t="n"/>
      <c r="AG437" s="8" t="n"/>
      <c r="AH437" s="8" t="n"/>
      <c r="AI437" s="9" t="n"/>
      <c r="AJ437" s="8" t="n"/>
      <c r="AK437" s="8" t="n"/>
      <c r="AL437" s="15" t="n"/>
      <c r="AM437" s="15" t="n"/>
      <c r="AN437" s="15" t="n"/>
      <c r="AO437" s="15" t="n"/>
      <c r="AP437" s="10" t="n"/>
      <c r="AQ437" s="15">
        <f>IF($B437="","",IF(OR(ISERROR(MATCH($B437,Community_Master!$A$2:$A$100,0)),$A437="",AND($H437&lt;&gt;"",$I437&gt;$H437),AND($H437&lt;&gt;"",$J437&gt;$H437),$I437&lt;0,$J437&lt;0,$K437&lt;0,$P437&lt;0,$Q437&lt;0,$Y437&lt;0,$Z437&lt;0,$AA437&lt;0,$AB437&lt;0,$AC437&lt;0),"ERROR","OK"))</f>
        <v/>
      </c>
      <c r="AR437" s="15">
        <f>IF($B437="","",TRIM(IF(ISERROR(MATCH($B437,Community_Master!$A$2:$A$100,0)),"Invalid Community_ID; ","")&amp;IF($A437="","Missing Report_Month; ","")&amp;IF(AND($H437&lt;&gt;"",$I437&gt;$H437),"Occupied_Units greater than Total_Units; ","")&amp;IF(AND($H437&lt;&gt;"",$J437&gt;$H437),"Leased_Units greater than Total_Units; ","")&amp;IF($I437&lt;0,"Occupied_Units negative; ","")&amp;IF($J437&lt;0,"Leased_Units negative; ","")&amp;IF($P437&lt;0,"Avg_Market_Rent negative; ","")))</f>
        <v/>
      </c>
    </row>
    <row r="438" ht="15" customHeight="1">
      <c r="A438" s="5" t="n"/>
      <c r="B438" s="15" t="n"/>
      <c r="C438" s="15">
        <f>IFERROR(VLOOKUP($B438,Community_Master!$A$2:$K$100,2,FALSE),"")</f>
        <v/>
      </c>
      <c r="D438" s="15">
        <f>IFERROR(VLOOKUP($B438,Community_Master!$A$2:$K$100,4,FALSE),"")</f>
        <v/>
      </c>
      <c r="E438" s="15">
        <f>IFERROR(VLOOKUP($B438,Community_Master!$A$2:$K$100,5,FALSE),"")</f>
        <v/>
      </c>
      <c r="F438" s="15">
        <f>IFERROR(VLOOKUP($B438,Community_Master!$A$2:$K$100,6,FALSE),"")</f>
        <v/>
      </c>
      <c r="G438" s="15">
        <f>IFERROR(VLOOKUP($B438,Community_Master!$A$2:$K$100,8,FALSE),"")</f>
        <v/>
      </c>
      <c r="H438" s="15">
        <f>IFERROR(VLOOKUP($B438,Community_Master!$A$2:$K$100,7,FALSE),"")</f>
        <v/>
      </c>
      <c r="I438" s="15" t="n"/>
      <c r="J438" s="15" t="n"/>
      <c r="K438" s="15" t="n"/>
      <c r="L438" s="15">
        <f>IF($H438="","",MAX($H438-$I438,0))</f>
        <v/>
      </c>
      <c r="M438" s="6">
        <f>IF($H438="","",IFERROR($I438/$H438,""))</f>
        <v/>
      </c>
      <c r="N438" s="6">
        <f>IF($H438="","",IFERROR($J438/$H438,""))</f>
        <v/>
      </c>
      <c r="O438" s="6" t="n"/>
      <c r="P438" s="7" t="n"/>
      <c r="Q438" s="7" t="n"/>
      <c r="R438" s="7" t="n"/>
      <c r="S438" s="7" t="n"/>
      <c r="T438" s="7">
        <f>IF($H438="","",IFERROR($H438*$P438,""))</f>
        <v/>
      </c>
      <c r="U438" s="7" t="n"/>
      <c r="V438" s="7" t="n"/>
      <c r="W438" s="7" t="n"/>
      <c r="X438" s="7">
        <f>IF(OR($U438="",$W438=""),"",($U438+$V438)-$W438)</f>
        <v/>
      </c>
      <c r="Y438" s="8" t="n"/>
      <c r="Z438" s="8" t="n"/>
      <c r="AA438" s="8" t="n"/>
      <c r="AB438" s="8" t="n"/>
      <c r="AC438" s="8" t="n"/>
      <c r="AD438" s="8" t="n"/>
      <c r="AE438" s="8" t="n"/>
      <c r="AF438" s="8" t="n"/>
      <c r="AG438" s="8" t="n"/>
      <c r="AH438" s="8" t="n"/>
      <c r="AI438" s="9" t="n"/>
      <c r="AJ438" s="8" t="n"/>
      <c r="AK438" s="8" t="n"/>
      <c r="AL438" s="15" t="n"/>
      <c r="AM438" s="15" t="n"/>
      <c r="AN438" s="15" t="n"/>
      <c r="AO438" s="15" t="n"/>
      <c r="AP438" s="10" t="n"/>
      <c r="AQ438" s="15">
        <f>IF($B438="","",IF(OR(ISERROR(MATCH($B438,Community_Master!$A$2:$A$100,0)),$A438="",AND($H438&lt;&gt;"",$I438&gt;$H438),AND($H438&lt;&gt;"",$J438&gt;$H438),$I438&lt;0,$J438&lt;0,$K438&lt;0,$P438&lt;0,$Q438&lt;0,$Y438&lt;0,$Z438&lt;0,$AA438&lt;0,$AB438&lt;0,$AC438&lt;0),"ERROR","OK"))</f>
        <v/>
      </c>
      <c r="AR438" s="15">
        <f>IF($B438="","",TRIM(IF(ISERROR(MATCH($B438,Community_Master!$A$2:$A$100,0)),"Invalid Community_ID; ","")&amp;IF($A438="","Missing Report_Month; ","")&amp;IF(AND($H438&lt;&gt;"",$I438&gt;$H438),"Occupied_Units greater than Total_Units; ","")&amp;IF(AND($H438&lt;&gt;"",$J438&gt;$H438),"Leased_Units greater than Total_Units; ","")&amp;IF($I438&lt;0,"Occupied_Units negative; ","")&amp;IF($J438&lt;0,"Leased_Units negative; ","")&amp;IF($P438&lt;0,"Avg_Market_Rent negative; ","")))</f>
        <v/>
      </c>
    </row>
    <row r="439" ht="15" customHeight="1">
      <c r="A439" s="5" t="n"/>
      <c r="B439" s="15" t="n"/>
      <c r="C439" s="15">
        <f>IFERROR(VLOOKUP($B439,Community_Master!$A$2:$K$100,2,FALSE),"")</f>
        <v/>
      </c>
      <c r="D439" s="15">
        <f>IFERROR(VLOOKUP($B439,Community_Master!$A$2:$K$100,4,FALSE),"")</f>
        <v/>
      </c>
      <c r="E439" s="15">
        <f>IFERROR(VLOOKUP($B439,Community_Master!$A$2:$K$100,5,FALSE),"")</f>
        <v/>
      </c>
      <c r="F439" s="15">
        <f>IFERROR(VLOOKUP($B439,Community_Master!$A$2:$K$100,6,FALSE),"")</f>
        <v/>
      </c>
      <c r="G439" s="15">
        <f>IFERROR(VLOOKUP($B439,Community_Master!$A$2:$K$100,8,FALSE),"")</f>
        <v/>
      </c>
      <c r="H439" s="15">
        <f>IFERROR(VLOOKUP($B439,Community_Master!$A$2:$K$100,7,FALSE),"")</f>
        <v/>
      </c>
      <c r="I439" s="15" t="n"/>
      <c r="J439" s="15" t="n"/>
      <c r="K439" s="15" t="n"/>
      <c r="L439" s="15">
        <f>IF($H439="","",MAX($H439-$I439,0))</f>
        <v/>
      </c>
      <c r="M439" s="6">
        <f>IF($H439="","",IFERROR($I439/$H439,""))</f>
        <v/>
      </c>
      <c r="N439" s="6">
        <f>IF($H439="","",IFERROR($J439/$H439,""))</f>
        <v/>
      </c>
      <c r="O439" s="6" t="n"/>
      <c r="P439" s="7" t="n"/>
      <c r="Q439" s="7" t="n"/>
      <c r="R439" s="7" t="n"/>
      <c r="S439" s="7" t="n"/>
      <c r="T439" s="7">
        <f>IF($H439="","",IFERROR($H439*$P439,""))</f>
        <v/>
      </c>
      <c r="U439" s="7" t="n"/>
      <c r="V439" s="7" t="n"/>
      <c r="W439" s="7" t="n"/>
      <c r="X439" s="7">
        <f>IF(OR($U439="",$W439=""),"",($U439+$V439)-$W439)</f>
        <v/>
      </c>
      <c r="Y439" s="8" t="n"/>
      <c r="Z439" s="8" t="n"/>
      <c r="AA439" s="8" t="n"/>
      <c r="AB439" s="8" t="n"/>
      <c r="AC439" s="8" t="n"/>
      <c r="AD439" s="8" t="n"/>
      <c r="AE439" s="8" t="n"/>
      <c r="AF439" s="8" t="n"/>
      <c r="AG439" s="8" t="n"/>
      <c r="AH439" s="8" t="n"/>
      <c r="AI439" s="9" t="n"/>
      <c r="AJ439" s="8" t="n"/>
      <c r="AK439" s="8" t="n"/>
      <c r="AL439" s="15" t="n"/>
      <c r="AM439" s="15" t="n"/>
      <c r="AN439" s="15" t="n"/>
      <c r="AO439" s="15" t="n"/>
      <c r="AP439" s="10" t="n"/>
      <c r="AQ439" s="15">
        <f>IF($B439="","",IF(OR(ISERROR(MATCH($B439,Community_Master!$A$2:$A$100,0)),$A439="",AND($H439&lt;&gt;"",$I439&gt;$H439),AND($H439&lt;&gt;"",$J439&gt;$H439),$I439&lt;0,$J439&lt;0,$K439&lt;0,$P439&lt;0,$Q439&lt;0,$Y439&lt;0,$Z439&lt;0,$AA439&lt;0,$AB439&lt;0,$AC439&lt;0),"ERROR","OK"))</f>
        <v/>
      </c>
      <c r="AR439" s="15">
        <f>IF($B439="","",TRIM(IF(ISERROR(MATCH($B439,Community_Master!$A$2:$A$100,0)),"Invalid Community_ID; ","")&amp;IF($A439="","Missing Report_Month; ","")&amp;IF(AND($H439&lt;&gt;"",$I439&gt;$H439),"Occupied_Units greater than Total_Units; ","")&amp;IF(AND($H439&lt;&gt;"",$J439&gt;$H439),"Leased_Units greater than Total_Units; ","")&amp;IF($I439&lt;0,"Occupied_Units negative; ","")&amp;IF($J439&lt;0,"Leased_Units negative; ","")&amp;IF($P439&lt;0,"Avg_Market_Rent negative; ","")))</f>
        <v/>
      </c>
    </row>
    <row r="440" ht="15" customHeight="1">
      <c r="A440" s="5" t="n"/>
      <c r="B440" s="15" t="n"/>
      <c r="C440" s="15">
        <f>IFERROR(VLOOKUP($B440,Community_Master!$A$2:$K$100,2,FALSE),"")</f>
        <v/>
      </c>
      <c r="D440" s="15">
        <f>IFERROR(VLOOKUP($B440,Community_Master!$A$2:$K$100,4,FALSE),"")</f>
        <v/>
      </c>
      <c r="E440" s="15">
        <f>IFERROR(VLOOKUP($B440,Community_Master!$A$2:$K$100,5,FALSE),"")</f>
        <v/>
      </c>
      <c r="F440" s="15">
        <f>IFERROR(VLOOKUP($B440,Community_Master!$A$2:$K$100,6,FALSE),"")</f>
        <v/>
      </c>
      <c r="G440" s="15">
        <f>IFERROR(VLOOKUP($B440,Community_Master!$A$2:$K$100,8,FALSE),"")</f>
        <v/>
      </c>
      <c r="H440" s="15">
        <f>IFERROR(VLOOKUP($B440,Community_Master!$A$2:$K$100,7,FALSE),"")</f>
        <v/>
      </c>
      <c r="I440" s="15" t="n"/>
      <c r="J440" s="15" t="n"/>
      <c r="K440" s="15" t="n"/>
      <c r="L440" s="15">
        <f>IF($H440="","",MAX($H440-$I440,0))</f>
        <v/>
      </c>
      <c r="M440" s="6">
        <f>IF($H440="","",IFERROR($I440/$H440,""))</f>
        <v/>
      </c>
      <c r="N440" s="6">
        <f>IF($H440="","",IFERROR($J440/$H440,""))</f>
        <v/>
      </c>
      <c r="O440" s="6" t="n"/>
      <c r="P440" s="7" t="n"/>
      <c r="Q440" s="7" t="n"/>
      <c r="R440" s="7" t="n"/>
      <c r="S440" s="7" t="n"/>
      <c r="T440" s="7">
        <f>IF($H440="","",IFERROR($H440*$P440,""))</f>
        <v/>
      </c>
      <c r="U440" s="7" t="n"/>
      <c r="V440" s="7" t="n"/>
      <c r="W440" s="7" t="n"/>
      <c r="X440" s="7">
        <f>IF(OR($U440="",$W440=""),"",($U440+$V440)-$W440)</f>
        <v/>
      </c>
      <c r="Y440" s="8" t="n"/>
      <c r="Z440" s="8" t="n"/>
      <c r="AA440" s="8" t="n"/>
      <c r="AB440" s="8" t="n"/>
      <c r="AC440" s="8" t="n"/>
      <c r="AD440" s="8" t="n"/>
      <c r="AE440" s="8" t="n"/>
      <c r="AF440" s="8" t="n"/>
      <c r="AG440" s="8" t="n"/>
      <c r="AH440" s="8" t="n"/>
      <c r="AI440" s="9" t="n"/>
      <c r="AJ440" s="8" t="n"/>
      <c r="AK440" s="8" t="n"/>
      <c r="AL440" s="15" t="n"/>
      <c r="AM440" s="15" t="n"/>
      <c r="AN440" s="15" t="n"/>
      <c r="AO440" s="15" t="n"/>
      <c r="AP440" s="10" t="n"/>
      <c r="AQ440" s="15">
        <f>IF($B440="","",IF(OR(ISERROR(MATCH($B440,Community_Master!$A$2:$A$100,0)),$A440="",AND($H440&lt;&gt;"",$I440&gt;$H440),AND($H440&lt;&gt;"",$J440&gt;$H440),$I440&lt;0,$J440&lt;0,$K440&lt;0,$P440&lt;0,$Q440&lt;0,$Y440&lt;0,$Z440&lt;0,$AA440&lt;0,$AB440&lt;0,$AC440&lt;0),"ERROR","OK"))</f>
        <v/>
      </c>
      <c r="AR440" s="15">
        <f>IF($B440="","",TRIM(IF(ISERROR(MATCH($B440,Community_Master!$A$2:$A$100,0)),"Invalid Community_ID; ","")&amp;IF($A440="","Missing Report_Month; ","")&amp;IF(AND($H440&lt;&gt;"",$I440&gt;$H440),"Occupied_Units greater than Total_Units; ","")&amp;IF(AND($H440&lt;&gt;"",$J440&gt;$H440),"Leased_Units greater than Total_Units; ","")&amp;IF($I440&lt;0,"Occupied_Units negative; ","")&amp;IF($J440&lt;0,"Leased_Units negative; ","")&amp;IF($P440&lt;0,"Avg_Market_Rent negative; ","")))</f>
        <v/>
      </c>
    </row>
    <row r="441" ht="15" customHeight="1">
      <c r="A441" s="5" t="n"/>
      <c r="B441" s="15" t="n"/>
      <c r="C441" s="15">
        <f>IFERROR(VLOOKUP($B441,Community_Master!$A$2:$K$100,2,FALSE),"")</f>
        <v/>
      </c>
      <c r="D441" s="15">
        <f>IFERROR(VLOOKUP($B441,Community_Master!$A$2:$K$100,4,FALSE),"")</f>
        <v/>
      </c>
      <c r="E441" s="15">
        <f>IFERROR(VLOOKUP($B441,Community_Master!$A$2:$K$100,5,FALSE),"")</f>
        <v/>
      </c>
      <c r="F441" s="15">
        <f>IFERROR(VLOOKUP($B441,Community_Master!$A$2:$K$100,6,FALSE),"")</f>
        <v/>
      </c>
      <c r="G441" s="15">
        <f>IFERROR(VLOOKUP($B441,Community_Master!$A$2:$K$100,8,FALSE),"")</f>
        <v/>
      </c>
      <c r="H441" s="15">
        <f>IFERROR(VLOOKUP($B441,Community_Master!$A$2:$K$100,7,FALSE),"")</f>
        <v/>
      </c>
      <c r="I441" s="15" t="n"/>
      <c r="J441" s="15" t="n"/>
      <c r="K441" s="15" t="n"/>
      <c r="L441" s="15">
        <f>IF($H441="","",MAX($H441-$I441,0))</f>
        <v/>
      </c>
      <c r="M441" s="6">
        <f>IF($H441="","",IFERROR($I441/$H441,""))</f>
        <v/>
      </c>
      <c r="N441" s="6">
        <f>IF($H441="","",IFERROR($J441/$H441,""))</f>
        <v/>
      </c>
      <c r="O441" s="6" t="n"/>
      <c r="P441" s="7" t="n"/>
      <c r="Q441" s="7" t="n"/>
      <c r="R441" s="7" t="n"/>
      <c r="S441" s="7" t="n"/>
      <c r="T441" s="7">
        <f>IF($H441="","",IFERROR($H441*$P441,""))</f>
        <v/>
      </c>
      <c r="U441" s="7" t="n"/>
      <c r="V441" s="7" t="n"/>
      <c r="W441" s="7" t="n"/>
      <c r="X441" s="7">
        <f>IF(OR($U441="",$W441=""),"",($U441+$V441)-$W441)</f>
        <v/>
      </c>
      <c r="Y441" s="8" t="n"/>
      <c r="Z441" s="8" t="n"/>
      <c r="AA441" s="8" t="n"/>
      <c r="AB441" s="8" t="n"/>
      <c r="AC441" s="8" t="n"/>
      <c r="AD441" s="8" t="n"/>
      <c r="AE441" s="8" t="n"/>
      <c r="AF441" s="8" t="n"/>
      <c r="AG441" s="8" t="n"/>
      <c r="AH441" s="8" t="n"/>
      <c r="AI441" s="9" t="n"/>
      <c r="AJ441" s="8" t="n"/>
      <c r="AK441" s="8" t="n"/>
      <c r="AL441" s="15" t="n"/>
      <c r="AM441" s="15" t="n"/>
      <c r="AN441" s="15" t="n"/>
      <c r="AO441" s="15" t="n"/>
      <c r="AP441" s="10" t="n"/>
      <c r="AQ441" s="15">
        <f>IF($B441="","",IF(OR(ISERROR(MATCH($B441,Community_Master!$A$2:$A$100,0)),$A441="",AND($H441&lt;&gt;"",$I441&gt;$H441),AND($H441&lt;&gt;"",$J441&gt;$H441),$I441&lt;0,$J441&lt;0,$K441&lt;0,$P441&lt;0,$Q441&lt;0,$Y441&lt;0,$Z441&lt;0,$AA441&lt;0,$AB441&lt;0,$AC441&lt;0),"ERROR","OK"))</f>
        <v/>
      </c>
      <c r="AR441" s="15">
        <f>IF($B441="","",TRIM(IF(ISERROR(MATCH($B441,Community_Master!$A$2:$A$100,0)),"Invalid Community_ID; ","")&amp;IF($A441="","Missing Report_Month; ","")&amp;IF(AND($H441&lt;&gt;"",$I441&gt;$H441),"Occupied_Units greater than Total_Units; ","")&amp;IF(AND($H441&lt;&gt;"",$J441&gt;$H441),"Leased_Units greater than Total_Units; ","")&amp;IF($I441&lt;0,"Occupied_Units negative; ","")&amp;IF($J441&lt;0,"Leased_Units negative; ","")&amp;IF($P441&lt;0,"Avg_Market_Rent negative; ","")))</f>
        <v/>
      </c>
    </row>
    <row r="442" ht="15" customHeight="1">
      <c r="A442" s="5" t="n"/>
      <c r="B442" s="15" t="n"/>
      <c r="C442" s="15">
        <f>IFERROR(VLOOKUP($B442,Community_Master!$A$2:$K$100,2,FALSE),"")</f>
        <v/>
      </c>
      <c r="D442" s="15">
        <f>IFERROR(VLOOKUP($B442,Community_Master!$A$2:$K$100,4,FALSE),"")</f>
        <v/>
      </c>
      <c r="E442" s="15">
        <f>IFERROR(VLOOKUP($B442,Community_Master!$A$2:$K$100,5,FALSE),"")</f>
        <v/>
      </c>
      <c r="F442" s="15">
        <f>IFERROR(VLOOKUP($B442,Community_Master!$A$2:$K$100,6,FALSE),"")</f>
        <v/>
      </c>
      <c r="G442" s="15">
        <f>IFERROR(VLOOKUP($B442,Community_Master!$A$2:$K$100,8,FALSE),"")</f>
        <v/>
      </c>
      <c r="H442" s="15">
        <f>IFERROR(VLOOKUP($B442,Community_Master!$A$2:$K$100,7,FALSE),"")</f>
        <v/>
      </c>
      <c r="I442" s="15" t="n"/>
      <c r="J442" s="15" t="n"/>
      <c r="K442" s="15" t="n"/>
      <c r="L442" s="15">
        <f>IF($H442="","",MAX($H442-$I442,0))</f>
        <v/>
      </c>
      <c r="M442" s="6">
        <f>IF($H442="","",IFERROR($I442/$H442,""))</f>
        <v/>
      </c>
      <c r="N442" s="6">
        <f>IF($H442="","",IFERROR($J442/$H442,""))</f>
        <v/>
      </c>
      <c r="O442" s="6" t="n"/>
      <c r="P442" s="7" t="n"/>
      <c r="Q442" s="7" t="n"/>
      <c r="R442" s="7" t="n"/>
      <c r="S442" s="7" t="n"/>
      <c r="T442" s="7">
        <f>IF($H442="","",IFERROR($H442*$P442,""))</f>
        <v/>
      </c>
      <c r="U442" s="7" t="n"/>
      <c r="V442" s="7" t="n"/>
      <c r="W442" s="7" t="n"/>
      <c r="X442" s="7">
        <f>IF(OR($U442="",$W442=""),"",($U442+$V442)-$W442)</f>
        <v/>
      </c>
      <c r="Y442" s="8" t="n"/>
      <c r="Z442" s="8" t="n"/>
      <c r="AA442" s="8" t="n"/>
      <c r="AB442" s="8" t="n"/>
      <c r="AC442" s="8" t="n"/>
      <c r="AD442" s="8" t="n"/>
      <c r="AE442" s="8" t="n"/>
      <c r="AF442" s="8" t="n"/>
      <c r="AG442" s="8" t="n"/>
      <c r="AH442" s="8" t="n"/>
      <c r="AI442" s="9" t="n"/>
      <c r="AJ442" s="8" t="n"/>
      <c r="AK442" s="8" t="n"/>
      <c r="AL442" s="15" t="n"/>
      <c r="AM442" s="15" t="n"/>
      <c r="AN442" s="15" t="n"/>
      <c r="AO442" s="15" t="n"/>
      <c r="AP442" s="10" t="n"/>
      <c r="AQ442" s="15">
        <f>IF($B442="","",IF(OR(ISERROR(MATCH($B442,Community_Master!$A$2:$A$100,0)),$A442="",AND($H442&lt;&gt;"",$I442&gt;$H442),AND($H442&lt;&gt;"",$J442&gt;$H442),$I442&lt;0,$J442&lt;0,$K442&lt;0,$P442&lt;0,$Q442&lt;0,$Y442&lt;0,$Z442&lt;0,$AA442&lt;0,$AB442&lt;0,$AC442&lt;0),"ERROR","OK"))</f>
        <v/>
      </c>
      <c r="AR442" s="15">
        <f>IF($B442="","",TRIM(IF(ISERROR(MATCH($B442,Community_Master!$A$2:$A$100,0)),"Invalid Community_ID; ","")&amp;IF($A442="","Missing Report_Month; ","")&amp;IF(AND($H442&lt;&gt;"",$I442&gt;$H442),"Occupied_Units greater than Total_Units; ","")&amp;IF(AND($H442&lt;&gt;"",$J442&gt;$H442),"Leased_Units greater than Total_Units; ","")&amp;IF($I442&lt;0,"Occupied_Units negative; ","")&amp;IF($J442&lt;0,"Leased_Units negative; ","")&amp;IF($P442&lt;0,"Avg_Market_Rent negative; ","")))</f>
        <v/>
      </c>
    </row>
    <row r="443" ht="15" customHeight="1">
      <c r="A443" s="5" t="n"/>
      <c r="B443" s="15" t="n"/>
      <c r="C443" s="15">
        <f>IFERROR(VLOOKUP($B443,Community_Master!$A$2:$K$100,2,FALSE),"")</f>
        <v/>
      </c>
      <c r="D443" s="15">
        <f>IFERROR(VLOOKUP($B443,Community_Master!$A$2:$K$100,4,FALSE),"")</f>
        <v/>
      </c>
      <c r="E443" s="15">
        <f>IFERROR(VLOOKUP($B443,Community_Master!$A$2:$K$100,5,FALSE),"")</f>
        <v/>
      </c>
      <c r="F443" s="15">
        <f>IFERROR(VLOOKUP($B443,Community_Master!$A$2:$K$100,6,FALSE),"")</f>
        <v/>
      </c>
      <c r="G443" s="15">
        <f>IFERROR(VLOOKUP($B443,Community_Master!$A$2:$K$100,8,FALSE),"")</f>
        <v/>
      </c>
      <c r="H443" s="15">
        <f>IFERROR(VLOOKUP($B443,Community_Master!$A$2:$K$100,7,FALSE),"")</f>
        <v/>
      </c>
      <c r="I443" s="15" t="n"/>
      <c r="J443" s="15" t="n"/>
      <c r="K443" s="15" t="n"/>
      <c r="L443" s="15">
        <f>IF($H443="","",MAX($H443-$I443,0))</f>
        <v/>
      </c>
      <c r="M443" s="6">
        <f>IF($H443="","",IFERROR($I443/$H443,""))</f>
        <v/>
      </c>
      <c r="N443" s="6">
        <f>IF($H443="","",IFERROR($J443/$H443,""))</f>
        <v/>
      </c>
      <c r="O443" s="6" t="n"/>
      <c r="P443" s="7" t="n"/>
      <c r="Q443" s="7" t="n"/>
      <c r="R443" s="7" t="n"/>
      <c r="S443" s="7" t="n"/>
      <c r="T443" s="7">
        <f>IF($H443="","",IFERROR($H443*$P443,""))</f>
        <v/>
      </c>
      <c r="U443" s="7" t="n"/>
      <c r="V443" s="7" t="n"/>
      <c r="W443" s="7" t="n"/>
      <c r="X443" s="7">
        <f>IF(OR($U443="",$W443=""),"",($U443+$V443)-$W443)</f>
        <v/>
      </c>
      <c r="Y443" s="8" t="n"/>
      <c r="Z443" s="8" t="n"/>
      <c r="AA443" s="8" t="n"/>
      <c r="AB443" s="8" t="n"/>
      <c r="AC443" s="8" t="n"/>
      <c r="AD443" s="8" t="n"/>
      <c r="AE443" s="8" t="n"/>
      <c r="AF443" s="8" t="n"/>
      <c r="AG443" s="8" t="n"/>
      <c r="AH443" s="8" t="n"/>
      <c r="AI443" s="9" t="n"/>
      <c r="AJ443" s="8" t="n"/>
      <c r="AK443" s="8" t="n"/>
      <c r="AL443" s="15" t="n"/>
      <c r="AM443" s="15" t="n"/>
      <c r="AN443" s="15" t="n"/>
      <c r="AO443" s="15" t="n"/>
      <c r="AP443" s="10" t="n"/>
      <c r="AQ443" s="15">
        <f>IF($B443="","",IF(OR(ISERROR(MATCH($B443,Community_Master!$A$2:$A$100,0)),$A443="",AND($H443&lt;&gt;"",$I443&gt;$H443),AND($H443&lt;&gt;"",$J443&gt;$H443),$I443&lt;0,$J443&lt;0,$K443&lt;0,$P443&lt;0,$Q443&lt;0,$Y443&lt;0,$Z443&lt;0,$AA443&lt;0,$AB443&lt;0,$AC443&lt;0),"ERROR","OK"))</f>
        <v/>
      </c>
      <c r="AR443" s="15">
        <f>IF($B443="","",TRIM(IF(ISERROR(MATCH($B443,Community_Master!$A$2:$A$100,0)),"Invalid Community_ID; ","")&amp;IF($A443="","Missing Report_Month; ","")&amp;IF(AND($H443&lt;&gt;"",$I443&gt;$H443),"Occupied_Units greater than Total_Units; ","")&amp;IF(AND($H443&lt;&gt;"",$J443&gt;$H443),"Leased_Units greater than Total_Units; ","")&amp;IF($I443&lt;0,"Occupied_Units negative; ","")&amp;IF($J443&lt;0,"Leased_Units negative; ","")&amp;IF($P443&lt;0,"Avg_Market_Rent negative; ","")))</f>
        <v/>
      </c>
    </row>
    <row r="444" ht="15" customHeight="1">
      <c r="A444" s="5" t="n"/>
      <c r="B444" s="15" t="n"/>
      <c r="C444" s="15">
        <f>IFERROR(VLOOKUP($B444,Community_Master!$A$2:$K$100,2,FALSE),"")</f>
        <v/>
      </c>
      <c r="D444" s="15">
        <f>IFERROR(VLOOKUP($B444,Community_Master!$A$2:$K$100,4,FALSE),"")</f>
        <v/>
      </c>
      <c r="E444" s="15">
        <f>IFERROR(VLOOKUP($B444,Community_Master!$A$2:$K$100,5,FALSE),"")</f>
        <v/>
      </c>
      <c r="F444" s="15">
        <f>IFERROR(VLOOKUP($B444,Community_Master!$A$2:$K$100,6,FALSE),"")</f>
        <v/>
      </c>
      <c r="G444" s="15">
        <f>IFERROR(VLOOKUP($B444,Community_Master!$A$2:$K$100,8,FALSE),"")</f>
        <v/>
      </c>
      <c r="H444" s="15">
        <f>IFERROR(VLOOKUP($B444,Community_Master!$A$2:$K$100,7,FALSE),"")</f>
        <v/>
      </c>
      <c r="I444" s="15" t="n"/>
      <c r="J444" s="15" t="n"/>
      <c r="K444" s="15" t="n"/>
      <c r="L444" s="15">
        <f>IF($H444="","",MAX($H444-$I444,0))</f>
        <v/>
      </c>
      <c r="M444" s="6">
        <f>IF($H444="","",IFERROR($I444/$H444,""))</f>
        <v/>
      </c>
      <c r="N444" s="6">
        <f>IF($H444="","",IFERROR($J444/$H444,""))</f>
        <v/>
      </c>
      <c r="O444" s="6" t="n"/>
      <c r="P444" s="7" t="n"/>
      <c r="Q444" s="7" t="n"/>
      <c r="R444" s="7" t="n"/>
      <c r="S444" s="7" t="n"/>
      <c r="T444" s="7">
        <f>IF($H444="","",IFERROR($H444*$P444,""))</f>
        <v/>
      </c>
      <c r="U444" s="7" t="n"/>
      <c r="V444" s="7" t="n"/>
      <c r="W444" s="7" t="n"/>
      <c r="X444" s="7">
        <f>IF(OR($U444="",$W444=""),"",($U444+$V444)-$W444)</f>
        <v/>
      </c>
      <c r="Y444" s="8" t="n"/>
      <c r="Z444" s="8" t="n"/>
      <c r="AA444" s="8" t="n"/>
      <c r="AB444" s="8" t="n"/>
      <c r="AC444" s="8" t="n"/>
      <c r="AD444" s="8" t="n"/>
      <c r="AE444" s="8" t="n"/>
      <c r="AF444" s="8" t="n"/>
      <c r="AG444" s="8" t="n"/>
      <c r="AH444" s="8" t="n"/>
      <c r="AI444" s="9" t="n"/>
      <c r="AJ444" s="8" t="n"/>
      <c r="AK444" s="8" t="n"/>
      <c r="AL444" s="15" t="n"/>
      <c r="AM444" s="15" t="n"/>
      <c r="AN444" s="15" t="n"/>
      <c r="AO444" s="15" t="n"/>
      <c r="AP444" s="10" t="n"/>
      <c r="AQ444" s="15">
        <f>IF($B444="","",IF(OR(ISERROR(MATCH($B444,Community_Master!$A$2:$A$100,0)),$A444="",AND($H444&lt;&gt;"",$I444&gt;$H444),AND($H444&lt;&gt;"",$J444&gt;$H444),$I444&lt;0,$J444&lt;0,$K444&lt;0,$P444&lt;0,$Q444&lt;0,$Y444&lt;0,$Z444&lt;0,$AA444&lt;0,$AB444&lt;0,$AC444&lt;0),"ERROR","OK"))</f>
        <v/>
      </c>
      <c r="AR444" s="15">
        <f>IF($B444="","",TRIM(IF(ISERROR(MATCH($B444,Community_Master!$A$2:$A$100,0)),"Invalid Community_ID; ","")&amp;IF($A444="","Missing Report_Month; ","")&amp;IF(AND($H444&lt;&gt;"",$I444&gt;$H444),"Occupied_Units greater than Total_Units; ","")&amp;IF(AND($H444&lt;&gt;"",$J444&gt;$H444),"Leased_Units greater than Total_Units; ","")&amp;IF($I444&lt;0,"Occupied_Units negative; ","")&amp;IF($J444&lt;0,"Leased_Units negative; ","")&amp;IF($P444&lt;0,"Avg_Market_Rent negative; ","")))</f>
        <v/>
      </c>
    </row>
    <row r="445" ht="15" customHeight="1">
      <c r="A445" s="5" t="n"/>
      <c r="B445" s="15" t="n"/>
      <c r="C445" s="15">
        <f>IFERROR(VLOOKUP($B445,Community_Master!$A$2:$K$100,2,FALSE),"")</f>
        <v/>
      </c>
      <c r="D445" s="15">
        <f>IFERROR(VLOOKUP($B445,Community_Master!$A$2:$K$100,4,FALSE),"")</f>
        <v/>
      </c>
      <c r="E445" s="15">
        <f>IFERROR(VLOOKUP($B445,Community_Master!$A$2:$K$100,5,FALSE),"")</f>
        <v/>
      </c>
      <c r="F445" s="15">
        <f>IFERROR(VLOOKUP($B445,Community_Master!$A$2:$K$100,6,FALSE),"")</f>
        <v/>
      </c>
      <c r="G445" s="15">
        <f>IFERROR(VLOOKUP($B445,Community_Master!$A$2:$K$100,8,FALSE),"")</f>
        <v/>
      </c>
      <c r="H445" s="15">
        <f>IFERROR(VLOOKUP($B445,Community_Master!$A$2:$K$100,7,FALSE),"")</f>
        <v/>
      </c>
      <c r="I445" s="15" t="n"/>
      <c r="J445" s="15" t="n"/>
      <c r="K445" s="15" t="n"/>
      <c r="L445" s="15">
        <f>IF($H445="","",MAX($H445-$I445,0))</f>
        <v/>
      </c>
      <c r="M445" s="6">
        <f>IF($H445="","",IFERROR($I445/$H445,""))</f>
        <v/>
      </c>
      <c r="N445" s="6">
        <f>IF($H445="","",IFERROR($J445/$H445,""))</f>
        <v/>
      </c>
      <c r="O445" s="6" t="n"/>
      <c r="P445" s="7" t="n"/>
      <c r="Q445" s="7" t="n"/>
      <c r="R445" s="7" t="n"/>
      <c r="S445" s="7" t="n"/>
      <c r="T445" s="7">
        <f>IF($H445="","",IFERROR($H445*$P445,""))</f>
        <v/>
      </c>
      <c r="U445" s="7" t="n"/>
      <c r="V445" s="7" t="n"/>
      <c r="W445" s="7" t="n"/>
      <c r="X445" s="7">
        <f>IF(OR($U445="",$W445=""),"",($U445+$V445)-$W445)</f>
        <v/>
      </c>
      <c r="Y445" s="8" t="n"/>
      <c r="Z445" s="8" t="n"/>
      <c r="AA445" s="8" t="n"/>
      <c r="AB445" s="8" t="n"/>
      <c r="AC445" s="8" t="n"/>
      <c r="AD445" s="8" t="n"/>
      <c r="AE445" s="8" t="n"/>
      <c r="AF445" s="8" t="n"/>
      <c r="AG445" s="8" t="n"/>
      <c r="AH445" s="8" t="n"/>
      <c r="AI445" s="9" t="n"/>
      <c r="AJ445" s="8" t="n"/>
      <c r="AK445" s="8" t="n"/>
      <c r="AL445" s="15" t="n"/>
      <c r="AM445" s="15" t="n"/>
      <c r="AN445" s="15" t="n"/>
      <c r="AO445" s="15" t="n"/>
      <c r="AP445" s="10" t="n"/>
      <c r="AQ445" s="15">
        <f>IF($B445="","",IF(OR(ISERROR(MATCH($B445,Community_Master!$A$2:$A$100,0)),$A445="",AND($H445&lt;&gt;"",$I445&gt;$H445),AND($H445&lt;&gt;"",$J445&gt;$H445),$I445&lt;0,$J445&lt;0,$K445&lt;0,$P445&lt;0,$Q445&lt;0,$Y445&lt;0,$Z445&lt;0,$AA445&lt;0,$AB445&lt;0,$AC445&lt;0),"ERROR","OK"))</f>
        <v/>
      </c>
      <c r="AR445" s="15">
        <f>IF($B445="","",TRIM(IF(ISERROR(MATCH($B445,Community_Master!$A$2:$A$100,0)),"Invalid Community_ID; ","")&amp;IF($A445="","Missing Report_Month; ","")&amp;IF(AND($H445&lt;&gt;"",$I445&gt;$H445),"Occupied_Units greater than Total_Units; ","")&amp;IF(AND($H445&lt;&gt;"",$J445&gt;$H445),"Leased_Units greater than Total_Units; ","")&amp;IF($I445&lt;0,"Occupied_Units negative; ","")&amp;IF($J445&lt;0,"Leased_Units negative; ","")&amp;IF($P445&lt;0,"Avg_Market_Rent negative; ","")))</f>
        <v/>
      </c>
    </row>
    <row r="446" ht="15" customHeight="1">
      <c r="A446" s="5" t="n"/>
      <c r="B446" s="15" t="n"/>
      <c r="C446" s="15">
        <f>IFERROR(VLOOKUP($B446,Community_Master!$A$2:$K$100,2,FALSE),"")</f>
        <v/>
      </c>
      <c r="D446" s="15">
        <f>IFERROR(VLOOKUP($B446,Community_Master!$A$2:$K$100,4,FALSE),"")</f>
        <v/>
      </c>
      <c r="E446" s="15">
        <f>IFERROR(VLOOKUP($B446,Community_Master!$A$2:$K$100,5,FALSE),"")</f>
        <v/>
      </c>
      <c r="F446" s="15">
        <f>IFERROR(VLOOKUP($B446,Community_Master!$A$2:$K$100,6,FALSE),"")</f>
        <v/>
      </c>
      <c r="G446" s="15">
        <f>IFERROR(VLOOKUP($B446,Community_Master!$A$2:$K$100,8,FALSE),"")</f>
        <v/>
      </c>
      <c r="H446" s="15">
        <f>IFERROR(VLOOKUP($B446,Community_Master!$A$2:$K$100,7,FALSE),"")</f>
        <v/>
      </c>
      <c r="I446" s="15" t="n"/>
      <c r="J446" s="15" t="n"/>
      <c r="K446" s="15" t="n"/>
      <c r="L446" s="15">
        <f>IF($H446="","",MAX($H446-$I446,0))</f>
        <v/>
      </c>
      <c r="M446" s="6">
        <f>IF($H446="","",IFERROR($I446/$H446,""))</f>
        <v/>
      </c>
      <c r="N446" s="6">
        <f>IF($H446="","",IFERROR($J446/$H446,""))</f>
        <v/>
      </c>
      <c r="O446" s="6" t="n"/>
      <c r="P446" s="7" t="n"/>
      <c r="Q446" s="7" t="n"/>
      <c r="R446" s="7" t="n"/>
      <c r="S446" s="7" t="n"/>
      <c r="T446" s="7">
        <f>IF($H446="","",IFERROR($H446*$P446,""))</f>
        <v/>
      </c>
      <c r="U446" s="7" t="n"/>
      <c r="V446" s="7" t="n"/>
      <c r="W446" s="7" t="n"/>
      <c r="X446" s="7">
        <f>IF(OR($U446="",$W446=""),"",($U446+$V446)-$W446)</f>
        <v/>
      </c>
      <c r="Y446" s="8" t="n"/>
      <c r="Z446" s="8" t="n"/>
      <c r="AA446" s="8" t="n"/>
      <c r="AB446" s="8" t="n"/>
      <c r="AC446" s="8" t="n"/>
      <c r="AD446" s="8" t="n"/>
      <c r="AE446" s="8" t="n"/>
      <c r="AF446" s="8" t="n"/>
      <c r="AG446" s="8" t="n"/>
      <c r="AH446" s="8" t="n"/>
      <c r="AI446" s="9" t="n"/>
      <c r="AJ446" s="8" t="n"/>
      <c r="AK446" s="8" t="n"/>
      <c r="AL446" s="15" t="n"/>
      <c r="AM446" s="15" t="n"/>
      <c r="AN446" s="15" t="n"/>
      <c r="AO446" s="15" t="n"/>
      <c r="AP446" s="10" t="n"/>
      <c r="AQ446" s="15">
        <f>IF($B446="","",IF(OR(ISERROR(MATCH($B446,Community_Master!$A$2:$A$100,0)),$A446="",AND($H446&lt;&gt;"",$I446&gt;$H446),AND($H446&lt;&gt;"",$J446&gt;$H446),$I446&lt;0,$J446&lt;0,$K446&lt;0,$P446&lt;0,$Q446&lt;0,$Y446&lt;0,$Z446&lt;0,$AA446&lt;0,$AB446&lt;0,$AC446&lt;0),"ERROR","OK"))</f>
        <v/>
      </c>
      <c r="AR446" s="15">
        <f>IF($B446="","",TRIM(IF(ISERROR(MATCH($B446,Community_Master!$A$2:$A$100,0)),"Invalid Community_ID; ","")&amp;IF($A446="","Missing Report_Month; ","")&amp;IF(AND($H446&lt;&gt;"",$I446&gt;$H446),"Occupied_Units greater than Total_Units; ","")&amp;IF(AND($H446&lt;&gt;"",$J446&gt;$H446),"Leased_Units greater than Total_Units; ","")&amp;IF($I446&lt;0,"Occupied_Units negative; ","")&amp;IF($J446&lt;0,"Leased_Units negative; ","")&amp;IF($P446&lt;0,"Avg_Market_Rent negative; ","")))</f>
        <v/>
      </c>
    </row>
    <row r="447" ht="15" customHeight="1">
      <c r="A447" s="5" t="n"/>
      <c r="B447" s="15" t="n"/>
      <c r="C447" s="15">
        <f>IFERROR(VLOOKUP($B447,Community_Master!$A$2:$K$100,2,FALSE),"")</f>
        <v/>
      </c>
      <c r="D447" s="15">
        <f>IFERROR(VLOOKUP($B447,Community_Master!$A$2:$K$100,4,FALSE),"")</f>
        <v/>
      </c>
      <c r="E447" s="15">
        <f>IFERROR(VLOOKUP($B447,Community_Master!$A$2:$K$100,5,FALSE),"")</f>
        <v/>
      </c>
      <c r="F447" s="15">
        <f>IFERROR(VLOOKUP($B447,Community_Master!$A$2:$K$100,6,FALSE),"")</f>
        <v/>
      </c>
      <c r="G447" s="15">
        <f>IFERROR(VLOOKUP($B447,Community_Master!$A$2:$K$100,8,FALSE),"")</f>
        <v/>
      </c>
      <c r="H447" s="15">
        <f>IFERROR(VLOOKUP($B447,Community_Master!$A$2:$K$100,7,FALSE),"")</f>
        <v/>
      </c>
      <c r="I447" s="15" t="n"/>
      <c r="J447" s="15" t="n"/>
      <c r="K447" s="15" t="n"/>
      <c r="L447" s="15">
        <f>IF($H447="","",MAX($H447-$I447,0))</f>
        <v/>
      </c>
      <c r="M447" s="6">
        <f>IF($H447="","",IFERROR($I447/$H447,""))</f>
        <v/>
      </c>
      <c r="N447" s="6">
        <f>IF($H447="","",IFERROR($J447/$H447,""))</f>
        <v/>
      </c>
      <c r="O447" s="6" t="n"/>
      <c r="P447" s="7" t="n"/>
      <c r="Q447" s="7" t="n"/>
      <c r="R447" s="7" t="n"/>
      <c r="S447" s="7" t="n"/>
      <c r="T447" s="7">
        <f>IF($H447="","",IFERROR($H447*$P447,""))</f>
        <v/>
      </c>
      <c r="U447" s="7" t="n"/>
      <c r="V447" s="7" t="n"/>
      <c r="W447" s="7" t="n"/>
      <c r="X447" s="7">
        <f>IF(OR($U447="",$W447=""),"",($U447+$V447)-$W447)</f>
        <v/>
      </c>
      <c r="Y447" s="8" t="n"/>
      <c r="Z447" s="8" t="n"/>
      <c r="AA447" s="8" t="n"/>
      <c r="AB447" s="8" t="n"/>
      <c r="AC447" s="8" t="n"/>
      <c r="AD447" s="8" t="n"/>
      <c r="AE447" s="8" t="n"/>
      <c r="AF447" s="8" t="n"/>
      <c r="AG447" s="8" t="n"/>
      <c r="AH447" s="8" t="n"/>
      <c r="AI447" s="9" t="n"/>
      <c r="AJ447" s="8" t="n"/>
      <c r="AK447" s="8" t="n"/>
      <c r="AL447" s="15" t="n"/>
      <c r="AM447" s="15" t="n"/>
      <c r="AN447" s="15" t="n"/>
      <c r="AO447" s="15" t="n"/>
      <c r="AP447" s="10" t="n"/>
      <c r="AQ447" s="15">
        <f>IF($B447="","",IF(OR(ISERROR(MATCH($B447,Community_Master!$A$2:$A$100,0)),$A447="",AND($H447&lt;&gt;"",$I447&gt;$H447),AND($H447&lt;&gt;"",$J447&gt;$H447),$I447&lt;0,$J447&lt;0,$K447&lt;0,$P447&lt;0,$Q447&lt;0,$Y447&lt;0,$Z447&lt;0,$AA447&lt;0,$AB447&lt;0,$AC447&lt;0),"ERROR","OK"))</f>
        <v/>
      </c>
      <c r="AR447" s="15">
        <f>IF($B447="","",TRIM(IF(ISERROR(MATCH($B447,Community_Master!$A$2:$A$100,0)),"Invalid Community_ID; ","")&amp;IF($A447="","Missing Report_Month; ","")&amp;IF(AND($H447&lt;&gt;"",$I447&gt;$H447),"Occupied_Units greater than Total_Units; ","")&amp;IF(AND($H447&lt;&gt;"",$J447&gt;$H447),"Leased_Units greater than Total_Units; ","")&amp;IF($I447&lt;0,"Occupied_Units negative; ","")&amp;IF($J447&lt;0,"Leased_Units negative; ","")&amp;IF($P447&lt;0,"Avg_Market_Rent negative; ","")))</f>
        <v/>
      </c>
    </row>
    <row r="448" ht="15" customHeight="1">
      <c r="A448" s="5" t="n"/>
      <c r="B448" s="15" t="n"/>
      <c r="C448" s="15">
        <f>IFERROR(VLOOKUP($B448,Community_Master!$A$2:$K$100,2,FALSE),"")</f>
        <v/>
      </c>
      <c r="D448" s="15">
        <f>IFERROR(VLOOKUP($B448,Community_Master!$A$2:$K$100,4,FALSE),"")</f>
        <v/>
      </c>
      <c r="E448" s="15">
        <f>IFERROR(VLOOKUP($B448,Community_Master!$A$2:$K$100,5,FALSE),"")</f>
        <v/>
      </c>
      <c r="F448" s="15">
        <f>IFERROR(VLOOKUP($B448,Community_Master!$A$2:$K$100,6,FALSE),"")</f>
        <v/>
      </c>
      <c r="G448" s="15">
        <f>IFERROR(VLOOKUP($B448,Community_Master!$A$2:$K$100,8,FALSE),"")</f>
        <v/>
      </c>
      <c r="H448" s="15">
        <f>IFERROR(VLOOKUP($B448,Community_Master!$A$2:$K$100,7,FALSE),"")</f>
        <v/>
      </c>
      <c r="I448" s="15" t="n"/>
      <c r="J448" s="15" t="n"/>
      <c r="K448" s="15" t="n"/>
      <c r="L448" s="15">
        <f>IF($H448="","",MAX($H448-$I448,0))</f>
        <v/>
      </c>
      <c r="M448" s="6">
        <f>IF($H448="","",IFERROR($I448/$H448,""))</f>
        <v/>
      </c>
      <c r="N448" s="6">
        <f>IF($H448="","",IFERROR($J448/$H448,""))</f>
        <v/>
      </c>
      <c r="O448" s="6" t="n"/>
      <c r="P448" s="7" t="n"/>
      <c r="Q448" s="7" t="n"/>
      <c r="R448" s="7" t="n"/>
      <c r="S448" s="7" t="n"/>
      <c r="T448" s="7">
        <f>IF($H448="","",IFERROR($H448*$P448,""))</f>
        <v/>
      </c>
      <c r="U448" s="7" t="n"/>
      <c r="V448" s="7" t="n"/>
      <c r="W448" s="7" t="n"/>
      <c r="X448" s="7">
        <f>IF(OR($U448="",$W448=""),"",($U448+$V448)-$W448)</f>
        <v/>
      </c>
      <c r="Y448" s="8" t="n"/>
      <c r="Z448" s="8" t="n"/>
      <c r="AA448" s="8" t="n"/>
      <c r="AB448" s="8" t="n"/>
      <c r="AC448" s="8" t="n"/>
      <c r="AD448" s="8" t="n"/>
      <c r="AE448" s="8" t="n"/>
      <c r="AF448" s="8" t="n"/>
      <c r="AG448" s="8" t="n"/>
      <c r="AH448" s="8" t="n"/>
      <c r="AI448" s="9" t="n"/>
      <c r="AJ448" s="8" t="n"/>
      <c r="AK448" s="8" t="n"/>
      <c r="AL448" s="15" t="n"/>
      <c r="AM448" s="15" t="n"/>
      <c r="AN448" s="15" t="n"/>
      <c r="AO448" s="15" t="n"/>
      <c r="AP448" s="10" t="n"/>
      <c r="AQ448" s="15">
        <f>IF($B448="","",IF(OR(ISERROR(MATCH($B448,Community_Master!$A$2:$A$100,0)),$A448="",AND($H448&lt;&gt;"",$I448&gt;$H448),AND($H448&lt;&gt;"",$J448&gt;$H448),$I448&lt;0,$J448&lt;0,$K448&lt;0,$P448&lt;0,$Q448&lt;0,$Y448&lt;0,$Z448&lt;0,$AA448&lt;0,$AB448&lt;0,$AC448&lt;0),"ERROR","OK"))</f>
        <v/>
      </c>
      <c r="AR448" s="15">
        <f>IF($B448="","",TRIM(IF(ISERROR(MATCH($B448,Community_Master!$A$2:$A$100,0)),"Invalid Community_ID; ","")&amp;IF($A448="","Missing Report_Month; ","")&amp;IF(AND($H448&lt;&gt;"",$I448&gt;$H448),"Occupied_Units greater than Total_Units; ","")&amp;IF(AND($H448&lt;&gt;"",$J448&gt;$H448),"Leased_Units greater than Total_Units; ","")&amp;IF($I448&lt;0,"Occupied_Units negative; ","")&amp;IF($J448&lt;0,"Leased_Units negative; ","")&amp;IF($P448&lt;0,"Avg_Market_Rent negative; ","")))</f>
        <v/>
      </c>
    </row>
    <row r="449" ht="15" customHeight="1">
      <c r="A449" s="5" t="n"/>
      <c r="B449" s="15" t="n"/>
      <c r="C449" s="15">
        <f>IFERROR(VLOOKUP($B449,Community_Master!$A$2:$K$100,2,FALSE),"")</f>
        <v/>
      </c>
      <c r="D449" s="15">
        <f>IFERROR(VLOOKUP($B449,Community_Master!$A$2:$K$100,4,FALSE),"")</f>
        <v/>
      </c>
      <c r="E449" s="15">
        <f>IFERROR(VLOOKUP($B449,Community_Master!$A$2:$K$100,5,FALSE),"")</f>
        <v/>
      </c>
      <c r="F449" s="15">
        <f>IFERROR(VLOOKUP($B449,Community_Master!$A$2:$K$100,6,FALSE),"")</f>
        <v/>
      </c>
      <c r="G449" s="15">
        <f>IFERROR(VLOOKUP($B449,Community_Master!$A$2:$K$100,8,FALSE),"")</f>
        <v/>
      </c>
      <c r="H449" s="15">
        <f>IFERROR(VLOOKUP($B449,Community_Master!$A$2:$K$100,7,FALSE),"")</f>
        <v/>
      </c>
      <c r="I449" s="15" t="n"/>
      <c r="J449" s="15" t="n"/>
      <c r="K449" s="15" t="n"/>
      <c r="L449" s="15">
        <f>IF($H449="","",MAX($H449-$I449,0))</f>
        <v/>
      </c>
      <c r="M449" s="6">
        <f>IF($H449="","",IFERROR($I449/$H449,""))</f>
        <v/>
      </c>
      <c r="N449" s="6">
        <f>IF($H449="","",IFERROR($J449/$H449,""))</f>
        <v/>
      </c>
      <c r="O449" s="6" t="n"/>
      <c r="P449" s="7" t="n"/>
      <c r="Q449" s="7" t="n"/>
      <c r="R449" s="7" t="n"/>
      <c r="S449" s="7" t="n"/>
      <c r="T449" s="7">
        <f>IF($H449="","",IFERROR($H449*$P449,""))</f>
        <v/>
      </c>
      <c r="U449" s="7" t="n"/>
      <c r="V449" s="7" t="n"/>
      <c r="W449" s="7" t="n"/>
      <c r="X449" s="7">
        <f>IF(OR($U449="",$W449=""),"",($U449+$V449)-$W449)</f>
        <v/>
      </c>
      <c r="Y449" s="8" t="n"/>
      <c r="Z449" s="8" t="n"/>
      <c r="AA449" s="8" t="n"/>
      <c r="AB449" s="8" t="n"/>
      <c r="AC449" s="8" t="n"/>
      <c r="AD449" s="8" t="n"/>
      <c r="AE449" s="8" t="n"/>
      <c r="AF449" s="8" t="n"/>
      <c r="AG449" s="8" t="n"/>
      <c r="AH449" s="8" t="n"/>
      <c r="AI449" s="9" t="n"/>
      <c r="AJ449" s="8" t="n"/>
      <c r="AK449" s="8" t="n"/>
      <c r="AL449" s="15" t="n"/>
      <c r="AM449" s="15" t="n"/>
      <c r="AN449" s="15" t="n"/>
      <c r="AO449" s="15" t="n"/>
      <c r="AP449" s="10" t="n"/>
      <c r="AQ449" s="15">
        <f>IF($B449="","",IF(OR(ISERROR(MATCH($B449,Community_Master!$A$2:$A$100,0)),$A449="",AND($H449&lt;&gt;"",$I449&gt;$H449),AND($H449&lt;&gt;"",$J449&gt;$H449),$I449&lt;0,$J449&lt;0,$K449&lt;0,$P449&lt;0,$Q449&lt;0,$Y449&lt;0,$Z449&lt;0,$AA449&lt;0,$AB449&lt;0,$AC449&lt;0),"ERROR","OK"))</f>
        <v/>
      </c>
      <c r="AR449" s="15">
        <f>IF($B449="","",TRIM(IF(ISERROR(MATCH($B449,Community_Master!$A$2:$A$100,0)),"Invalid Community_ID; ","")&amp;IF($A449="","Missing Report_Month; ","")&amp;IF(AND($H449&lt;&gt;"",$I449&gt;$H449),"Occupied_Units greater than Total_Units; ","")&amp;IF(AND($H449&lt;&gt;"",$J449&gt;$H449),"Leased_Units greater than Total_Units; ","")&amp;IF($I449&lt;0,"Occupied_Units negative; ","")&amp;IF($J449&lt;0,"Leased_Units negative; ","")&amp;IF($P449&lt;0,"Avg_Market_Rent negative; ","")))</f>
        <v/>
      </c>
    </row>
    <row r="450" ht="15" customHeight="1">
      <c r="A450" s="5" t="n"/>
      <c r="B450" s="15" t="n"/>
      <c r="C450" s="15">
        <f>IFERROR(VLOOKUP($B450,Community_Master!$A$2:$K$100,2,FALSE),"")</f>
        <v/>
      </c>
      <c r="D450" s="15">
        <f>IFERROR(VLOOKUP($B450,Community_Master!$A$2:$K$100,4,FALSE),"")</f>
        <v/>
      </c>
      <c r="E450" s="15">
        <f>IFERROR(VLOOKUP($B450,Community_Master!$A$2:$K$100,5,FALSE),"")</f>
        <v/>
      </c>
      <c r="F450" s="15">
        <f>IFERROR(VLOOKUP($B450,Community_Master!$A$2:$K$100,6,FALSE),"")</f>
        <v/>
      </c>
      <c r="G450" s="15">
        <f>IFERROR(VLOOKUP($B450,Community_Master!$A$2:$K$100,8,FALSE),"")</f>
        <v/>
      </c>
      <c r="H450" s="15">
        <f>IFERROR(VLOOKUP($B450,Community_Master!$A$2:$K$100,7,FALSE),"")</f>
        <v/>
      </c>
      <c r="I450" s="15" t="n"/>
      <c r="J450" s="15" t="n"/>
      <c r="K450" s="15" t="n"/>
      <c r="L450" s="15">
        <f>IF($H450="","",MAX($H450-$I450,0))</f>
        <v/>
      </c>
      <c r="M450" s="6">
        <f>IF($H450="","",IFERROR($I450/$H450,""))</f>
        <v/>
      </c>
      <c r="N450" s="6">
        <f>IF($H450="","",IFERROR($J450/$H450,""))</f>
        <v/>
      </c>
      <c r="O450" s="6" t="n"/>
      <c r="P450" s="7" t="n"/>
      <c r="Q450" s="7" t="n"/>
      <c r="R450" s="7" t="n"/>
      <c r="S450" s="7" t="n"/>
      <c r="T450" s="7">
        <f>IF($H450="","",IFERROR($H450*$P450,""))</f>
        <v/>
      </c>
      <c r="U450" s="7" t="n"/>
      <c r="V450" s="7" t="n"/>
      <c r="W450" s="7" t="n"/>
      <c r="X450" s="7">
        <f>IF(OR($U450="",$W450=""),"",($U450+$V450)-$W450)</f>
        <v/>
      </c>
      <c r="Y450" s="8" t="n"/>
      <c r="Z450" s="8" t="n"/>
      <c r="AA450" s="8" t="n"/>
      <c r="AB450" s="8" t="n"/>
      <c r="AC450" s="8" t="n"/>
      <c r="AD450" s="8" t="n"/>
      <c r="AE450" s="8" t="n"/>
      <c r="AF450" s="8" t="n"/>
      <c r="AG450" s="8" t="n"/>
      <c r="AH450" s="8" t="n"/>
      <c r="AI450" s="9" t="n"/>
      <c r="AJ450" s="8" t="n"/>
      <c r="AK450" s="8" t="n"/>
      <c r="AL450" s="15" t="n"/>
      <c r="AM450" s="15" t="n"/>
      <c r="AN450" s="15" t="n"/>
      <c r="AO450" s="15" t="n"/>
      <c r="AP450" s="10" t="n"/>
      <c r="AQ450" s="15">
        <f>IF($B450="","",IF(OR(ISERROR(MATCH($B450,Community_Master!$A$2:$A$100,0)),$A450="",AND($H450&lt;&gt;"",$I450&gt;$H450),AND($H450&lt;&gt;"",$J450&gt;$H450),$I450&lt;0,$J450&lt;0,$K450&lt;0,$P450&lt;0,$Q450&lt;0,$Y450&lt;0,$Z450&lt;0,$AA450&lt;0,$AB450&lt;0,$AC450&lt;0),"ERROR","OK"))</f>
        <v/>
      </c>
      <c r="AR450" s="15">
        <f>IF($B450="","",TRIM(IF(ISERROR(MATCH($B450,Community_Master!$A$2:$A$100,0)),"Invalid Community_ID; ","")&amp;IF($A450="","Missing Report_Month; ","")&amp;IF(AND($H450&lt;&gt;"",$I450&gt;$H450),"Occupied_Units greater than Total_Units; ","")&amp;IF(AND($H450&lt;&gt;"",$J450&gt;$H450),"Leased_Units greater than Total_Units; ","")&amp;IF($I450&lt;0,"Occupied_Units negative; ","")&amp;IF($J450&lt;0,"Leased_Units negative; ","")&amp;IF($P450&lt;0,"Avg_Market_Rent negative; ","")))</f>
        <v/>
      </c>
    </row>
    <row r="451" ht="15" customHeight="1">
      <c r="A451" s="5" t="n"/>
      <c r="B451" s="15" t="n"/>
      <c r="C451" s="15">
        <f>IFERROR(VLOOKUP($B451,Community_Master!$A$2:$K$100,2,FALSE),"")</f>
        <v/>
      </c>
      <c r="D451" s="15">
        <f>IFERROR(VLOOKUP($B451,Community_Master!$A$2:$K$100,4,FALSE),"")</f>
        <v/>
      </c>
      <c r="E451" s="15">
        <f>IFERROR(VLOOKUP($B451,Community_Master!$A$2:$K$100,5,FALSE),"")</f>
        <v/>
      </c>
      <c r="F451" s="15">
        <f>IFERROR(VLOOKUP($B451,Community_Master!$A$2:$K$100,6,FALSE),"")</f>
        <v/>
      </c>
      <c r="G451" s="15">
        <f>IFERROR(VLOOKUP($B451,Community_Master!$A$2:$K$100,8,FALSE),"")</f>
        <v/>
      </c>
      <c r="H451" s="15">
        <f>IFERROR(VLOOKUP($B451,Community_Master!$A$2:$K$100,7,FALSE),"")</f>
        <v/>
      </c>
      <c r="I451" s="15" t="n"/>
      <c r="J451" s="15" t="n"/>
      <c r="K451" s="15" t="n"/>
      <c r="L451" s="15">
        <f>IF($H451="","",MAX($H451-$I451,0))</f>
        <v/>
      </c>
      <c r="M451" s="6">
        <f>IF($H451="","",IFERROR($I451/$H451,""))</f>
        <v/>
      </c>
      <c r="N451" s="6">
        <f>IF($H451="","",IFERROR($J451/$H451,""))</f>
        <v/>
      </c>
      <c r="O451" s="6" t="n"/>
      <c r="P451" s="7" t="n"/>
      <c r="Q451" s="7" t="n"/>
      <c r="R451" s="7" t="n"/>
      <c r="S451" s="7" t="n"/>
      <c r="T451" s="7">
        <f>IF($H451="","",IFERROR($H451*$P451,""))</f>
        <v/>
      </c>
      <c r="U451" s="7" t="n"/>
      <c r="V451" s="7" t="n"/>
      <c r="W451" s="7" t="n"/>
      <c r="X451" s="7">
        <f>IF(OR($U451="",$W451=""),"",($U451+$V451)-$W451)</f>
        <v/>
      </c>
      <c r="Y451" s="8" t="n"/>
      <c r="Z451" s="8" t="n"/>
      <c r="AA451" s="8" t="n"/>
      <c r="AB451" s="8" t="n"/>
      <c r="AC451" s="8" t="n"/>
      <c r="AD451" s="8" t="n"/>
      <c r="AE451" s="8" t="n"/>
      <c r="AF451" s="8" t="n"/>
      <c r="AG451" s="8" t="n"/>
      <c r="AH451" s="8" t="n"/>
      <c r="AI451" s="9" t="n"/>
      <c r="AJ451" s="8" t="n"/>
      <c r="AK451" s="8" t="n"/>
      <c r="AL451" s="15" t="n"/>
      <c r="AM451" s="15" t="n"/>
      <c r="AN451" s="15" t="n"/>
      <c r="AO451" s="15" t="n"/>
      <c r="AP451" s="10" t="n"/>
      <c r="AQ451" s="15">
        <f>IF($B451="","",IF(OR(ISERROR(MATCH($B451,Community_Master!$A$2:$A$100,0)),$A451="",AND($H451&lt;&gt;"",$I451&gt;$H451),AND($H451&lt;&gt;"",$J451&gt;$H451),$I451&lt;0,$J451&lt;0,$K451&lt;0,$P451&lt;0,$Q451&lt;0,$Y451&lt;0,$Z451&lt;0,$AA451&lt;0,$AB451&lt;0,$AC451&lt;0),"ERROR","OK"))</f>
        <v/>
      </c>
      <c r="AR451" s="15">
        <f>IF($B451="","",TRIM(IF(ISERROR(MATCH($B451,Community_Master!$A$2:$A$100,0)),"Invalid Community_ID; ","")&amp;IF($A451="","Missing Report_Month; ","")&amp;IF(AND($H451&lt;&gt;"",$I451&gt;$H451),"Occupied_Units greater than Total_Units; ","")&amp;IF(AND($H451&lt;&gt;"",$J451&gt;$H451),"Leased_Units greater than Total_Units; ","")&amp;IF($I451&lt;0,"Occupied_Units negative; ","")&amp;IF($J451&lt;0,"Leased_Units negative; ","")&amp;IF($P451&lt;0,"Avg_Market_Rent negative; ","")))</f>
        <v/>
      </c>
    </row>
    <row r="452" ht="15" customHeight="1">
      <c r="A452" s="5" t="n"/>
      <c r="B452" s="15" t="n"/>
      <c r="C452" s="15">
        <f>IFERROR(VLOOKUP($B452,Community_Master!$A$2:$K$100,2,FALSE),"")</f>
        <v/>
      </c>
      <c r="D452" s="15">
        <f>IFERROR(VLOOKUP($B452,Community_Master!$A$2:$K$100,4,FALSE),"")</f>
        <v/>
      </c>
      <c r="E452" s="15">
        <f>IFERROR(VLOOKUP($B452,Community_Master!$A$2:$K$100,5,FALSE),"")</f>
        <v/>
      </c>
      <c r="F452" s="15">
        <f>IFERROR(VLOOKUP($B452,Community_Master!$A$2:$K$100,6,FALSE),"")</f>
        <v/>
      </c>
      <c r="G452" s="15">
        <f>IFERROR(VLOOKUP($B452,Community_Master!$A$2:$K$100,8,FALSE),"")</f>
        <v/>
      </c>
      <c r="H452" s="15">
        <f>IFERROR(VLOOKUP($B452,Community_Master!$A$2:$K$100,7,FALSE),"")</f>
        <v/>
      </c>
      <c r="I452" s="15" t="n"/>
      <c r="J452" s="15" t="n"/>
      <c r="K452" s="15" t="n"/>
      <c r="L452" s="15">
        <f>IF($H452="","",MAX($H452-$I452,0))</f>
        <v/>
      </c>
      <c r="M452" s="6">
        <f>IF($H452="","",IFERROR($I452/$H452,""))</f>
        <v/>
      </c>
      <c r="N452" s="6">
        <f>IF($H452="","",IFERROR($J452/$H452,""))</f>
        <v/>
      </c>
      <c r="O452" s="6" t="n"/>
      <c r="P452" s="7" t="n"/>
      <c r="Q452" s="7" t="n"/>
      <c r="R452" s="7" t="n"/>
      <c r="S452" s="7" t="n"/>
      <c r="T452" s="7">
        <f>IF($H452="","",IFERROR($H452*$P452,""))</f>
        <v/>
      </c>
      <c r="U452" s="7" t="n"/>
      <c r="V452" s="7" t="n"/>
      <c r="W452" s="7" t="n"/>
      <c r="X452" s="7">
        <f>IF(OR($U452="",$W452=""),"",($U452+$V452)-$W452)</f>
        <v/>
      </c>
      <c r="Y452" s="8" t="n"/>
      <c r="Z452" s="8" t="n"/>
      <c r="AA452" s="8" t="n"/>
      <c r="AB452" s="8" t="n"/>
      <c r="AC452" s="8" t="n"/>
      <c r="AD452" s="8" t="n"/>
      <c r="AE452" s="8" t="n"/>
      <c r="AF452" s="8" t="n"/>
      <c r="AG452" s="8" t="n"/>
      <c r="AH452" s="8" t="n"/>
      <c r="AI452" s="9" t="n"/>
      <c r="AJ452" s="8" t="n"/>
      <c r="AK452" s="8" t="n"/>
      <c r="AL452" s="15" t="n"/>
      <c r="AM452" s="15" t="n"/>
      <c r="AN452" s="15" t="n"/>
      <c r="AO452" s="15" t="n"/>
      <c r="AP452" s="10" t="n"/>
      <c r="AQ452" s="15">
        <f>IF($B452="","",IF(OR(ISERROR(MATCH($B452,Community_Master!$A$2:$A$100,0)),$A452="",AND($H452&lt;&gt;"",$I452&gt;$H452),AND($H452&lt;&gt;"",$J452&gt;$H452),$I452&lt;0,$J452&lt;0,$K452&lt;0,$P452&lt;0,$Q452&lt;0,$Y452&lt;0,$Z452&lt;0,$AA452&lt;0,$AB452&lt;0,$AC452&lt;0),"ERROR","OK"))</f>
        <v/>
      </c>
      <c r="AR452" s="15">
        <f>IF($B452="","",TRIM(IF(ISERROR(MATCH($B452,Community_Master!$A$2:$A$100,0)),"Invalid Community_ID; ","")&amp;IF($A452="","Missing Report_Month; ","")&amp;IF(AND($H452&lt;&gt;"",$I452&gt;$H452),"Occupied_Units greater than Total_Units; ","")&amp;IF(AND($H452&lt;&gt;"",$J452&gt;$H452),"Leased_Units greater than Total_Units; ","")&amp;IF($I452&lt;0,"Occupied_Units negative; ","")&amp;IF($J452&lt;0,"Leased_Units negative; ","")&amp;IF($P452&lt;0,"Avg_Market_Rent negative; ","")))</f>
        <v/>
      </c>
    </row>
    <row r="453" ht="15" customHeight="1">
      <c r="A453" s="5" t="n"/>
      <c r="B453" s="15" t="n"/>
      <c r="C453" s="15">
        <f>IFERROR(VLOOKUP($B453,Community_Master!$A$2:$K$100,2,FALSE),"")</f>
        <v/>
      </c>
      <c r="D453" s="15">
        <f>IFERROR(VLOOKUP($B453,Community_Master!$A$2:$K$100,4,FALSE),"")</f>
        <v/>
      </c>
      <c r="E453" s="15">
        <f>IFERROR(VLOOKUP($B453,Community_Master!$A$2:$K$100,5,FALSE),"")</f>
        <v/>
      </c>
      <c r="F453" s="15">
        <f>IFERROR(VLOOKUP($B453,Community_Master!$A$2:$K$100,6,FALSE),"")</f>
        <v/>
      </c>
      <c r="G453" s="15">
        <f>IFERROR(VLOOKUP($B453,Community_Master!$A$2:$K$100,8,FALSE),"")</f>
        <v/>
      </c>
      <c r="H453" s="15">
        <f>IFERROR(VLOOKUP($B453,Community_Master!$A$2:$K$100,7,FALSE),"")</f>
        <v/>
      </c>
      <c r="I453" s="15" t="n"/>
      <c r="J453" s="15" t="n"/>
      <c r="K453" s="15" t="n"/>
      <c r="L453" s="15">
        <f>IF($H453="","",MAX($H453-$I453,0))</f>
        <v/>
      </c>
      <c r="M453" s="6">
        <f>IF($H453="","",IFERROR($I453/$H453,""))</f>
        <v/>
      </c>
      <c r="N453" s="6">
        <f>IF($H453="","",IFERROR($J453/$H453,""))</f>
        <v/>
      </c>
      <c r="O453" s="6" t="n"/>
      <c r="P453" s="7" t="n"/>
      <c r="Q453" s="7" t="n"/>
      <c r="R453" s="7" t="n"/>
      <c r="S453" s="7" t="n"/>
      <c r="T453" s="7">
        <f>IF($H453="","",IFERROR($H453*$P453,""))</f>
        <v/>
      </c>
      <c r="U453" s="7" t="n"/>
      <c r="V453" s="7" t="n"/>
      <c r="W453" s="7" t="n"/>
      <c r="X453" s="7">
        <f>IF(OR($U453="",$W453=""),"",($U453+$V453)-$W453)</f>
        <v/>
      </c>
      <c r="Y453" s="8" t="n"/>
      <c r="Z453" s="8" t="n"/>
      <c r="AA453" s="8" t="n"/>
      <c r="AB453" s="8" t="n"/>
      <c r="AC453" s="8" t="n"/>
      <c r="AD453" s="8" t="n"/>
      <c r="AE453" s="8" t="n"/>
      <c r="AF453" s="8" t="n"/>
      <c r="AG453" s="8" t="n"/>
      <c r="AH453" s="8" t="n"/>
      <c r="AI453" s="9" t="n"/>
      <c r="AJ453" s="8" t="n"/>
      <c r="AK453" s="8" t="n"/>
      <c r="AL453" s="15" t="n"/>
      <c r="AM453" s="15" t="n"/>
      <c r="AN453" s="15" t="n"/>
      <c r="AO453" s="15" t="n"/>
      <c r="AP453" s="10" t="n"/>
      <c r="AQ453" s="15">
        <f>IF($B453="","",IF(OR(ISERROR(MATCH($B453,Community_Master!$A$2:$A$100,0)),$A453="",AND($H453&lt;&gt;"",$I453&gt;$H453),AND($H453&lt;&gt;"",$J453&gt;$H453),$I453&lt;0,$J453&lt;0,$K453&lt;0,$P453&lt;0,$Q453&lt;0,$Y453&lt;0,$Z453&lt;0,$AA453&lt;0,$AB453&lt;0,$AC453&lt;0),"ERROR","OK"))</f>
        <v/>
      </c>
      <c r="AR453" s="15">
        <f>IF($B453="","",TRIM(IF(ISERROR(MATCH($B453,Community_Master!$A$2:$A$100,0)),"Invalid Community_ID; ","")&amp;IF($A453="","Missing Report_Month; ","")&amp;IF(AND($H453&lt;&gt;"",$I453&gt;$H453),"Occupied_Units greater than Total_Units; ","")&amp;IF(AND($H453&lt;&gt;"",$J453&gt;$H453),"Leased_Units greater than Total_Units; ","")&amp;IF($I453&lt;0,"Occupied_Units negative; ","")&amp;IF($J453&lt;0,"Leased_Units negative; ","")&amp;IF($P453&lt;0,"Avg_Market_Rent negative; ","")))</f>
        <v/>
      </c>
    </row>
    <row r="454" ht="15" customHeight="1">
      <c r="A454" s="5" t="n"/>
      <c r="B454" s="15" t="n"/>
      <c r="C454" s="15">
        <f>IFERROR(VLOOKUP($B454,Community_Master!$A$2:$K$100,2,FALSE),"")</f>
        <v/>
      </c>
      <c r="D454" s="15">
        <f>IFERROR(VLOOKUP($B454,Community_Master!$A$2:$K$100,4,FALSE),"")</f>
        <v/>
      </c>
      <c r="E454" s="15">
        <f>IFERROR(VLOOKUP($B454,Community_Master!$A$2:$K$100,5,FALSE),"")</f>
        <v/>
      </c>
      <c r="F454" s="15">
        <f>IFERROR(VLOOKUP($B454,Community_Master!$A$2:$K$100,6,FALSE),"")</f>
        <v/>
      </c>
      <c r="G454" s="15">
        <f>IFERROR(VLOOKUP($B454,Community_Master!$A$2:$K$100,8,FALSE),"")</f>
        <v/>
      </c>
      <c r="H454" s="15">
        <f>IFERROR(VLOOKUP($B454,Community_Master!$A$2:$K$100,7,FALSE),"")</f>
        <v/>
      </c>
      <c r="I454" s="15" t="n"/>
      <c r="J454" s="15" t="n"/>
      <c r="K454" s="15" t="n"/>
      <c r="L454" s="15">
        <f>IF($H454="","",MAX($H454-$I454,0))</f>
        <v/>
      </c>
      <c r="M454" s="6">
        <f>IF($H454="","",IFERROR($I454/$H454,""))</f>
        <v/>
      </c>
      <c r="N454" s="6">
        <f>IF($H454="","",IFERROR($J454/$H454,""))</f>
        <v/>
      </c>
      <c r="O454" s="6" t="n"/>
      <c r="P454" s="7" t="n"/>
      <c r="Q454" s="7" t="n"/>
      <c r="R454" s="7" t="n"/>
      <c r="S454" s="7" t="n"/>
      <c r="T454" s="7">
        <f>IF($H454="","",IFERROR($H454*$P454,""))</f>
        <v/>
      </c>
      <c r="U454" s="7" t="n"/>
      <c r="V454" s="7" t="n"/>
      <c r="W454" s="7" t="n"/>
      <c r="X454" s="7">
        <f>IF(OR($U454="",$W454=""),"",($U454+$V454)-$W454)</f>
        <v/>
      </c>
      <c r="Y454" s="8" t="n"/>
      <c r="Z454" s="8" t="n"/>
      <c r="AA454" s="8" t="n"/>
      <c r="AB454" s="8" t="n"/>
      <c r="AC454" s="8" t="n"/>
      <c r="AD454" s="8" t="n"/>
      <c r="AE454" s="8" t="n"/>
      <c r="AF454" s="8" t="n"/>
      <c r="AG454" s="8" t="n"/>
      <c r="AH454" s="8" t="n"/>
      <c r="AI454" s="9" t="n"/>
      <c r="AJ454" s="8" t="n"/>
      <c r="AK454" s="8" t="n"/>
      <c r="AL454" s="15" t="n"/>
      <c r="AM454" s="15" t="n"/>
      <c r="AN454" s="15" t="n"/>
      <c r="AO454" s="15" t="n"/>
      <c r="AP454" s="10" t="n"/>
      <c r="AQ454" s="15">
        <f>IF($B454="","",IF(OR(ISERROR(MATCH($B454,Community_Master!$A$2:$A$100,0)),$A454="",AND($H454&lt;&gt;"",$I454&gt;$H454),AND($H454&lt;&gt;"",$J454&gt;$H454),$I454&lt;0,$J454&lt;0,$K454&lt;0,$P454&lt;0,$Q454&lt;0,$Y454&lt;0,$Z454&lt;0,$AA454&lt;0,$AB454&lt;0,$AC454&lt;0),"ERROR","OK"))</f>
        <v/>
      </c>
      <c r="AR454" s="15">
        <f>IF($B454="","",TRIM(IF(ISERROR(MATCH($B454,Community_Master!$A$2:$A$100,0)),"Invalid Community_ID; ","")&amp;IF($A454="","Missing Report_Month; ","")&amp;IF(AND($H454&lt;&gt;"",$I454&gt;$H454),"Occupied_Units greater than Total_Units; ","")&amp;IF(AND($H454&lt;&gt;"",$J454&gt;$H454),"Leased_Units greater than Total_Units; ","")&amp;IF($I454&lt;0,"Occupied_Units negative; ","")&amp;IF($J454&lt;0,"Leased_Units negative; ","")&amp;IF($P454&lt;0,"Avg_Market_Rent negative; ","")))</f>
        <v/>
      </c>
    </row>
    <row r="455" ht="15" customHeight="1">
      <c r="A455" s="5" t="n"/>
      <c r="B455" s="15" t="n"/>
      <c r="C455" s="15">
        <f>IFERROR(VLOOKUP($B455,Community_Master!$A$2:$K$100,2,FALSE),"")</f>
        <v/>
      </c>
      <c r="D455" s="15">
        <f>IFERROR(VLOOKUP($B455,Community_Master!$A$2:$K$100,4,FALSE),"")</f>
        <v/>
      </c>
      <c r="E455" s="15">
        <f>IFERROR(VLOOKUP($B455,Community_Master!$A$2:$K$100,5,FALSE),"")</f>
        <v/>
      </c>
      <c r="F455" s="15">
        <f>IFERROR(VLOOKUP($B455,Community_Master!$A$2:$K$100,6,FALSE),"")</f>
        <v/>
      </c>
      <c r="G455" s="15">
        <f>IFERROR(VLOOKUP($B455,Community_Master!$A$2:$K$100,8,FALSE),"")</f>
        <v/>
      </c>
      <c r="H455" s="15">
        <f>IFERROR(VLOOKUP($B455,Community_Master!$A$2:$K$100,7,FALSE),"")</f>
        <v/>
      </c>
      <c r="I455" s="15" t="n"/>
      <c r="J455" s="15" t="n"/>
      <c r="K455" s="15" t="n"/>
      <c r="L455" s="15">
        <f>IF($H455="","",MAX($H455-$I455,0))</f>
        <v/>
      </c>
      <c r="M455" s="6">
        <f>IF($H455="","",IFERROR($I455/$H455,""))</f>
        <v/>
      </c>
      <c r="N455" s="6">
        <f>IF($H455="","",IFERROR($J455/$H455,""))</f>
        <v/>
      </c>
      <c r="O455" s="6" t="n"/>
      <c r="P455" s="7" t="n"/>
      <c r="Q455" s="7" t="n"/>
      <c r="R455" s="7" t="n"/>
      <c r="S455" s="7" t="n"/>
      <c r="T455" s="7">
        <f>IF($H455="","",IFERROR($H455*$P455,""))</f>
        <v/>
      </c>
      <c r="U455" s="7" t="n"/>
      <c r="V455" s="7" t="n"/>
      <c r="W455" s="7" t="n"/>
      <c r="X455" s="7">
        <f>IF(OR($U455="",$W455=""),"",($U455+$V455)-$W455)</f>
        <v/>
      </c>
      <c r="Y455" s="8" t="n"/>
      <c r="Z455" s="8" t="n"/>
      <c r="AA455" s="8" t="n"/>
      <c r="AB455" s="8" t="n"/>
      <c r="AC455" s="8" t="n"/>
      <c r="AD455" s="8" t="n"/>
      <c r="AE455" s="8" t="n"/>
      <c r="AF455" s="8" t="n"/>
      <c r="AG455" s="8" t="n"/>
      <c r="AH455" s="8" t="n"/>
      <c r="AI455" s="9" t="n"/>
      <c r="AJ455" s="8" t="n"/>
      <c r="AK455" s="8" t="n"/>
      <c r="AL455" s="15" t="n"/>
      <c r="AM455" s="15" t="n"/>
      <c r="AN455" s="15" t="n"/>
      <c r="AO455" s="15" t="n"/>
      <c r="AP455" s="10" t="n"/>
      <c r="AQ455" s="15">
        <f>IF($B455="","",IF(OR(ISERROR(MATCH($B455,Community_Master!$A$2:$A$100,0)),$A455="",AND($H455&lt;&gt;"",$I455&gt;$H455),AND($H455&lt;&gt;"",$J455&gt;$H455),$I455&lt;0,$J455&lt;0,$K455&lt;0,$P455&lt;0,$Q455&lt;0,$Y455&lt;0,$Z455&lt;0,$AA455&lt;0,$AB455&lt;0,$AC455&lt;0),"ERROR","OK"))</f>
        <v/>
      </c>
      <c r="AR455" s="15">
        <f>IF($B455="","",TRIM(IF(ISERROR(MATCH($B455,Community_Master!$A$2:$A$100,0)),"Invalid Community_ID; ","")&amp;IF($A455="","Missing Report_Month; ","")&amp;IF(AND($H455&lt;&gt;"",$I455&gt;$H455),"Occupied_Units greater than Total_Units; ","")&amp;IF(AND($H455&lt;&gt;"",$J455&gt;$H455),"Leased_Units greater than Total_Units; ","")&amp;IF($I455&lt;0,"Occupied_Units negative; ","")&amp;IF($J455&lt;0,"Leased_Units negative; ","")&amp;IF($P455&lt;0,"Avg_Market_Rent negative; ","")))</f>
        <v/>
      </c>
    </row>
    <row r="456" ht="15" customHeight="1">
      <c r="A456" s="5" t="n"/>
      <c r="B456" s="15" t="n"/>
      <c r="C456" s="15">
        <f>IFERROR(VLOOKUP($B456,Community_Master!$A$2:$K$100,2,FALSE),"")</f>
        <v/>
      </c>
      <c r="D456" s="15">
        <f>IFERROR(VLOOKUP($B456,Community_Master!$A$2:$K$100,4,FALSE),"")</f>
        <v/>
      </c>
      <c r="E456" s="15">
        <f>IFERROR(VLOOKUP($B456,Community_Master!$A$2:$K$100,5,FALSE),"")</f>
        <v/>
      </c>
      <c r="F456" s="15">
        <f>IFERROR(VLOOKUP($B456,Community_Master!$A$2:$K$100,6,FALSE),"")</f>
        <v/>
      </c>
      <c r="G456" s="15">
        <f>IFERROR(VLOOKUP($B456,Community_Master!$A$2:$K$100,8,FALSE),"")</f>
        <v/>
      </c>
      <c r="H456" s="15">
        <f>IFERROR(VLOOKUP($B456,Community_Master!$A$2:$K$100,7,FALSE),"")</f>
        <v/>
      </c>
      <c r="I456" s="15" t="n"/>
      <c r="J456" s="15" t="n"/>
      <c r="K456" s="15" t="n"/>
      <c r="L456" s="15">
        <f>IF($H456="","",MAX($H456-$I456,0))</f>
        <v/>
      </c>
      <c r="M456" s="6">
        <f>IF($H456="","",IFERROR($I456/$H456,""))</f>
        <v/>
      </c>
      <c r="N456" s="6">
        <f>IF($H456="","",IFERROR($J456/$H456,""))</f>
        <v/>
      </c>
      <c r="O456" s="6" t="n"/>
      <c r="P456" s="7" t="n"/>
      <c r="Q456" s="7" t="n"/>
      <c r="R456" s="7" t="n"/>
      <c r="S456" s="7" t="n"/>
      <c r="T456" s="7">
        <f>IF($H456="","",IFERROR($H456*$P456,""))</f>
        <v/>
      </c>
      <c r="U456" s="7" t="n"/>
      <c r="V456" s="7" t="n"/>
      <c r="W456" s="7" t="n"/>
      <c r="X456" s="7">
        <f>IF(OR($U456="",$W456=""),"",($U456+$V456)-$W456)</f>
        <v/>
      </c>
      <c r="Y456" s="8" t="n"/>
      <c r="Z456" s="8" t="n"/>
      <c r="AA456" s="8" t="n"/>
      <c r="AB456" s="8" t="n"/>
      <c r="AC456" s="8" t="n"/>
      <c r="AD456" s="8" t="n"/>
      <c r="AE456" s="8" t="n"/>
      <c r="AF456" s="8" t="n"/>
      <c r="AG456" s="8" t="n"/>
      <c r="AH456" s="8" t="n"/>
      <c r="AI456" s="9" t="n"/>
      <c r="AJ456" s="8" t="n"/>
      <c r="AK456" s="8" t="n"/>
      <c r="AL456" s="15" t="n"/>
      <c r="AM456" s="15" t="n"/>
      <c r="AN456" s="15" t="n"/>
      <c r="AO456" s="15" t="n"/>
      <c r="AP456" s="10" t="n"/>
      <c r="AQ456" s="15">
        <f>IF($B456="","",IF(OR(ISERROR(MATCH($B456,Community_Master!$A$2:$A$100,0)),$A456="",AND($H456&lt;&gt;"",$I456&gt;$H456),AND($H456&lt;&gt;"",$J456&gt;$H456),$I456&lt;0,$J456&lt;0,$K456&lt;0,$P456&lt;0,$Q456&lt;0,$Y456&lt;0,$Z456&lt;0,$AA456&lt;0,$AB456&lt;0,$AC456&lt;0),"ERROR","OK"))</f>
        <v/>
      </c>
      <c r="AR456" s="15">
        <f>IF($B456="","",TRIM(IF(ISERROR(MATCH($B456,Community_Master!$A$2:$A$100,0)),"Invalid Community_ID; ","")&amp;IF($A456="","Missing Report_Month; ","")&amp;IF(AND($H456&lt;&gt;"",$I456&gt;$H456),"Occupied_Units greater than Total_Units; ","")&amp;IF(AND($H456&lt;&gt;"",$J456&gt;$H456),"Leased_Units greater than Total_Units; ","")&amp;IF($I456&lt;0,"Occupied_Units negative; ","")&amp;IF($J456&lt;0,"Leased_Units negative; ","")&amp;IF($P456&lt;0,"Avg_Market_Rent negative; ","")))</f>
        <v/>
      </c>
    </row>
    <row r="457" ht="15" customHeight="1">
      <c r="A457" s="5" t="n"/>
      <c r="B457" s="15" t="n"/>
      <c r="C457" s="15">
        <f>IFERROR(VLOOKUP($B457,Community_Master!$A$2:$K$100,2,FALSE),"")</f>
        <v/>
      </c>
      <c r="D457" s="15">
        <f>IFERROR(VLOOKUP($B457,Community_Master!$A$2:$K$100,4,FALSE),"")</f>
        <v/>
      </c>
      <c r="E457" s="15">
        <f>IFERROR(VLOOKUP($B457,Community_Master!$A$2:$K$100,5,FALSE),"")</f>
        <v/>
      </c>
      <c r="F457" s="15">
        <f>IFERROR(VLOOKUP($B457,Community_Master!$A$2:$K$100,6,FALSE),"")</f>
        <v/>
      </c>
      <c r="G457" s="15">
        <f>IFERROR(VLOOKUP($B457,Community_Master!$A$2:$K$100,8,FALSE),"")</f>
        <v/>
      </c>
      <c r="H457" s="15">
        <f>IFERROR(VLOOKUP($B457,Community_Master!$A$2:$K$100,7,FALSE),"")</f>
        <v/>
      </c>
      <c r="I457" s="15" t="n"/>
      <c r="J457" s="15" t="n"/>
      <c r="K457" s="15" t="n"/>
      <c r="L457" s="15">
        <f>IF($H457="","",MAX($H457-$I457,0))</f>
        <v/>
      </c>
      <c r="M457" s="6">
        <f>IF($H457="","",IFERROR($I457/$H457,""))</f>
        <v/>
      </c>
      <c r="N457" s="6">
        <f>IF($H457="","",IFERROR($J457/$H457,""))</f>
        <v/>
      </c>
      <c r="O457" s="6" t="n"/>
      <c r="P457" s="7" t="n"/>
      <c r="Q457" s="7" t="n"/>
      <c r="R457" s="7" t="n"/>
      <c r="S457" s="7" t="n"/>
      <c r="T457" s="7">
        <f>IF($H457="","",IFERROR($H457*$P457,""))</f>
        <v/>
      </c>
      <c r="U457" s="7" t="n"/>
      <c r="V457" s="7" t="n"/>
      <c r="W457" s="7" t="n"/>
      <c r="X457" s="7">
        <f>IF(OR($U457="",$W457=""),"",($U457+$V457)-$W457)</f>
        <v/>
      </c>
      <c r="Y457" s="8" t="n"/>
      <c r="Z457" s="8" t="n"/>
      <c r="AA457" s="8" t="n"/>
      <c r="AB457" s="8" t="n"/>
      <c r="AC457" s="8" t="n"/>
      <c r="AD457" s="8" t="n"/>
      <c r="AE457" s="8" t="n"/>
      <c r="AF457" s="8" t="n"/>
      <c r="AG457" s="8" t="n"/>
      <c r="AH457" s="8" t="n"/>
      <c r="AI457" s="9" t="n"/>
      <c r="AJ457" s="8" t="n"/>
      <c r="AK457" s="8" t="n"/>
      <c r="AL457" s="15" t="n"/>
      <c r="AM457" s="15" t="n"/>
      <c r="AN457" s="15" t="n"/>
      <c r="AO457" s="15" t="n"/>
      <c r="AP457" s="10" t="n"/>
      <c r="AQ457" s="15">
        <f>IF($B457="","",IF(OR(ISERROR(MATCH($B457,Community_Master!$A$2:$A$100,0)),$A457="",AND($H457&lt;&gt;"",$I457&gt;$H457),AND($H457&lt;&gt;"",$J457&gt;$H457),$I457&lt;0,$J457&lt;0,$K457&lt;0,$P457&lt;0,$Q457&lt;0,$Y457&lt;0,$Z457&lt;0,$AA457&lt;0,$AB457&lt;0,$AC457&lt;0),"ERROR","OK"))</f>
        <v/>
      </c>
      <c r="AR457" s="15">
        <f>IF($B457="","",TRIM(IF(ISERROR(MATCH($B457,Community_Master!$A$2:$A$100,0)),"Invalid Community_ID; ","")&amp;IF($A457="","Missing Report_Month; ","")&amp;IF(AND($H457&lt;&gt;"",$I457&gt;$H457),"Occupied_Units greater than Total_Units; ","")&amp;IF(AND($H457&lt;&gt;"",$J457&gt;$H457),"Leased_Units greater than Total_Units; ","")&amp;IF($I457&lt;0,"Occupied_Units negative; ","")&amp;IF($J457&lt;0,"Leased_Units negative; ","")&amp;IF($P457&lt;0,"Avg_Market_Rent negative; ","")))</f>
        <v/>
      </c>
    </row>
    <row r="458" ht="15" customHeight="1">
      <c r="A458" s="5" t="n"/>
      <c r="B458" s="15" t="n"/>
      <c r="C458" s="15">
        <f>IFERROR(VLOOKUP($B458,Community_Master!$A$2:$K$100,2,FALSE),"")</f>
        <v/>
      </c>
      <c r="D458" s="15">
        <f>IFERROR(VLOOKUP($B458,Community_Master!$A$2:$K$100,4,FALSE),"")</f>
        <v/>
      </c>
      <c r="E458" s="15">
        <f>IFERROR(VLOOKUP($B458,Community_Master!$A$2:$K$100,5,FALSE),"")</f>
        <v/>
      </c>
      <c r="F458" s="15">
        <f>IFERROR(VLOOKUP($B458,Community_Master!$A$2:$K$100,6,FALSE),"")</f>
        <v/>
      </c>
      <c r="G458" s="15">
        <f>IFERROR(VLOOKUP($B458,Community_Master!$A$2:$K$100,8,FALSE),"")</f>
        <v/>
      </c>
      <c r="H458" s="15">
        <f>IFERROR(VLOOKUP($B458,Community_Master!$A$2:$K$100,7,FALSE),"")</f>
        <v/>
      </c>
      <c r="I458" s="15" t="n"/>
      <c r="J458" s="15" t="n"/>
      <c r="K458" s="15" t="n"/>
      <c r="L458" s="15">
        <f>IF($H458="","",MAX($H458-$I458,0))</f>
        <v/>
      </c>
      <c r="M458" s="6">
        <f>IF($H458="","",IFERROR($I458/$H458,""))</f>
        <v/>
      </c>
      <c r="N458" s="6">
        <f>IF($H458="","",IFERROR($J458/$H458,""))</f>
        <v/>
      </c>
      <c r="O458" s="6" t="n"/>
      <c r="P458" s="7" t="n"/>
      <c r="Q458" s="7" t="n"/>
      <c r="R458" s="7" t="n"/>
      <c r="S458" s="7" t="n"/>
      <c r="T458" s="7">
        <f>IF($H458="","",IFERROR($H458*$P458,""))</f>
        <v/>
      </c>
      <c r="U458" s="7" t="n"/>
      <c r="V458" s="7" t="n"/>
      <c r="W458" s="7" t="n"/>
      <c r="X458" s="7">
        <f>IF(OR($U458="",$W458=""),"",($U458+$V458)-$W458)</f>
        <v/>
      </c>
      <c r="Y458" s="8" t="n"/>
      <c r="Z458" s="8" t="n"/>
      <c r="AA458" s="8" t="n"/>
      <c r="AB458" s="8" t="n"/>
      <c r="AC458" s="8" t="n"/>
      <c r="AD458" s="8" t="n"/>
      <c r="AE458" s="8" t="n"/>
      <c r="AF458" s="8" t="n"/>
      <c r="AG458" s="8" t="n"/>
      <c r="AH458" s="8" t="n"/>
      <c r="AI458" s="9" t="n"/>
      <c r="AJ458" s="8" t="n"/>
      <c r="AK458" s="8" t="n"/>
      <c r="AL458" s="15" t="n"/>
      <c r="AM458" s="15" t="n"/>
      <c r="AN458" s="15" t="n"/>
      <c r="AO458" s="15" t="n"/>
      <c r="AP458" s="10" t="n"/>
      <c r="AQ458" s="15">
        <f>IF($B458="","",IF(OR(ISERROR(MATCH($B458,Community_Master!$A$2:$A$100,0)),$A458="",AND($H458&lt;&gt;"",$I458&gt;$H458),AND($H458&lt;&gt;"",$J458&gt;$H458),$I458&lt;0,$J458&lt;0,$K458&lt;0,$P458&lt;0,$Q458&lt;0,$Y458&lt;0,$Z458&lt;0,$AA458&lt;0,$AB458&lt;0,$AC458&lt;0),"ERROR","OK"))</f>
        <v/>
      </c>
      <c r="AR458" s="15">
        <f>IF($B458="","",TRIM(IF(ISERROR(MATCH($B458,Community_Master!$A$2:$A$100,0)),"Invalid Community_ID; ","")&amp;IF($A458="","Missing Report_Month; ","")&amp;IF(AND($H458&lt;&gt;"",$I458&gt;$H458),"Occupied_Units greater than Total_Units; ","")&amp;IF(AND($H458&lt;&gt;"",$J458&gt;$H458),"Leased_Units greater than Total_Units; ","")&amp;IF($I458&lt;0,"Occupied_Units negative; ","")&amp;IF($J458&lt;0,"Leased_Units negative; ","")&amp;IF($P458&lt;0,"Avg_Market_Rent negative; ","")))</f>
        <v/>
      </c>
    </row>
    <row r="459" ht="15" customHeight="1">
      <c r="A459" s="5" t="n"/>
      <c r="B459" s="15" t="n"/>
      <c r="C459" s="15">
        <f>IFERROR(VLOOKUP($B459,Community_Master!$A$2:$K$100,2,FALSE),"")</f>
        <v/>
      </c>
      <c r="D459" s="15">
        <f>IFERROR(VLOOKUP($B459,Community_Master!$A$2:$K$100,4,FALSE),"")</f>
        <v/>
      </c>
      <c r="E459" s="15">
        <f>IFERROR(VLOOKUP($B459,Community_Master!$A$2:$K$100,5,FALSE),"")</f>
        <v/>
      </c>
      <c r="F459" s="15">
        <f>IFERROR(VLOOKUP($B459,Community_Master!$A$2:$K$100,6,FALSE),"")</f>
        <v/>
      </c>
      <c r="G459" s="15">
        <f>IFERROR(VLOOKUP($B459,Community_Master!$A$2:$K$100,8,FALSE),"")</f>
        <v/>
      </c>
      <c r="H459" s="15">
        <f>IFERROR(VLOOKUP($B459,Community_Master!$A$2:$K$100,7,FALSE),"")</f>
        <v/>
      </c>
      <c r="I459" s="15" t="n"/>
      <c r="J459" s="15" t="n"/>
      <c r="K459" s="15" t="n"/>
      <c r="L459" s="15">
        <f>IF($H459="","",MAX($H459-$I459,0))</f>
        <v/>
      </c>
      <c r="M459" s="6">
        <f>IF($H459="","",IFERROR($I459/$H459,""))</f>
        <v/>
      </c>
      <c r="N459" s="6">
        <f>IF($H459="","",IFERROR($J459/$H459,""))</f>
        <v/>
      </c>
      <c r="O459" s="6" t="n"/>
      <c r="P459" s="7" t="n"/>
      <c r="Q459" s="7" t="n"/>
      <c r="R459" s="7" t="n"/>
      <c r="S459" s="7" t="n"/>
      <c r="T459" s="7">
        <f>IF($H459="","",IFERROR($H459*$P459,""))</f>
        <v/>
      </c>
      <c r="U459" s="7" t="n"/>
      <c r="V459" s="7" t="n"/>
      <c r="W459" s="7" t="n"/>
      <c r="X459" s="7">
        <f>IF(OR($U459="",$W459=""),"",($U459+$V459)-$W459)</f>
        <v/>
      </c>
      <c r="Y459" s="8" t="n"/>
      <c r="Z459" s="8" t="n"/>
      <c r="AA459" s="8" t="n"/>
      <c r="AB459" s="8" t="n"/>
      <c r="AC459" s="8" t="n"/>
      <c r="AD459" s="8" t="n"/>
      <c r="AE459" s="8" t="n"/>
      <c r="AF459" s="8" t="n"/>
      <c r="AG459" s="8" t="n"/>
      <c r="AH459" s="8" t="n"/>
      <c r="AI459" s="9" t="n"/>
      <c r="AJ459" s="8" t="n"/>
      <c r="AK459" s="8" t="n"/>
      <c r="AL459" s="15" t="n"/>
      <c r="AM459" s="15" t="n"/>
      <c r="AN459" s="15" t="n"/>
      <c r="AO459" s="15" t="n"/>
      <c r="AP459" s="10" t="n"/>
      <c r="AQ459" s="15">
        <f>IF($B459="","",IF(OR(ISERROR(MATCH($B459,Community_Master!$A$2:$A$100,0)),$A459="",AND($H459&lt;&gt;"",$I459&gt;$H459),AND($H459&lt;&gt;"",$J459&gt;$H459),$I459&lt;0,$J459&lt;0,$K459&lt;0,$P459&lt;0,$Q459&lt;0,$Y459&lt;0,$Z459&lt;0,$AA459&lt;0,$AB459&lt;0,$AC459&lt;0),"ERROR","OK"))</f>
        <v/>
      </c>
      <c r="AR459" s="15">
        <f>IF($B459="","",TRIM(IF(ISERROR(MATCH($B459,Community_Master!$A$2:$A$100,0)),"Invalid Community_ID; ","")&amp;IF($A459="","Missing Report_Month; ","")&amp;IF(AND($H459&lt;&gt;"",$I459&gt;$H459),"Occupied_Units greater than Total_Units; ","")&amp;IF(AND($H459&lt;&gt;"",$J459&gt;$H459),"Leased_Units greater than Total_Units; ","")&amp;IF($I459&lt;0,"Occupied_Units negative; ","")&amp;IF($J459&lt;0,"Leased_Units negative; ","")&amp;IF($P459&lt;0,"Avg_Market_Rent negative; ","")))</f>
        <v/>
      </c>
    </row>
    <row r="460" ht="15" customHeight="1">
      <c r="A460" s="5" t="n"/>
      <c r="B460" s="15" t="n"/>
      <c r="C460" s="15">
        <f>IFERROR(VLOOKUP($B460,Community_Master!$A$2:$K$100,2,FALSE),"")</f>
        <v/>
      </c>
      <c r="D460" s="15">
        <f>IFERROR(VLOOKUP($B460,Community_Master!$A$2:$K$100,4,FALSE),"")</f>
        <v/>
      </c>
      <c r="E460" s="15">
        <f>IFERROR(VLOOKUP($B460,Community_Master!$A$2:$K$100,5,FALSE),"")</f>
        <v/>
      </c>
      <c r="F460" s="15">
        <f>IFERROR(VLOOKUP($B460,Community_Master!$A$2:$K$100,6,FALSE),"")</f>
        <v/>
      </c>
      <c r="G460" s="15">
        <f>IFERROR(VLOOKUP($B460,Community_Master!$A$2:$K$100,8,FALSE),"")</f>
        <v/>
      </c>
      <c r="H460" s="15">
        <f>IFERROR(VLOOKUP($B460,Community_Master!$A$2:$K$100,7,FALSE),"")</f>
        <v/>
      </c>
      <c r="I460" s="15" t="n"/>
      <c r="J460" s="15" t="n"/>
      <c r="K460" s="15" t="n"/>
      <c r="L460" s="15">
        <f>IF($H460="","",MAX($H460-$I460,0))</f>
        <v/>
      </c>
      <c r="M460" s="6">
        <f>IF($H460="","",IFERROR($I460/$H460,""))</f>
        <v/>
      </c>
      <c r="N460" s="6">
        <f>IF($H460="","",IFERROR($J460/$H460,""))</f>
        <v/>
      </c>
      <c r="O460" s="6" t="n"/>
      <c r="P460" s="7" t="n"/>
      <c r="Q460" s="7" t="n"/>
      <c r="R460" s="7" t="n"/>
      <c r="S460" s="7" t="n"/>
      <c r="T460" s="7">
        <f>IF($H460="","",IFERROR($H460*$P460,""))</f>
        <v/>
      </c>
      <c r="U460" s="7" t="n"/>
      <c r="V460" s="7" t="n"/>
      <c r="W460" s="7" t="n"/>
      <c r="X460" s="7">
        <f>IF(OR($U460="",$W460=""),"",($U460+$V460)-$W460)</f>
        <v/>
      </c>
      <c r="Y460" s="8" t="n"/>
      <c r="Z460" s="8" t="n"/>
      <c r="AA460" s="8" t="n"/>
      <c r="AB460" s="8" t="n"/>
      <c r="AC460" s="8" t="n"/>
      <c r="AD460" s="8" t="n"/>
      <c r="AE460" s="8" t="n"/>
      <c r="AF460" s="8" t="n"/>
      <c r="AG460" s="8" t="n"/>
      <c r="AH460" s="8" t="n"/>
      <c r="AI460" s="9" t="n"/>
      <c r="AJ460" s="8" t="n"/>
      <c r="AK460" s="8" t="n"/>
      <c r="AL460" s="15" t="n"/>
      <c r="AM460" s="15" t="n"/>
      <c r="AN460" s="15" t="n"/>
      <c r="AO460" s="15" t="n"/>
      <c r="AP460" s="10" t="n"/>
      <c r="AQ460" s="15">
        <f>IF($B460="","",IF(OR(ISERROR(MATCH($B460,Community_Master!$A$2:$A$100,0)),$A460="",AND($H460&lt;&gt;"",$I460&gt;$H460),AND($H460&lt;&gt;"",$J460&gt;$H460),$I460&lt;0,$J460&lt;0,$K460&lt;0,$P460&lt;0,$Q460&lt;0,$Y460&lt;0,$Z460&lt;0,$AA460&lt;0,$AB460&lt;0,$AC460&lt;0),"ERROR","OK"))</f>
        <v/>
      </c>
      <c r="AR460" s="15">
        <f>IF($B460="","",TRIM(IF(ISERROR(MATCH($B460,Community_Master!$A$2:$A$100,0)),"Invalid Community_ID; ","")&amp;IF($A460="","Missing Report_Month; ","")&amp;IF(AND($H460&lt;&gt;"",$I460&gt;$H460),"Occupied_Units greater than Total_Units; ","")&amp;IF(AND($H460&lt;&gt;"",$J460&gt;$H460),"Leased_Units greater than Total_Units; ","")&amp;IF($I460&lt;0,"Occupied_Units negative; ","")&amp;IF($J460&lt;0,"Leased_Units negative; ","")&amp;IF($P460&lt;0,"Avg_Market_Rent negative; ","")))</f>
        <v/>
      </c>
    </row>
    <row r="461" ht="15" customHeight="1">
      <c r="A461" s="5" t="n"/>
      <c r="B461" s="15" t="n"/>
      <c r="C461" s="15">
        <f>IFERROR(VLOOKUP($B461,Community_Master!$A$2:$K$100,2,FALSE),"")</f>
        <v/>
      </c>
      <c r="D461" s="15">
        <f>IFERROR(VLOOKUP($B461,Community_Master!$A$2:$K$100,4,FALSE),"")</f>
        <v/>
      </c>
      <c r="E461" s="15">
        <f>IFERROR(VLOOKUP($B461,Community_Master!$A$2:$K$100,5,FALSE),"")</f>
        <v/>
      </c>
      <c r="F461" s="15">
        <f>IFERROR(VLOOKUP($B461,Community_Master!$A$2:$K$100,6,FALSE),"")</f>
        <v/>
      </c>
      <c r="G461" s="15">
        <f>IFERROR(VLOOKUP($B461,Community_Master!$A$2:$K$100,8,FALSE),"")</f>
        <v/>
      </c>
      <c r="H461" s="15">
        <f>IFERROR(VLOOKUP($B461,Community_Master!$A$2:$K$100,7,FALSE),"")</f>
        <v/>
      </c>
      <c r="I461" s="15" t="n"/>
      <c r="J461" s="15" t="n"/>
      <c r="K461" s="15" t="n"/>
      <c r="L461" s="15">
        <f>IF($H461="","",MAX($H461-$I461,0))</f>
        <v/>
      </c>
      <c r="M461" s="6">
        <f>IF($H461="","",IFERROR($I461/$H461,""))</f>
        <v/>
      </c>
      <c r="N461" s="6">
        <f>IF($H461="","",IFERROR($J461/$H461,""))</f>
        <v/>
      </c>
      <c r="O461" s="6" t="n"/>
      <c r="P461" s="7" t="n"/>
      <c r="Q461" s="7" t="n"/>
      <c r="R461" s="7" t="n"/>
      <c r="S461" s="7" t="n"/>
      <c r="T461" s="7">
        <f>IF($H461="","",IFERROR($H461*$P461,""))</f>
        <v/>
      </c>
      <c r="U461" s="7" t="n"/>
      <c r="V461" s="7" t="n"/>
      <c r="W461" s="7" t="n"/>
      <c r="X461" s="7">
        <f>IF(OR($U461="",$W461=""),"",($U461+$V461)-$W461)</f>
        <v/>
      </c>
      <c r="Y461" s="8" t="n"/>
      <c r="Z461" s="8" t="n"/>
      <c r="AA461" s="8" t="n"/>
      <c r="AB461" s="8" t="n"/>
      <c r="AC461" s="8" t="n"/>
      <c r="AD461" s="8" t="n"/>
      <c r="AE461" s="8" t="n"/>
      <c r="AF461" s="8" t="n"/>
      <c r="AG461" s="8" t="n"/>
      <c r="AH461" s="8" t="n"/>
      <c r="AI461" s="9" t="n"/>
      <c r="AJ461" s="8" t="n"/>
      <c r="AK461" s="8" t="n"/>
      <c r="AL461" s="15" t="n"/>
      <c r="AM461" s="15" t="n"/>
      <c r="AN461" s="15" t="n"/>
      <c r="AO461" s="15" t="n"/>
      <c r="AP461" s="10" t="n"/>
      <c r="AQ461" s="15">
        <f>IF($B461="","",IF(OR(ISERROR(MATCH($B461,Community_Master!$A$2:$A$100,0)),$A461="",AND($H461&lt;&gt;"",$I461&gt;$H461),AND($H461&lt;&gt;"",$J461&gt;$H461),$I461&lt;0,$J461&lt;0,$K461&lt;0,$P461&lt;0,$Q461&lt;0,$Y461&lt;0,$Z461&lt;0,$AA461&lt;0,$AB461&lt;0,$AC461&lt;0),"ERROR","OK"))</f>
        <v/>
      </c>
      <c r="AR461" s="15">
        <f>IF($B461="","",TRIM(IF(ISERROR(MATCH($B461,Community_Master!$A$2:$A$100,0)),"Invalid Community_ID; ","")&amp;IF($A461="","Missing Report_Month; ","")&amp;IF(AND($H461&lt;&gt;"",$I461&gt;$H461),"Occupied_Units greater than Total_Units; ","")&amp;IF(AND($H461&lt;&gt;"",$J461&gt;$H461),"Leased_Units greater than Total_Units; ","")&amp;IF($I461&lt;0,"Occupied_Units negative; ","")&amp;IF($J461&lt;0,"Leased_Units negative; ","")&amp;IF($P461&lt;0,"Avg_Market_Rent negative; ","")))</f>
        <v/>
      </c>
    </row>
    <row r="462" ht="15" customHeight="1">
      <c r="A462" s="5" t="n"/>
      <c r="B462" s="15" t="n"/>
      <c r="C462" s="15">
        <f>IFERROR(VLOOKUP($B462,Community_Master!$A$2:$K$100,2,FALSE),"")</f>
        <v/>
      </c>
      <c r="D462" s="15">
        <f>IFERROR(VLOOKUP($B462,Community_Master!$A$2:$K$100,4,FALSE),"")</f>
        <v/>
      </c>
      <c r="E462" s="15">
        <f>IFERROR(VLOOKUP($B462,Community_Master!$A$2:$K$100,5,FALSE),"")</f>
        <v/>
      </c>
      <c r="F462" s="15">
        <f>IFERROR(VLOOKUP($B462,Community_Master!$A$2:$K$100,6,FALSE),"")</f>
        <v/>
      </c>
      <c r="G462" s="15">
        <f>IFERROR(VLOOKUP($B462,Community_Master!$A$2:$K$100,8,FALSE),"")</f>
        <v/>
      </c>
      <c r="H462" s="15">
        <f>IFERROR(VLOOKUP($B462,Community_Master!$A$2:$K$100,7,FALSE),"")</f>
        <v/>
      </c>
      <c r="I462" s="15" t="n"/>
      <c r="J462" s="15" t="n"/>
      <c r="K462" s="15" t="n"/>
      <c r="L462" s="15">
        <f>IF($H462="","",MAX($H462-$I462,0))</f>
        <v/>
      </c>
      <c r="M462" s="6">
        <f>IF($H462="","",IFERROR($I462/$H462,""))</f>
        <v/>
      </c>
      <c r="N462" s="6">
        <f>IF($H462="","",IFERROR($J462/$H462,""))</f>
        <v/>
      </c>
      <c r="O462" s="6" t="n"/>
      <c r="P462" s="7" t="n"/>
      <c r="Q462" s="7" t="n"/>
      <c r="R462" s="7" t="n"/>
      <c r="S462" s="7" t="n"/>
      <c r="T462" s="7">
        <f>IF($H462="","",IFERROR($H462*$P462,""))</f>
        <v/>
      </c>
      <c r="U462" s="7" t="n"/>
      <c r="V462" s="7" t="n"/>
      <c r="W462" s="7" t="n"/>
      <c r="X462" s="7">
        <f>IF(OR($U462="",$W462=""),"",($U462+$V462)-$W462)</f>
        <v/>
      </c>
      <c r="Y462" s="8" t="n"/>
      <c r="Z462" s="8" t="n"/>
      <c r="AA462" s="8" t="n"/>
      <c r="AB462" s="8" t="n"/>
      <c r="AC462" s="8" t="n"/>
      <c r="AD462" s="8" t="n"/>
      <c r="AE462" s="8" t="n"/>
      <c r="AF462" s="8" t="n"/>
      <c r="AG462" s="8" t="n"/>
      <c r="AH462" s="8" t="n"/>
      <c r="AI462" s="9" t="n"/>
      <c r="AJ462" s="8" t="n"/>
      <c r="AK462" s="8" t="n"/>
      <c r="AL462" s="15" t="n"/>
      <c r="AM462" s="15" t="n"/>
      <c r="AN462" s="15" t="n"/>
      <c r="AO462" s="15" t="n"/>
      <c r="AP462" s="10" t="n"/>
      <c r="AQ462" s="15">
        <f>IF($B462="","",IF(OR(ISERROR(MATCH($B462,Community_Master!$A$2:$A$100,0)),$A462="",AND($H462&lt;&gt;"",$I462&gt;$H462),AND($H462&lt;&gt;"",$J462&gt;$H462),$I462&lt;0,$J462&lt;0,$K462&lt;0,$P462&lt;0,$Q462&lt;0,$Y462&lt;0,$Z462&lt;0,$AA462&lt;0,$AB462&lt;0,$AC462&lt;0),"ERROR","OK"))</f>
        <v/>
      </c>
      <c r="AR462" s="15">
        <f>IF($B462="","",TRIM(IF(ISERROR(MATCH($B462,Community_Master!$A$2:$A$100,0)),"Invalid Community_ID; ","")&amp;IF($A462="","Missing Report_Month; ","")&amp;IF(AND($H462&lt;&gt;"",$I462&gt;$H462),"Occupied_Units greater than Total_Units; ","")&amp;IF(AND($H462&lt;&gt;"",$J462&gt;$H462),"Leased_Units greater than Total_Units; ","")&amp;IF($I462&lt;0,"Occupied_Units negative; ","")&amp;IF($J462&lt;0,"Leased_Units negative; ","")&amp;IF($P462&lt;0,"Avg_Market_Rent negative; ","")))</f>
        <v/>
      </c>
    </row>
    <row r="463" ht="15" customHeight="1">
      <c r="A463" s="5" t="n"/>
      <c r="B463" s="15" t="n"/>
      <c r="C463" s="15">
        <f>IFERROR(VLOOKUP($B463,Community_Master!$A$2:$K$100,2,FALSE),"")</f>
        <v/>
      </c>
      <c r="D463" s="15">
        <f>IFERROR(VLOOKUP($B463,Community_Master!$A$2:$K$100,4,FALSE),"")</f>
        <v/>
      </c>
      <c r="E463" s="15">
        <f>IFERROR(VLOOKUP($B463,Community_Master!$A$2:$K$100,5,FALSE),"")</f>
        <v/>
      </c>
      <c r="F463" s="15">
        <f>IFERROR(VLOOKUP($B463,Community_Master!$A$2:$K$100,6,FALSE),"")</f>
        <v/>
      </c>
      <c r="G463" s="15">
        <f>IFERROR(VLOOKUP($B463,Community_Master!$A$2:$K$100,8,FALSE),"")</f>
        <v/>
      </c>
      <c r="H463" s="15">
        <f>IFERROR(VLOOKUP($B463,Community_Master!$A$2:$K$100,7,FALSE),"")</f>
        <v/>
      </c>
      <c r="I463" s="15" t="n"/>
      <c r="J463" s="15" t="n"/>
      <c r="K463" s="15" t="n"/>
      <c r="L463" s="15">
        <f>IF($H463="","",MAX($H463-$I463,0))</f>
        <v/>
      </c>
      <c r="M463" s="6">
        <f>IF($H463="","",IFERROR($I463/$H463,""))</f>
        <v/>
      </c>
      <c r="N463" s="6">
        <f>IF($H463="","",IFERROR($J463/$H463,""))</f>
        <v/>
      </c>
      <c r="O463" s="6" t="n"/>
      <c r="P463" s="7" t="n"/>
      <c r="Q463" s="7" t="n"/>
      <c r="R463" s="7" t="n"/>
      <c r="S463" s="7" t="n"/>
      <c r="T463" s="7">
        <f>IF($H463="","",IFERROR($H463*$P463,""))</f>
        <v/>
      </c>
      <c r="U463" s="7" t="n"/>
      <c r="V463" s="7" t="n"/>
      <c r="W463" s="7" t="n"/>
      <c r="X463" s="7">
        <f>IF(OR($U463="",$W463=""),"",($U463+$V463)-$W463)</f>
        <v/>
      </c>
      <c r="Y463" s="8" t="n"/>
      <c r="Z463" s="8" t="n"/>
      <c r="AA463" s="8" t="n"/>
      <c r="AB463" s="8" t="n"/>
      <c r="AC463" s="8" t="n"/>
      <c r="AD463" s="8" t="n"/>
      <c r="AE463" s="8" t="n"/>
      <c r="AF463" s="8" t="n"/>
      <c r="AG463" s="8" t="n"/>
      <c r="AH463" s="8" t="n"/>
      <c r="AI463" s="9" t="n"/>
      <c r="AJ463" s="8" t="n"/>
      <c r="AK463" s="8" t="n"/>
      <c r="AL463" s="15" t="n"/>
      <c r="AM463" s="15" t="n"/>
      <c r="AN463" s="15" t="n"/>
      <c r="AO463" s="15" t="n"/>
      <c r="AP463" s="10" t="n"/>
      <c r="AQ463" s="15">
        <f>IF($B463="","",IF(OR(ISERROR(MATCH($B463,Community_Master!$A$2:$A$100,0)),$A463="",AND($H463&lt;&gt;"",$I463&gt;$H463),AND($H463&lt;&gt;"",$J463&gt;$H463),$I463&lt;0,$J463&lt;0,$K463&lt;0,$P463&lt;0,$Q463&lt;0,$Y463&lt;0,$Z463&lt;0,$AA463&lt;0,$AB463&lt;0,$AC463&lt;0),"ERROR","OK"))</f>
        <v/>
      </c>
      <c r="AR463" s="15">
        <f>IF($B463="","",TRIM(IF(ISERROR(MATCH($B463,Community_Master!$A$2:$A$100,0)),"Invalid Community_ID; ","")&amp;IF($A463="","Missing Report_Month; ","")&amp;IF(AND($H463&lt;&gt;"",$I463&gt;$H463),"Occupied_Units greater than Total_Units; ","")&amp;IF(AND($H463&lt;&gt;"",$J463&gt;$H463),"Leased_Units greater than Total_Units; ","")&amp;IF($I463&lt;0,"Occupied_Units negative; ","")&amp;IF($J463&lt;0,"Leased_Units negative; ","")&amp;IF($P463&lt;0,"Avg_Market_Rent negative; ","")))</f>
        <v/>
      </c>
    </row>
    <row r="464" ht="15" customHeight="1">
      <c r="A464" s="5" t="n"/>
      <c r="B464" s="15" t="n"/>
      <c r="C464" s="15">
        <f>IFERROR(VLOOKUP($B464,Community_Master!$A$2:$K$100,2,FALSE),"")</f>
        <v/>
      </c>
      <c r="D464" s="15">
        <f>IFERROR(VLOOKUP($B464,Community_Master!$A$2:$K$100,4,FALSE),"")</f>
        <v/>
      </c>
      <c r="E464" s="15">
        <f>IFERROR(VLOOKUP($B464,Community_Master!$A$2:$K$100,5,FALSE),"")</f>
        <v/>
      </c>
      <c r="F464" s="15">
        <f>IFERROR(VLOOKUP($B464,Community_Master!$A$2:$K$100,6,FALSE),"")</f>
        <v/>
      </c>
      <c r="G464" s="15">
        <f>IFERROR(VLOOKUP($B464,Community_Master!$A$2:$K$100,8,FALSE),"")</f>
        <v/>
      </c>
      <c r="H464" s="15">
        <f>IFERROR(VLOOKUP($B464,Community_Master!$A$2:$K$100,7,FALSE),"")</f>
        <v/>
      </c>
      <c r="I464" s="15" t="n"/>
      <c r="J464" s="15" t="n"/>
      <c r="K464" s="15" t="n"/>
      <c r="L464" s="15">
        <f>IF($H464="","",MAX($H464-$I464,0))</f>
        <v/>
      </c>
      <c r="M464" s="6">
        <f>IF($H464="","",IFERROR($I464/$H464,""))</f>
        <v/>
      </c>
      <c r="N464" s="6">
        <f>IF($H464="","",IFERROR($J464/$H464,""))</f>
        <v/>
      </c>
      <c r="O464" s="6" t="n"/>
      <c r="P464" s="7" t="n"/>
      <c r="Q464" s="7" t="n"/>
      <c r="R464" s="7" t="n"/>
      <c r="S464" s="7" t="n"/>
      <c r="T464" s="7">
        <f>IF($H464="","",IFERROR($H464*$P464,""))</f>
        <v/>
      </c>
      <c r="U464" s="7" t="n"/>
      <c r="V464" s="7" t="n"/>
      <c r="W464" s="7" t="n"/>
      <c r="X464" s="7">
        <f>IF(OR($U464="",$W464=""),"",($U464+$V464)-$W464)</f>
        <v/>
      </c>
      <c r="Y464" s="8" t="n"/>
      <c r="Z464" s="8" t="n"/>
      <c r="AA464" s="8" t="n"/>
      <c r="AB464" s="8" t="n"/>
      <c r="AC464" s="8" t="n"/>
      <c r="AD464" s="8" t="n"/>
      <c r="AE464" s="8" t="n"/>
      <c r="AF464" s="8" t="n"/>
      <c r="AG464" s="8" t="n"/>
      <c r="AH464" s="8" t="n"/>
      <c r="AI464" s="9" t="n"/>
      <c r="AJ464" s="8" t="n"/>
      <c r="AK464" s="8" t="n"/>
      <c r="AL464" s="15" t="n"/>
      <c r="AM464" s="15" t="n"/>
      <c r="AN464" s="15" t="n"/>
      <c r="AO464" s="15" t="n"/>
      <c r="AP464" s="10" t="n"/>
      <c r="AQ464" s="15">
        <f>IF($B464="","",IF(OR(ISERROR(MATCH($B464,Community_Master!$A$2:$A$100,0)),$A464="",AND($H464&lt;&gt;"",$I464&gt;$H464),AND($H464&lt;&gt;"",$J464&gt;$H464),$I464&lt;0,$J464&lt;0,$K464&lt;0,$P464&lt;0,$Q464&lt;0,$Y464&lt;0,$Z464&lt;0,$AA464&lt;0,$AB464&lt;0,$AC464&lt;0),"ERROR","OK"))</f>
        <v/>
      </c>
      <c r="AR464" s="15">
        <f>IF($B464="","",TRIM(IF(ISERROR(MATCH($B464,Community_Master!$A$2:$A$100,0)),"Invalid Community_ID; ","")&amp;IF($A464="","Missing Report_Month; ","")&amp;IF(AND($H464&lt;&gt;"",$I464&gt;$H464),"Occupied_Units greater than Total_Units; ","")&amp;IF(AND($H464&lt;&gt;"",$J464&gt;$H464),"Leased_Units greater than Total_Units; ","")&amp;IF($I464&lt;0,"Occupied_Units negative; ","")&amp;IF($J464&lt;0,"Leased_Units negative; ","")&amp;IF($P464&lt;0,"Avg_Market_Rent negative; ","")))</f>
        <v/>
      </c>
    </row>
    <row r="465" ht="15" customHeight="1">
      <c r="A465" s="5" t="n"/>
      <c r="B465" s="15" t="n"/>
      <c r="C465" s="15">
        <f>IFERROR(VLOOKUP($B465,Community_Master!$A$2:$K$100,2,FALSE),"")</f>
        <v/>
      </c>
      <c r="D465" s="15">
        <f>IFERROR(VLOOKUP($B465,Community_Master!$A$2:$K$100,4,FALSE),"")</f>
        <v/>
      </c>
      <c r="E465" s="15">
        <f>IFERROR(VLOOKUP($B465,Community_Master!$A$2:$K$100,5,FALSE),"")</f>
        <v/>
      </c>
      <c r="F465" s="15">
        <f>IFERROR(VLOOKUP($B465,Community_Master!$A$2:$K$100,6,FALSE),"")</f>
        <v/>
      </c>
      <c r="G465" s="15">
        <f>IFERROR(VLOOKUP($B465,Community_Master!$A$2:$K$100,8,FALSE),"")</f>
        <v/>
      </c>
      <c r="H465" s="15">
        <f>IFERROR(VLOOKUP($B465,Community_Master!$A$2:$K$100,7,FALSE),"")</f>
        <v/>
      </c>
      <c r="I465" s="15" t="n"/>
      <c r="J465" s="15" t="n"/>
      <c r="K465" s="15" t="n"/>
      <c r="L465" s="15">
        <f>IF($H465="","",MAX($H465-$I465,0))</f>
        <v/>
      </c>
      <c r="M465" s="6">
        <f>IF($H465="","",IFERROR($I465/$H465,""))</f>
        <v/>
      </c>
      <c r="N465" s="6">
        <f>IF($H465="","",IFERROR($J465/$H465,""))</f>
        <v/>
      </c>
      <c r="O465" s="6" t="n"/>
      <c r="P465" s="7" t="n"/>
      <c r="Q465" s="7" t="n"/>
      <c r="R465" s="7" t="n"/>
      <c r="S465" s="7" t="n"/>
      <c r="T465" s="7">
        <f>IF($H465="","",IFERROR($H465*$P465,""))</f>
        <v/>
      </c>
      <c r="U465" s="7" t="n"/>
      <c r="V465" s="7" t="n"/>
      <c r="W465" s="7" t="n"/>
      <c r="X465" s="7">
        <f>IF(OR($U465="",$W465=""),"",($U465+$V465)-$W465)</f>
        <v/>
      </c>
      <c r="Y465" s="8" t="n"/>
      <c r="Z465" s="8" t="n"/>
      <c r="AA465" s="8" t="n"/>
      <c r="AB465" s="8" t="n"/>
      <c r="AC465" s="8" t="n"/>
      <c r="AD465" s="8" t="n"/>
      <c r="AE465" s="8" t="n"/>
      <c r="AF465" s="8" t="n"/>
      <c r="AG465" s="8" t="n"/>
      <c r="AH465" s="8" t="n"/>
      <c r="AI465" s="9" t="n"/>
      <c r="AJ465" s="8" t="n"/>
      <c r="AK465" s="8" t="n"/>
      <c r="AL465" s="15" t="n"/>
      <c r="AM465" s="15" t="n"/>
      <c r="AN465" s="15" t="n"/>
      <c r="AO465" s="15" t="n"/>
      <c r="AP465" s="10" t="n"/>
      <c r="AQ465" s="15">
        <f>IF($B465="","",IF(OR(ISERROR(MATCH($B465,Community_Master!$A$2:$A$100,0)),$A465="",AND($H465&lt;&gt;"",$I465&gt;$H465),AND($H465&lt;&gt;"",$J465&gt;$H465),$I465&lt;0,$J465&lt;0,$K465&lt;0,$P465&lt;0,$Q465&lt;0,$Y465&lt;0,$Z465&lt;0,$AA465&lt;0,$AB465&lt;0,$AC465&lt;0),"ERROR","OK"))</f>
        <v/>
      </c>
      <c r="AR465" s="15">
        <f>IF($B465="","",TRIM(IF(ISERROR(MATCH($B465,Community_Master!$A$2:$A$100,0)),"Invalid Community_ID; ","")&amp;IF($A465="","Missing Report_Month; ","")&amp;IF(AND($H465&lt;&gt;"",$I465&gt;$H465),"Occupied_Units greater than Total_Units; ","")&amp;IF(AND($H465&lt;&gt;"",$J465&gt;$H465),"Leased_Units greater than Total_Units; ","")&amp;IF($I465&lt;0,"Occupied_Units negative; ","")&amp;IF($J465&lt;0,"Leased_Units negative; ","")&amp;IF($P465&lt;0,"Avg_Market_Rent negative; ","")))</f>
        <v/>
      </c>
    </row>
    <row r="466" ht="15" customHeight="1">
      <c r="A466" s="5" t="n"/>
      <c r="B466" s="15" t="n"/>
      <c r="C466" s="15">
        <f>IFERROR(VLOOKUP($B466,Community_Master!$A$2:$K$100,2,FALSE),"")</f>
        <v/>
      </c>
      <c r="D466" s="15">
        <f>IFERROR(VLOOKUP($B466,Community_Master!$A$2:$K$100,4,FALSE),"")</f>
        <v/>
      </c>
      <c r="E466" s="15">
        <f>IFERROR(VLOOKUP($B466,Community_Master!$A$2:$K$100,5,FALSE),"")</f>
        <v/>
      </c>
      <c r="F466" s="15">
        <f>IFERROR(VLOOKUP($B466,Community_Master!$A$2:$K$100,6,FALSE),"")</f>
        <v/>
      </c>
      <c r="G466" s="15">
        <f>IFERROR(VLOOKUP($B466,Community_Master!$A$2:$K$100,8,FALSE),"")</f>
        <v/>
      </c>
      <c r="H466" s="15">
        <f>IFERROR(VLOOKUP($B466,Community_Master!$A$2:$K$100,7,FALSE),"")</f>
        <v/>
      </c>
      <c r="I466" s="15" t="n"/>
      <c r="J466" s="15" t="n"/>
      <c r="K466" s="15" t="n"/>
      <c r="L466" s="15">
        <f>IF($H466="","",MAX($H466-$I466,0))</f>
        <v/>
      </c>
      <c r="M466" s="6">
        <f>IF($H466="","",IFERROR($I466/$H466,""))</f>
        <v/>
      </c>
      <c r="N466" s="6">
        <f>IF($H466="","",IFERROR($J466/$H466,""))</f>
        <v/>
      </c>
      <c r="O466" s="6" t="n"/>
      <c r="P466" s="7" t="n"/>
      <c r="Q466" s="7" t="n"/>
      <c r="R466" s="7" t="n"/>
      <c r="S466" s="7" t="n"/>
      <c r="T466" s="7">
        <f>IF($H466="","",IFERROR($H466*$P466,""))</f>
        <v/>
      </c>
      <c r="U466" s="7" t="n"/>
      <c r="V466" s="7" t="n"/>
      <c r="W466" s="7" t="n"/>
      <c r="X466" s="7">
        <f>IF(OR($U466="",$W466=""),"",($U466+$V466)-$W466)</f>
        <v/>
      </c>
      <c r="Y466" s="8" t="n"/>
      <c r="Z466" s="8" t="n"/>
      <c r="AA466" s="8" t="n"/>
      <c r="AB466" s="8" t="n"/>
      <c r="AC466" s="8" t="n"/>
      <c r="AD466" s="8" t="n"/>
      <c r="AE466" s="8" t="n"/>
      <c r="AF466" s="8" t="n"/>
      <c r="AG466" s="8" t="n"/>
      <c r="AH466" s="8" t="n"/>
      <c r="AI466" s="9" t="n"/>
      <c r="AJ466" s="8" t="n"/>
      <c r="AK466" s="8" t="n"/>
      <c r="AL466" s="15" t="n"/>
      <c r="AM466" s="15" t="n"/>
      <c r="AN466" s="15" t="n"/>
      <c r="AO466" s="15" t="n"/>
      <c r="AP466" s="10" t="n"/>
      <c r="AQ466" s="15">
        <f>IF($B466="","",IF(OR(ISERROR(MATCH($B466,Community_Master!$A$2:$A$100,0)),$A466="",AND($H466&lt;&gt;"",$I466&gt;$H466),AND($H466&lt;&gt;"",$J466&gt;$H466),$I466&lt;0,$J466&lt;0,$K466&lt;0,$P466&lt;0,$Q466&lt;0,$Y466&lt;0,$Z466&lt;0,$AA466&lt;0,$AB466&lt;0,$AC466&lt;0),"ERROR","OK"))</f>
        <v/>
      </c>
      <c r="AR466" s="15">
        <f>IF($B466="","",TRIM(IF(ISERROR(MATCH($B466,Community_Master!$A$2:$A$100,0)),"Invalid Community_ID; ","")&amp;IF($A466="","Missing Report_Month; ","")&amp;IF(AND($H466&lt;&gt;"",$I466&gt;$H466),"Occupied_Units greater than Total_Units; ","")&amp;IF(AND($H466&lt;&gt;"",$J466&gt;$H466),"Leased_Units greater than Total_Units; ","")&amp;IF($I466&lt;0,"Occupied_Units negative; ","")&amp;IF($J466&lt;0,"Leased_Units negative; ","")&amp;IF($P466&lt;0,"Avg_Market_Rent negative; ","")))</f>
        <v/>
      </c>
    </row>
    <row r="467" ht="15" customHeight="1">
      <c r="A467" s="5" t="n"/>
      <c r="B467" s="15" t="n"/>
      <c r="C467" s="15">
        <f>IFERROR(VLOOKUP($B467,Community_Master!$A$2:$K$100,2,FALSE),"")</f>
        <v/>
      </c>
      <c r="D467" s="15">
        <f>IFERROR(VLOOKUP($B467,Community_Master!$A$2:$K$100,4,FALSE),"")</f>
        <v/>
      </c>
      <c r="E467" s="15">
        <f>IFERROR(VLOOKUP($B467,Community_Master!$A$2:$K$100,5,FALSE),"")</f>
        <v/>
      </c>
      <c r="F467" s="15">
        <f>IFERROR(VLOOKUP($B467,Community_Master!$A$2:$K$100,6,FALSE),"")</f>
        <v/>
      </c>
      <c r="G467" s="15">
        <f>IFERROR(VLOOKUP($B467,Community_Master!$A$2:$K$100,8,FALSE),"")</f>
        <v/>
      </c>
      <c r="H467" s="15">
        <f>IFERROR(VLOOKUP($B467,Community_Master!$A$2:$K$100,7,FALSE),"")</f>
        <v/>
      </c>
      <c r="I467" s="15" t="n"/>
      <c r="J467" s="15" t="n"/>
      <c r="K467" s="15" t="n"/>
      <c r="L467" s="15">
        <f>IF($H467="","",MAX($H467-$I467,0))</f>
        <v/>
      </c>
      <c r="M467" s="6">
        <f>IF($H467="","",IFERROR($I467/$H467,""))</f>
        <v/>
      </c>
      <c r="N467" s="6">
        <f>IF($H467="","",IFERROR($J467/$H467,""))</f>
        <v/>
      </c>
      <c r="O467" s="6" t="n"/>
      <c r="P467" s="7" t="n"/>
      <c r="Q467" s="7" t="n"/>
      <c r="R467" s="7" t="n"/>
      <c r="S467" s="7" t="n"/>
      <c r="T467" s="7">
        <f>IF($H467="","",IFERROR($H467*$P467,""))</f>
        <v/>
      </c>
      <c r="U467" s="7" t="n"/>
      <c r="V467" s="7" t="n"/>
      <c r="W467" s="7" t="n"/>
      <c r="X467" s="7">
        <f>IF(OR($U467="",$W467=""),"",($U467+$V467)-$W467)</f>
        <v/>
      </c>
      <c r="Y467" s="8" t="n"/>
      <c r="Z467" s="8" t="n"/>
      <c r="AA467" s="8" t="n"/>
      <c r="AB467" s="8" t="n"/>
      <c r="AC467" s="8" t="n"/>
      <c r="AD467" s="8" t="n"/>
      <c r="AE467" s="8" t="n"/>
      <c r="AF467" s="8" t="n"/>
      <c r="AG467" s="8" t="n"/>
      <c r="AH467" s="8" t="n"/>
      <c r="AI467" s="9" t="n"/>
      <c r="AJ467" s="8" t="n"/>
      <c r="AK467" s="8" t="n"/>
      <c r="AL467" s="15" t="n"/>
      <c r="AM467" s="15" t="n"/>
      <c r="AN467" s="15" t="n"/>
      <c r="AO467" s="15" t="n"/>
      <c r="AP467" s="10" t="n"/>
      <c r="AQ467" s="15">
        <f>IF($B467="","",IF(OR(ISERROR(MATCH($B467,Community_Master!$A$2:$A$100,0)),$A467="",AND($H467&lt;&gt;"",$I467&gt;$H467),AND($H467&lt;&gt;"",$J467&gt;$H467),$I467&lt;0,$J467&lt;0,$K467&lt;0,$P467&lt;0,$Q467&lt;0,$Y467&lt;0,$Z467&lt;0,$AA467&lt;0,$AB467&lt;0,$AC467&lt;0),"ERROR","OK"))</f>
        <v/>
      </c>
      <c r="AR467" s="15">
        <f>IF($B467="","",TRIM(IF(ISERROR(MATCH($B467,Community_Master!$A$2:$A$100,0)),"Invalid Community_ID; ","")&amp;IF($A467="","Missing Report_Month; ","")&amp;IF(AND($H467&lt;&gt;"",$I467&gt;$H467),"Occupied_Units greater than Total_Units; ","")&amp;IF(AND($H467&lt;&gt;"",$J467&gt;$H467),"Leased_Units greater than Total_Units; ","")&amp;IF($I467&lt;0,"Occupied_Units negative; ","")&amp;IF($J467&lt;0,"Leased_Units negative; ","")&amp;IF($P467&lt;0,"Avg_Market_Rent negative; ","")))</f>
        <v/>
      </c>
    </row>
    <row r="468" ht="15" customHeight="1">
      <c r="A468" s="5" t="n"/>
      <c r="B468" s="15" t="n"/>
      <c r="C468" s="15">
        <f>IFERROR(VLOOKUP($B468,Community_Master!$A$2:$K$100,2,FALSE),"")</f>
        <v/>
      </c>
      <c r="D468" s="15">
        <f>IFERROR(VLOOKUP($B468,Community_Master!$A$2:$K$100,4,FALSE),"")</f>
        <v/>
      </c>
      <c r="E468" s="15">
        <f>IFERROR(VLOOKUP($B468,Community_Master!$A$2:$K$100,5,FALSE),"")</f>
        <v/>
      </c>
      <c r="F468" s="15">
        <f>IFERROR(VLOOKUP($B468,Community_Master!$A$2:$K$100,6,FALSE),"")</f>
        <v/>
      </c>
      <c r="G468" s="15">
        <f>IFERROR(VLOOKUP($B468,Community_Master!$A$2:$K$100,8,FALSE),"")</f>
        <v/>
      </c>
      <c r="H468" s="15">
        <f>IFERROR(VLOOKUP($B468,Community_Master!$A$2:$K$100,7,FALSE),"")</f>
        <v/>
      </c>
      <c r="I468" s="15" t="n"/>
      <c r="J468" s="15" t="n"/>
      <c r="K468" s="15" t="n"/>
      <c r="L468" s="15">
        <f>IF($H468="","",MAX($H468-$I468,0))</f>
        <v/>
      </c>
      <c r="M468" s="6">
        <f>IF($H468="","",IFERROR($I468/$H468,""))</f>
        <v/>
      </c>
      <c r="N468" s="6">
        <f>IF($H468="","",IFERROR($J468/$H468,""))</f>
        <v/>
      </c>
      <c r="O468" s="6" t="n"/>
      <c r="P468" s="7" t="n"/>
      <c r="Q468" s="7" t="n"/>
      <c r="R468" s="7" t="n"/>
      <c r="S468" s="7" t="n"/>
      <c r="T468" s="7">
        <f>IF($H468="","",IFERROR($H468*$P468,""))</f>
        <v/>
      </c>
      <c r="U468" s="7" t="n"/>
      <c r="V468" s="7" t="n"/>
      <c r="W468" s="7" t="n"/>
      <c r="X468" s="7">
        <f>IF(OR($U468="",$W468=""),"",($U468+$V468)-$W468)</f>
        <v/>
      </c>
      <c r="Y468" s="8" t="n"/>
      <c r="Z468" s="8" t="n"/>
      <c r="AA468" s="8" t="n"/>
      <c r="AB468" s="8" t="n"/>
      <c r="AC468" s="8" t="n"/>
      <c r="AD468" s="8" t="n"/>
      <c r="AE468" s="8" t="n"/>
      <c r="AF468" s="8" t="n"/>
      <c r="AG468" s="8" t="n"/>
      <c r="AH468" s="8" t="n"/>
      <c r="AI468" s="9" t="n"/>
      <c r="AJ468" s="8" t="n"/>
      <c r="AK468" s="8" t="n"/>
      <c r="AL468" s="15" t="n"/>
      <c r="AM468" s="15" t="n"/>
      <c r="AN468" s="15" t="n"/>
      <c r="AO468" s="15" t="n"/>
      <c r="AP468" s="10" t="n"/>
      <c r="AQ468" s="15">
        <f>IF($B468="","",IF(OR(ISERROR(MATCH($B468,Community_Master!$A$2:$A$100,0)),$A468="",AND($H468&lt;&gt;"",$I468&gt;$H468),AND($H468&lt;&gt;"",$J468&gt;$H468),$I468&lt;0,$J468&lt;0,$K468&lt;0,$P468&lt;0,$Q468&lt;0,$Y468&lt;0,$Z468&lt;0,$AA468&lt;0,$AB468&lt;0,$AC468&lt;0),"ERROR","OK"))</f>
        <v/>
      </c>
      <c r="AR468" s="15">
        <f>IF($B468="","",TRIM(IF(ISERROR(MATCH($B468,Community_Master!$A$2:$A$100,0)),"Invalid Community_ID; ","")&amp;IF($A468="","Missing Report_Month; ","")&amp;IF(AND($H468&lt;&gt;"",$I468&gt;$H468),"Occupied_Units greater than Total_Units; ","")&amp;IF(AND($H468&lt;&gt;"",$J468&gt;$H468),"Leased_Units greater than Total_Units; ","")&amp;IF($I468&lt;0,"Occupied_Units negative; ","")&amp;IF($J468&lt;0,"Leased_Units negative; ","")&amp;IF($P468&lt;0,"Avg_Market_Rent negative; ","")))</f>
        <v/>
      </c>
    </row>
    <row r="469" ht="15" customHeight="1">
      <c r="A469" s="5" t="n"/>
      <c r="B469" s="15" t="n"/>
      <c r="C469" s="15">
        <f>IFERROR(VLOOKUP($B469,Community_Master!$A$2:$K$100,2,FALSE),"")</f>
        <v/>
      </c>
      <c r="D469" s="15">
        <f>IFERROR(VLOOKUP($B469,Community_Master!$A$2:$K$100,4,FALSE),"")</f>
        <v/>
      </c>
      <c r="E469" s="15">
        <f>IFERROR(VLOOKUP($B469,Community_Master!$A$2:$K$100,5,FALSE),"")</f>
        <v/>
      </c>
      <c r="F469" s="15">
        <f>IFERROR(VLOOKUP($B469,Community_Master!$A$2:$K$100,6,FALSE),"")</f>
        <v/>
      </c>
      <c r="G469" s="15">
        <f>IFERROR(VLOOKUP($B469,Community_Master!$A$2:$K$100,8,FALSE),"")</f>
        <v/>
      </c>
      <c r="H469" s="15">
        <f>IFERROR(VLOOKUP($B469,Community_Master!$A$2:$K$100,7,FALSE),"")</f>
        <v/>
      </c>
      <c r="I469" s="15" t="n"/>
      <c r="J469" s="15" t="n"/>
      <c r="K469" s="15" t="n"/>
      <c r="L469" s="15">
        <f>IF($H469="","",MAX($H469-$I469,0))</f>
        <v/>
      </c>
      <c r="M469" s="6">
        <f>IF($H469="","",IFERROR($I469/$H469,""))</f>
        <v/>
      </c>
      <c r="N469" s="6">
        <f>IF($H469="","",IFERROR($J469/$H469,""))</f>
        <v/>
      </c>
      <c r="O469" s="6" t="n"/>
      <c r="P469" s="7" t="n"/>
      <c r="Q469" s="7" t="n"/>
      <c r="R469" s="7" t="n"/>
      <c r="S469" s="7" t="n"/>
      <c r="T469" s="7">
        <f>IF($H469="","",IFERROR($H469*$P469,""))</f>
        <v/>
      </c>
      <c r="U469" s="7" t="n"/>
      <c r="V469" s="7" t="n"/>
      <c r="W469" s="7" t="n"/>
      <c r="X469" s="7">
        <f>IF(OR($U469="",$W469=""),"",($U469+$V469)-$W469)</f>
        <v/>
      </c>
      <c r="Y469" s="8" t="n"/>
      <c r="Z469" s="8" t="n"/>
      <c r="AA469" s="8" t="n"/>
      <c r="AB469" s="8" t="n"/>
      <c r="AC469" s="8" t="n"/>
      <c r="AD469" s="8" t="n"/>
      <c r="AE469" s="8" t="n"/>
      <c r="AF469" s="8" t="n"/>
      <c r="AG469" s="8" t="n"/>
      <c r="AH469" s="8" t="n"/>
      <c r="AI469" s="9" t="n"/>
      <c r="AJ469" s="8" t="n"/>
      <c r="AK469" s="8" t="n"/>
      <c r="AL469" s="15" t="n"/>
      <c r="AM469" s="15" t="n"/>
      <c r="AN469" s="15" t="n"/>
      <c r="AO469" s="15" t="n"/>
      <c r="AP469" s="10" t="n"/>
      <c r="AQ469" s="15">
        <f>IF($B469="","",IF(OR(ISERROR(MATCH($B469,Community_Master!$A$2:$A$100,0)),$A469="",AND($H469&lt;&gt;"",$I469&gt;$H469),AND($H469&lt;&gt;"",$J469&gt;$H469),$I469&lt;0,$J469&lt;0,$K469&lt;0,$P469&lt;0,$Q469&lt;0,$Y469&lt;0,$Z469&lt;0,$AA469&lt;0,$AB469&lt;0,$AC469&lt;0),"ERROR","OK"))</f>
        <v/>
      </c>
      <c r="AR469" s="15">
        <f>IF($B469="","",TRIM(IF(ISERROR(MATCH($B469,Community_Master!$A$2:$A$100,0)),"Invalid Community_ID; ","")&amp;IF($A469="","Missing Report_Month; ","")&amp;IF(AND($H469&lt;&gt;"",$I469&gt;$H469),"Occupied_Units greater than Total_Units; ","")&amp;IF(AND($H469&lt;&gt;"",$J469&gt;$H469),"Leased_Units greater than Total_Units; ","")&amp;IF($I469&lt;0,"Occupied_Units negative; ","")&amp;IF($J469&lt;0,"Leased_Units negative; ","")&amp;IF($P469&lt;0,"Avg_Market_Rent negative; ","")))</f>
        <v/>
      </c>
    </row>
    <row r="470" ht="15" customHeight="1">
      <c r="A470" s="5" t="n"/>
      <c r="B470" s="15" t="n"/>
      <c r="C470" s="15">
        <f>IFERROR(VLOOKUP($B470,Community_Master!$A$2:$K$100,2,FALSE),"")</f>
        <v/>
      </c>
      <c r="D470" s="15">
        <f>IFERROR(VLOOKUP($B470,Community_Master!$A$2:$K$100,4,FALSE),"")</f>
        <v/>
      </c>
      <c r="E470" s="15">
        <f>IFERROR(VLOOKUP($B470,Community_Master!$A$2:$K$100,5,FALSE),"")</f>
        <v/>
      </c>
      <c r="F470" s="15">
        <f>IFERROR(VLOOKUP($B470,Community_Master!$A$2:$K$100,6,FALSE),"")</f>
        <v/>
      </c>
      <c r="G470" s="15">
        <f>IFERROR(VLOOKUP($B470,Community_Master!$A$2:$K$100,8,FALSE),"")</f>
        <v/>
      </c>
      <c r="H470" s="15">
        <f>IFERROR(VLOOKUP($B470,Community_Master!$A$2:$K$100,7,FALSE),"")</f>
        <v/>
      </c>
      <c r="I470" s="15" t="n"/>
      <c r="J470" s="15" t="n"/>
      <c r="K470" s="15" t="n"/>
      <c r="L470" s="15">
        <f>IF($H470="","",MAX($H470-$I470,0))</f>
        <v/>
      </c>
      <c r="M470" s="6">
        <f>IF($H470="","",IFERROR($I470/$H470,""))</f>
        <v/>
      </c>
      <c r="N470" s="6">
        <f>IF($H470="","",IFERROR($J470/$H470,""))</f>
        <v/>
      </c>
      <c r="O470" s="6" t="n"/>
      <c r="P470" s="7" t="n"/>
      <c r="Q470" s="7" t="n"/>
      <c r="R470" s="7" t="n"/>
      <c r="S470" s="7" t="n"/>
      <c r="T470" s="7">
        <f>IF($H470="","",IFERROR($H470*$P470,""))</f>
        <v/>
      </c>
      <c r="U470" s="7" t="n"/>
      <c r="V470" s="7" t="n"/>
      <c r="W470" s="7" t="n"/>
      <c r="X470" s="7">
        <f>IF(OR($U470="",$W470=""),"",($U470+$V470)-$W470)</f>
        <v/>
      </c>
      <c r="Y470" s="8" t="n"/>
      <c r="Z470" s="8" t="n"/>
      <c r="AA470" s="8" t="n"/>
      <c r="AB470" s="8" t="n"/>
      <c r="AC470" s="8" t="n"/>
      <c r="AD470" s="8" t="n"/>
      <c r="AE470" s="8" t="n"/>
      <c r="AF470" s="8" t="n"/>
      <c r="AG470" s="8" t="n"/>
      <c r="AH470" s="8" t="n"/>
      <c r="AI470" s="9" t="n"/>
      <c r="AJ470" s="8" t="n"/>
      <c r="AK470" s="8" t="n"/>
      <c r="AL470" s="15" t="n"/>
      <c r="AM470" s="15" t="n"/>
      <c r="AN470" s="15" t="n"/>
      <c r="AO470" s="15" t="n"/>
      <c r="AP470" s="10" t="n"/>
      <c r="AQ470" s="15">
        <f>IF($B470="","",IF(OR(ISERROR(MATCH($B470,Community_Master!$A$2:$A$100,0)),$A470="",AND($H470&lt;&gt;"",$I470&gt;$H470),AND($H470&lt;&gt;"",$J470&gt;$H470),$I470&lt;0,$J470&lt;0,$K470&lt;0,$P470&lt;0,$Q470&lt;0,$Y470&lt;0,$Z470&lt;0,$AA470&lt;0,$AB470&lt;0,$AC470&lt;0),"ERROR","OK"))</f>
        <v/>
      </c>
      <c r="AR470" s="15">
        <f>IF($B470="","",TRIM(IF(ISERROR(MATCH($B470,Community_Master!$A$2:$A$100,0)),"Invalid Community_ID; ","")&amp;IF($A470="","Missing Report_Month; ","")&amp;IF(AND($H470&lt;&gt;"",$I470&gt;$H470),"Occupied_Units greater than Total_Units; ","")&amp;IF(AND($H470&lt;&gt;"",$J470&gt;$H470),"Leased_Units greater than Total_Units; ","")&amp;IF($I470&lt;0,"Occupied_Units negative; ","")&amp;IF($J470&lt;0,"Leased_Units negative; ","")&amp;IF($P470&lt;0,"Avg_Market_Rent negative; ","")))</f>
        <v/>
      </c>
    </row>
    <row r="471" ht="15" customHeight="1">
      <c r="A471" s="5" t="n"/>
      <c r="B471" s="15" t="n"/>
      <c r="C471" s="15">
        <f>IFERROR(VLOOKUP($B471,Community_Master!$A$2:$K$100,2,FALSE),"")</f>
        <v/>
      </c>
      <c r="D471" s="15">
        <f>IFERROR(VLOOKUP($B471,Community_Master!$A$2:$K$100,4,FALSE),"")</f>
        <v/>
      </c>
      <c r="E471" s="15">
        <f>IFERROR(VLOOKUP($B471,Community_Master!$A$2:$K$100,5,FALSE),"")</f>
        <v/>
      </c>
      <c r="F471" s="15">
        <f>IFERROR(VLOOKUP($B471,Community_Master!$A$2:$K$100,6,FALSE),"")</f>
        <v/>
      </c>
      <c r="G471" s="15">
        <f>IFERROR(VLOOKUP($B471,Community_Master!$A$2:$K$100,8,FALSE),"")</f>
        <v/>
      </c>
      <c r="H471" s="15">
        <f>IFERROR(VLOOKUP($B471,Community_Master!$A$2:$K$100,7,FALSE),"")</f>
        <v/>
      </c>
      <c r="I471" s="15" t="n"/>
      <c r="J471" s="15" t="n"/>
      <c r="K471" s="15" t="n"/>
      <c r="L471" s="15">
        <f>IF($H471="","",MAX($H471-$I471,0))</f>
        <v/>
      </c>
      <c r="M471" s="6">
        <f>IF($H471="","",IFERROR($I471/$H471,""))</f>
        <v/>
      </c>
      <c r="N471" s="6">
        <f>IF($H471="","",IFERROR($J471/$H471,""))</f>
        <v/>
      </c>
      <c r="O471" s="6" t="n"/>
      <c r="P471" s="7" t="n"/>
      <c r="Q471" s="7" t="n"/>
      <c r="R471" s="7" t="n"/>
      <c r="S471" s="7" t="n"/>
      <c r="T471" s="7">
        <f>IF($H471="","",IFERROR($H471*$P471,""))</f>
        <v/>
      </c>
      <c r="U471" s="7" t="n"/>
      <c r="V471" s="7" t="n"/>
      <c r="W471" s="7" t="n"/>
      <c r="X471" s="7">
        <f>IF(OR($U471="",$W471=""),"",($U471+$V471)-$W471)</f>
        <v/>
      </c>
      <c r="Y471" s="8" t="n"/>
      <c r="Z471" s="8" t="n"/>
      <c r="AA471" s="8" t="n"/>
      <c r="AB471" s="8" t="n"/>
      <c r="AC471" s="8" t="n"/>
      <c r="AD471" s="8" t="n"/>
      <c r="AE471" s="8" t="n"/>
      <c r="AF471" s="8" t="n"/>
      <c r="AG471" s="8" t="n"/>
      <c r="AH471" s="8" t="n"/>
      <c r="AI471" s="9" t="n"/>
      <c r="AJ471" s="8" t="n"/>
      <c r="AK471" s="8" t="n"/>
      <c r="AL471" s="15" t="n"/>
      <c r="AM471" s="15" t="n"/>
      <c r="AN471" s="15" t="n"/>
      <c r="AO471" s="15" t="n"/>
      <c r="AP471" s="10" t="n"/>
      <c r="AQ471" s="15">
        <f>IF($B471="","",IF(OR(ISERROR(MATCH($B471,Community_Master!$A$2:$A$100,0)),$A471="",AND($H471&lt;&gt;"",$I471&gt;$H471),AND($H471&lt;&gt;"",$J471&gt;$H471),$I471&lt;0,$J471&lt;0,$K471&lt;0,$P471&lt;0,$Q471&lt;0,$Y471&lt;0,$Z471&lt;0,$AA471&lt;0,$AB471&lt;0,$AC471&lt;0),"ERROR","OK"))</f>
        <v/>
      </c>
      <c r="AR471" s="15">
        <f>IF($B471="","",TRIM(IF(ISERROR(MATCH($B471,Community_Master!$A$2:$A$100,0)),"Invalid Community_ID; ","")&amp;IF($A471="","Missing Report_Month; ","")&amp;IF(AND($H471&lt;&gt;"",$I471&gt;$H471),"Occupied_Units greater than Total_Units; ","")&amp;IF(AND($H471&lt;&gt;"",$J471&gt;$H471),"Leased_Units greater than Total_Units; ","")&amp;IF($I471&lt;0,"Occupied_Units negative; ","")&amp;IF($J471&lt;0,"Leased_Units negative; ","")&amp;IF($P471&lt;0,"Avg_Market_Rent negative; ","")))</f>
        <v/>
      </c>
    </row>
    <row r="472" ht="15" customHeight="1">
      <c r="A472" s="5" t="n"/>
      <c r="B472" s="15" t="n"/>
      <c r="C472" s="15">
        <f>IFERROR(VLOOKUP($B472,Community_Master!$A$2:$K$100,2,FALSE),"")</f>
        <v/>
      </c>
      <c r="D472" s="15">
        <f>IFERROR(VLOOKUP($B472,Community_Master!$A$2:$K$100,4,FALSE),"")</f>
        <v/>
      </c>
      <c r="E472" s="15">
        <f>IFERROR(VLOOKUP($B472,Community_Master!$A$2:$K$100,5,FALSE),"")</f>
        <v/>
      </c>
      <c r="F472" s="15">
        <f>IFERROR(VLOOKUP($B472,Community_Master!$A$2:$K$100,6,FALSE),"")</f>
        <v/>
      </c>
      <c r="G472" s="15">
        <f>IFERROR(VLOOKUP($B472,Community_Master!$A$2:$K$100,8,FALSE),"")</f>
        <v/>
      </c>
      <c r="H472" s="15">
        <f>IFERROR(VLOOKUP($B472,Community_Master!$A$2:$K$100,7,FALSE),"")</f>
        <v/>
      </c>
      <c r="I472" s="15" t="n"/>
      <c r="J472" s="15" t="n"/>
      <c r="K472" s="15" t="n"/>
      <c r="L472" s="15">
        <f>IF($H472="","",MAX($H472-$I472,0))</f>
        <v/>
      </c>
      <c r="M472" s="6">
        <f>IF($H472="","",IFERROR($I472/$H472,""))</f>
        <v/>
      </c>
      <c r="N472" s="6">
        <f>IF($H472="","",IFERROR($J472/$H472,""))</f>
        <v/>
      </c>
      <c r="O472" s="6" t="n"/>
      <c r="P472" s="7" t="n"/>
      <c r="Q472" s="7" t="n"/>
      <c r="R472" s="7" t="n"/>
      <c r="S472" s="7" t="n"/>
      <c r="T472" s="7">
        <f>IF($H472="","",IFERROR($H472*$P472,""))</f>
        <v/>
      </c>
      <c r="U472" s="7" t="n"/>
      <c r="V472" s="7" t="n"/>
      <c r="W472" s="7" t="n"/>
      <c r="X472" s="7">
        <f>IF(OR($U472="",$W472=""),"",($U472+$V472)-$W472)</f>
        <v/>
      </c>
      <c r="Y472" s="8" t="n"/>
      <c r="Z472" s="8" t="n"/>
      <c r="AA472" s="8" t="n"/>
      <c r="AB472" s="8" t="n"/>
      <c r="AC472" s="8" t="n"/>
      <c r="AD472" s="8" t="n"/>
      <c r="AE472" s="8" t="n"/>
      <c r="AF472" s="8" t="n"/>
      <c r="AG472" s="8" t="n"/>
      <c r="AH472" s="8" t="n"/>
      <c r="AI472" s="9" t="n"/>
      <c r="AJ472" s="8" t="n"/>
      <c r="AK472" s="8" t="n"/>
      <c r="AL472" s="15" t="n"/>
      <c r="AM472" s="15" t="n"/>
      <c r="AN472" s="15" t="n"/>
      <c r="AO472" s="15" t="n"/>
      <c r="AP472" s="10" t="n"/>
      <c r="AQ472" s="15">
        <f>IF($B472="","",IF(OR(ISERROR(MATCH($B472,Community_Master!$A$2:$A$100,0)),$A472="",AND($H472&lt;&gt;"",$I472&gt;$H472),AND($H472&lt;&gt;"",$J472&gt;$H472),$I472&lt;0,$J472&lt;0,$K472&lt;0,$P472&lt;0,$Q472&lt;0,$Y472&lt;0,$Z472&lt;0,$AA472&lt;0,$AB472&lt;0,$AC472&lt;0),"ERROR","OK"))</f>
        <v/>
      </c>
      <c r="AR472" s="15">
        <f>IF($B472="","",TRIM(IF(ISERROR(MATCH($B472,Community_Master!$A$2:$A$100,0)),"Invalid Community_ID; ","")&amp;IF($A472="","Missing Report_Month; ","")&amp;IF(AND($H472&lt;&gt;"",$I472&gt;$H472),"Occupied_Units greater than Total_Units; ","")&amp;IF(AND($H472&lt;&gt;"",$J472&gt;$H472),"Leased_Units greater than Total_Units; ","")&amp;IF($I472&lt;0,"Occupied_Units negative; ","")&amp;IF($J472&lt;0,"Leased_Units negative; ","")&amp;IF($P472&lt;0,"Avg_Market_Rent negative; ","")))</f>
        <v/>
      </c>
    </row>
    <row r="473" ht="15" customHeight="1">
      <c r="A473" s="5" t="n"/>
      <c r="B473" s="15" t="n"/>
      <c r="C473" s="15">
        <f>IFERROR(VLOOKUP($B473,Community_Master!$A$2:$K$100,2,FALSE),"")</f>
        <v/>
      </c>
      <c r="D473" s="15">
        <f>IFERROR(VLOOKUP($B473,Community_Master!$A$2:$K$100,4,FALSE),"")</f>
        <v/>
      </c>
      <c r="E473" s="15">
        <f>IFERROR(VLOOKUP($B473,Community_Master!$A$2:$K$100,5,FALSE),"")</f>
        <v/>
      </c>
      <c r="F473" s="15">
        <f>IFERROR(VLOOKUP($B473,Community_Master!$A$2:$K$100,6,FALSE),"")</f>
        <v/>
      </c>
      <c r="G473" s="15">
        <f>IFERROR(VLOOKUP($B473,Community_Master!$A$2:$K$100,8,FALSE),"")</f>
        <v/>
      </c>
      <c r="H473" s="15">
        <f>IFERROR(VLOOKUP($B473,Community_Master!$A$2:$K$100,7,FALSE),"")</f>
        <v/>
      </c>
      <c r="I473" s="15" t="n"/>
      <c r="J473" s="15" t="n"/>
      <c r="K473" s="15" t="n"/>
      <c r="L473" s="15">
        <f>IF($H473="","",MAX($H473-$I473,0))</f>
        <v/>
      </c>
      <c r="M473" s="6">
        <f>IF($H473="","",IFERROR($I473/$H473,""))</f>
        <v/>
      </c>
      <c r="N473" s="6">
        <f>IF($H473="","",IFERROR($J473/$H473,""))</f>
        <v/>
      </c>
      <c r="O473" s="6" t="n"/>
      <c r="P473" s="7" t="n"/>
      <c r="Q473" s="7" t="n"/>
      <c r="R473" s="7" t="n"/>
      <c r="S473" s="7" t="n"/>
      <c r="T473" s="7">
        <f>IF($H473="","",IFERROR($H473*$P473,""))</f>
        <v/>
      </c>
      <c r="U473" s="7" t="n"/>
      <c r="V473" s="7" t="n"/>
      <c r="W473" s="7" t="n"/>
      <c r="X473" s="7">
        <f>IF(OR($U473="",$W473=""),"",($U473+$V473)-$W473)</f>
        <v/>
      </c>
      <c r="Y473" s="8" t="n"/>
      <c r="Z473" s="8" t="n"/>
      <c r="AA473" s="8" t="n"/>
      <c r="AB473" s="8" t="n"/>
      <c r="AC473" s="8" t="n"/>
      <c r="AD473" s="8" t="n"/>
      <c r="AE473" s="8" t="n"/>
      <c r="AF473" s="8" t="n"/>
      <c r="AG473" s="8" t="n"/>
      <c r="AH473" s="8" t="n"/>
      <c r="AI473" s="9" t="n"/>
      <c r="AJ473" s="8" t="n"/>
      <c r="AK473" s="8" t="n"/>
      <c r="AL473" s="15" t="n"/>
      <c r="AM473" s="15" t="n"/>
      <c r="AN473" s="15" t="n"/>
      <c r="AO473" s="15" t="n"/>
      <c r="AP473" s="10" t="n"/>
      <c r="AQ473" s="15">
        <f>IF($B473="","",IF(OR(ISERROR(MATCH($B473,Community_Master!$A$2:$A$100,0)),$A473="",AND($H473&lt;&gt;"",$I473&gt;$H473),AND($H473&lt;&gt;"",$J473&gt;$H473),$I473&lt;0,$J473&lt;0,$K473&lt;0,$P473&lt;0,$Q473&lt;0,$Y473&lt;0,$Z473&lt;0,$AA473&lt;0,$AB473&lt;0,$AC473&lt;0),"ERROR","OK"))</f>
        <v/>
      </c>
      <c r="AR473" s="15">
        <f>IF($B473="","",TRIM(IF(ISERROR(MATCH($B473,Community_Master!$A$2:$A$100,0)),"Invalid Community_ID; ","")&amp;IF($A473="","Missing Report_Month; ","")&amp;IF(AND($H473&lt;&gt;"",$I473&gt;$H473),"Occupied_Units greater than Total_Units; ","")&amp;IF(AND($H473&lt;&gt;"",$J473&gt;$H473),"Leased_Units greater than Total_Units; ","")&amp;IF($I473&lt;0,"Occupied_Units negative; ","")&amp;IF($J473&lt;0,"Leased_Units negative; ","")&amp;IF($P473&lt;0,"Avg_Market_Rent negative; ","")))</f>
        <v/>
      </c>
    </row>
    <row r="474" ht="15" customHeight="1">
      <c r="A474" s="5" t="n"/>
      <c r="B474" s="15" t="n"/>
      <c r="C474" s="15">
        <f>IFERROR(VLOOKUP($B474,Community_Master!$A$2:$K$100,2,FALSE),"")</f>
        <v/>
      </c>
      <c r="D474" s="15">
        <f>IFERROR(VLOOKUP($B474,Community_Master!$A$2:$K$100,4,FALSE),"")</f>
        <v/>
      </c>
      <c r="E474" s="15">
        <f>IFERROR(VLOOKUP($B474,Community_Master!$A$2:$K$100,5,FALSE),"")</f>
        <v/>
      </c>
      <c r="F474" s="15">
        <f>IFERROR(VLOOKUP($B474,Community_Master!$A$2:$K$100,6,FALSE),"")</f>
        <v/>
      </c>
      <c r="G474" s="15">
        <f>IFERROR(VLOOKUP($B474,Community_Master!$A$2:$K$100,8,FALSE),"")</f>
        <v/>
      </c>
      <c r="H474" s="15">
        <f>IFERROR(VLOOKUP($B474,Community_Master!$A$2:$K$100,7,FALSE),"")</f>
        <v/>
      </c>
      <c r="I474" s="15" t="n"/>
      <c r="J474" s="15" t="n"/>
      <c r="K474" s="15" t="n"/>
      <c r="L474" s="15">
        <f>IF($H474="","",MAX($H474-$I474,0))</f>
        <v/>
      </c>
      <c r="M474" s="6">
        <f>IF($H474="","",IFERROR($I474/$H474,""))</f>
        <v/>
      </c>
      <c r="N474" s="6">
        <f>IF($H474="","",IFERROR($J474/$H474,""))</f>
        <v/>
      </c>
      <c r="O474" s="6" t="n"/>
      <c r="P474" s="7" t="n"/>
      <c r="Q474" s="7" t="n"/>
      <c r="R474" s="7" t="n"/>
      <c r="S474" s="7" t="n"/>
      <c r="T474" s="7">
        <f>IF($H474="","",IFERROR($H474*$P474,""))</f>
        <v/>
      </c>
      <c r="U474" s="7" t="n"/>
      <c r="V474" s="7" t="n"/>
      <c r="W474" s="7" t="n"/>
      <c r="X474" s="7">
        <f>IF(OR($U474="",$W474=""),"",($U474+$V474)-$W474)</f>
        <v/>
      </c>
      <c r="Y474" s="8" t="n"/>
      <c r="Z474" s="8" t="n"/>
      <c r="AA474" s="8" t="n"/>
      <c r="AB474" s="8" t="n"/>
      <c r="AC474" s="8" t="n"/>
      <c r="AD474" s="8" t="n"/>
      <c r="AE474" s="8" t="n"/>
      <c r="AF474" s="8" t="n"/>
      <c r="AG474" s="8" t="n"/>
      <c r="AH474" s="8" t="n"/>
      <c r="AI474" s="9" t="n"/>
      <c r="AJ474" s="8" t="n"/>
      <c r="AK474" s="8" t="n"/>
      <c r="AL474" s="15" t="n"/>
      <c r="AM474" s="15" t="n"/>
      <c r="AN474" s="15" t="n"/>
      <c r="AO474" s="15" t="n"/>
      <c r="AP474" s="10" t="n"/>
      <c r="AQ474" s="15">
        <f>IF($B474="","",IF(OR(ISERROR(MATCH($B474,Community_Master!$A$2:$A$100,0)),$A474="",AND($H474&lt;&gt;"",$I474&gt;$H474),AND($H474&lt;&gt;"",$J474&gt;$H474),$I474&lt;0,$J474&lt;0,$K474&lt;0,$P474&lt;0,$Q474&lt;0,$Y474&lt;0,$Z474&lt;0,$AA474&lt;0,$AB474&lt;0,$AC474&lt;0),"ERROR","OK"))</f>
        <v/>
      </c>
      <c r="AR474" s="15">
        <f>IF($B474="","",TRIM(IF(ISERROR(MATCH($B474,Community_Master!$A$2:$A$100,0)),"Invalid Community_ID; ","")&amp;IF($A474="","Missing Report_Month; ","")&amp;IF(AND($H474&lt;&gt;"",$I474&gt;$H474),"Occupied_Units greater than Total_Units; ","")&amp;IF(AND($H474&lt;&gt;"",$J474&gt;$H474),"Leased_Units greater than Total_Units; ","")&amp;IF($I474&lt;0,"Occupied_Units negative; ","")&amp;IF($J474&lt;0,"Leased_Units negative; ","")&amp;IF($P474&lt;0,"Avg_Market_Rent negative; ","")))</f>
        <v/>
      </c>
    </row>
    <row r="475" ht="15" customHeight="1">
      <c r="A475" s="5" t="n"/>
      <c r="B475" s="15" t="n"/>
      <c r="C475" s="15">
        <f>IFERROR(VLOOKUP($B475,Community_Master!$A$2:$K$100,2,FALSE),"")</f>
        <v/>
      </c>
      <c r="D475" s="15">
        <f>IFERROR(VLOOKUP($B475,Community_Master!$A$2:$K$100,4,FALSE),"")</f>
        <v/>
      </c>
      <c r="E475" s="15">
        <f>IFERROR(VLOOKUP($B475,Community_Master!$A$2:$K$100,5,FALSE),"")</f>
        <v/>
      </c>
      <c r="F475" s="15">
        <f>IFERROR(VLOOKUP($B475,Community_Master!$A$2:$K$100,6,FALSE),"")</f>
        <v/>
      </c>
      <c r="G475" s="15">
        <f>IFERROR(VLOOKUP($B475,Community_Master!$A$2:$K$100,8,FALSE),"")</f>
        <v/>
      </c>
      <c r="H475" s="15">
        <f>IFERROR(VLOOKUP($B475,Community_Master!$A$2:$K$100,7,FALSE),"")</f>
        <v/>
      </c>
      <c r="I475" s="15" t="n"/>
      <c r="J475" s="15" t="n"/>
      <c r="K475" s="15" t="n"/>
      <c r="L475" s="15">
        <f>IF($H475="","",MAX($H475-$I475,0))</f>
        <v/>
      </c>
      <c r="M475" s="6">
        <f>IF($H475="","",IFERROR($I475/$H475,""))</f>
        <v/>
      </c>
      <c r="N475" s="6">
        <f>IF($H475="","",IFERROR($J475/$H475,""))</f>
        <v/>
      </c>
      <c r="O475" s="6" t="n"/>
      <c r="P475" s="7" t="n"/>
      <c r="Q475" s="7" t="n"/>
      <c r="R475" s="7" t="n"/>
      <c r="S475" s="7" t="n"/>
      <c r="T475" s="7">
        <f>IF($H475="","",IFERROR($H475*$P475,""))</f>
        <v/>
      </c>
      <c r="U475" s="7" t="n"/>
      <c r="V475" s="7" t="n"/>
      <c r="W475" s="7" t="n"/>
      <c r="X475" s="7">
        <f>IF(OR($U475="",$W475=""),"",($U475+$V475)-$W475)</f>
        <v/>
      </c>
      <c r="Y475" s="8" t="n"/>
      <c r="Z475" s="8" t="n"/>
      <c r="AA475" s="8" t="n"/>
      <c r="AB475" s="8" t="n"/>
      <c r="AC475" s="8" t="n"/>
      <c r="AD475" s="8" t="n"/>
      <c r="AE475" s="8" t="n"/>
      <c r="AF475" s="8" t="n"/>
      <c r="AG475" s="8" t="n"/>
      <c r="AH475" s="8" t="n"/>
      <c r="AI475" s="9" t="n"/>
      <c r="AJ475" s="8" t="n"/>
      <c r="AK475" s="8" t="n"/>
      <c r="AL475" s="15" t="n"/>
      <c r="AM475" s="15" t="n"/>
      <c r="AN475" s="15" t="n"/>
      <c r="AO475" s="15" t="n"/>
      <c r="AP475" s="10" t="n"/>
      <c r="AQ475" s="15">
        <f>IF($B475="","",IF(OR(ISERROR(MATCH($B475,Community_Master!$A$2:$A$100,0)),$A475="",AND($H475&lt;&gt;"",$I475&gt;$H475),AND($H475&lt;&gt;"",$J475&gt;$H475),$I475&lt;0,$J475&lt;0,$K475&lt;0,$P475&lt;0,$Q475&lt;0,$Y475&lt;0,$Z475&lt;0,$AA475&lt;0,$AB475&lt;0,$AC475&lt;0),"ERROR","OK"))</f>
        <v/>
      </c>
      <c r="AR475" s="15">
        <f>IF($B475="","",TRIM(IF(ISERROR(MATCH($B475,Community_Master!$A$2:$A$100,0)),"Invalid Community_ID; ","")&amp;IF($A475="","Missing Report_Month; ","")&amp;IF(AND($H475&lt;&gt;"",$I475&gt;$H475),"Occupied_Units greater than Total_Units; ","")&amp;IF(AND($H475&lt;&gt;"",$J475&gt;$H475),"Leased_Units greater than Total_Units; ","")&amp;IF($I475&lt;0,"Occupied_Units negative; ","")&amp;IF($J475&lt;0,"Leased_Units negative; ","")&amp;IF($P475&lt;0,"Avg_Market_Rent negative; ","")))</f>
        <v/>
      </c>
    </row>
    <row r="476" ht="15" customHeight="1">
      <c r="A476" s="5" t="n"/>
      <c r="B476" s="15" t="n"/>
      <c r="C476" s="15">
        <f>IFERROR(VLOOKUP($B476,Community_Master!$A$2:$K$100,2,FALSE),"")</f>
        <v/>
      </c>
      <c r="D476" s="15">
        <f>IFERROR(VLOOKUP($B476,Community_Master!$A$2:$K$100,4,FALSE),"")</f>
        <v/>
      </c>
      <c r="E476" s="15">
        <f>IFERROR(VLOOKUP($B476,Community_Master!$A$2:$K$100,5,FALSE),"")</f>
        <v/>
      </c>
      <c r="F476" s="15">
        <f>IFERROR(VLOOKUP($B476,Community_Master!$A$2:$K$100,6,FALSE),"")</f>
        <v/>
      </c>
      <c r="G476" s="15">
        <f>IFERROR(VLOOKUP($B476,Community_Master!$A$2:$K$100,8,FALSE),"")</f>
        <v/>
      </c>
      <c r="H476" s="15">
        <f>IFERROR(VLOOKUP($B476,Community_Master!$A$2:$K$100,7,FALSE),"")</f>
        <v/>
      </c>
      <c r="I476" s="15" t="n"/>
      <c r="J476" s="15" t="n"/>
      <c r="K476" s="15" t="n"/>
      <c r="L476" s="15">
        <f>IF($H476="","",MAX($H476-$I476,0))</f>
        <v/>
      </c>
      <c r="M476" s="6">
        <f>IF($H476="","",IFERROR($I476/$H476,""))</f>
        <v/>
      </c>
      <c r="N476" s="6">
        <f>IF($H476="","",IFERROR($J476/$H476,""))</f>
        <v/>
      </c>
      <c r="O476" s="6" t="n"/>
      <c r="P476" s="7" t="n"/>
      <c r="Q476" s="7" t="n"/>
      <c r="R476" s="7" t="n"/>
      <c r="S476" s="7" t="n"/>
      <c r="T476" s="7">
        <f>IF($H476="","",IFERROR($H476*$P476,""))</f>
        <v/>
      </c>
      <c r="U476" s="7" t="n"/>
      <c r="V476" s="7" t="n"/>
      <c r="W476" s="7" t="n"/>
      <c r="X476" s="7">
        <f>IF(OR($U476="",$W476=""),"",($U476+$V476)-$W476)</f>
        <v/>
      </c>
      <c r="Y476" s="8" t="n"/>
      <c r="Z476" s="8" t="n"/>
      <c r="AA476" s="8" t="n"/>
      <c r="AB476" s="8" t="n"/>
      <c r="AC476" s="8" t="n"/>
      <c r="AD476" s="8" t="n"/>
      <c r="AE476" s="8" t="n"/>
      <c r="AF476" s="8" t="n"/>
      <c r="AG476" s="8" t="n"/>
      <c r="AH476" s="8" t="n"/>
      <c r="AI476" s="9" t="n"/>
      <c r="AJ476" s="8" t="n"/>
      <c r="AK476" s="8" t="n"/>
      <c r="AL476" s="15" t="n"/>
      <c r="AM476" s="15" t="n"/>
      <c r="AN476" s="15" t="n"/>
      <c r="AO476" s="15" t="n"/>
      <c r="AP476" s="10" t="n"/>
      <c r="AQ476" s="15">
        <f>IF($B476="","",IF(OR(ISERROR(MATCH($B476,Community_Master!$A$2:$A$100,0)),$A476="",AND($H476&lt;&gt;"",$I476&gt;$H476),AND($H476&lt;&gt;"",$J476&gt;$H476),$I476&lt;0,$J476&lt;0,$K476&lt;0,$P476&lt;0,$Q476&lt;0,$Y476&lt;0,$Z476&lt;0,$AA476&lt;0,$AB476&lt;0,$AC476&lt;0),"ERROR","OK"))</f>
        <v/>
      </c>
      <c r="AR476" s="15">
        <f>IF($B476="","",TRIM(IF(ISERROR(MATCH($B476,Community_Master!$A$2:$A$100,0)),"Invalid Community_ID; ","")&amp;IF($A476="","Missing Report_Month; ","")&amp;IF(AND($H476&lt;&gt;"",$I476&gt;$H476),"Occupied_Units greater than Total_Units; ","")&amp;IF(AND($H476&lt;&gt;"",$J476&gt;$H476),"Leased_Units greater than Total_Units; ","")&amp;IF($I476&lt;0,"Occupied_Units negative; ","")&amp;IF($J476&lt;0,"Leased_Units negative; ","")&amp;IF($P476&lt;0,"Avg_Market_Rent negative; ","")))</f>
        <v/>
      </c>
    </row>
    <row r="477" ht="15" customHeight="1">
      <c r="A477" s="5" t="n"/>
      <c r="B477" s="15" t="n"/>
      <c r="C477" s="15">
        <f>IFERROR(VLOOKUP($B477,Community_Master!$A$2:$K$100,2,FALSE),"")</f>
        <v/>
      </c>
      <c r="D477" s="15">
        <f>IFERROR(VLOOKUP($B477,Community_Master!$A$2:$K$100,4,FALSE),"")</f>
        <v/>
      </c>
      <c r="E477" s="15">
        <f>IFERROR(VLOOKUP($B477,Community_Master!$A$2:$K$100,5,FALSE),"")</f>
        <v/>
      </c>
      <c r="F477" s="15">
        <f>IFERROR(VLOOKUP($B477,Community_Master!$A$2:$K$100,6,FALSE),"")</f>
        <v/>
      </c>
      <c r="G477" s="15">
        <f>IFERROR(VLOOKUP($B477,Community_Master!$A$2:$K$100,8,FALSE),"")</f>
        <v/>
      </c>
      <c r="H477" s="15">
        <f>IFERROR(VLOOKUP($B477,Community_Master!$A$2:$K$100,7,FALSE),"")</f>
        <v/>
      </c>
      <c r="I477" s="15" t="n"/>
      <c r="J477" s="15" t="n"/>
      <c r="K477" s="15" t="n"/>
      <c r="L477" s="15">
        <f>IF($H477="","",MAX($H477-$I477,0))</f>
        <v/>
      </c>
      <c r="M477" s="6">
        <f>IF($H477="","",IFERROR($I477/$H477,""))</f>
        <v/>
      </c>
      <c r="N477" s="6">
        <f>IF($H477="","",IFERROR($J477/$H477,""))</f>
        <v/>
      </c>
      <c r="O477" s="6" t="n"/>
      <c r="P477" s="7" t="n"/>
      <c r="Q477" s="7" t="n"/>
      <c r="R477" s="7" t="n"/>
      <c r="S477" s="7" t="n"/>
      <c r="T477" s="7">
        <f>IF($H477="","",IFERROR($H477*$P477,""))</f>
        <v/>
      </c>
      <c r="U477" s="7" t="n"/>
      <c r="V477" s="7" t="n"/>
      <c r="W477" s="7" t="n"/>
      <c r="X477" s="7">
        <f>IF(OR($U477="",$W477=""),"",($U477+$V477)-$W477)</f>
        <v/>
      </c>
      <c r="Y477" s="8" t="n"/>
      <c r="Z477" s="8" t="n"/>
      <c r="AA477" s="8" t="n"/>
      <c r="AB477" s="8" t="n"/>
      <c r="AC477" s="8" t="n"/>
      <c r="AD477" s="8" t="n"/>
      <c r="AE477" s="8" t="n"/>
      <c r="AF477" s="8" t="n"/>
      <c r="AG477" s="8" t="n"/>
      <c r="AH477" s="8" t="n"/>
      <c r="AI477" s="9" t="n"/>
      <c r="AJ477" s="8" t="n"/>
      <c r="AK477" s="8" t="n"/>
      <c r="AL477" s="15" t="n"/>
      <c r="AM477" s="15" t="n"/>
      <c r="AN477" s="15" t="n"/>
      <c r="AO477" s="15" t="n"/>
      <c r="AP477" s="10" t="n"/>
      <c r="AQ477" s="15">
        <f>IF($B477="","",IF(OR(ISERROR(MATCH($B477,Community_Master!$A$2:$A$100,0)),$A477="",AND($H477&lt;&gt;"",$I477&gt;$H477),AND($H477&lt;&gt;"",$J477&gt;$H477),$I477&lt;0,$J477&lt;0,$K477&lt;0,$P477&lt;0,$Q477&lt;0,$Y477&lt;0,$Z477&lt;0,$AA477&lt;0,$AB477&lt;0,$AC477&lt;0),"ERROR","OK"))</f>
        <v/>
      </c>
      <c r="AR477" s="15">
        <f>IF($B477="","",TRIM(IF(ISERROR(MATCH($B477,Community_Master!$A$2:$A$100,0)),"Invalid Community_ID; ","")&amp;IF($A477="","Missing Report_Month; ","")&amp;IF(AND($H477&lt;&gt;"",$I477&gt;$H477),"Occupied_Units greater than Total_Units; ","")&amp;IF(AND($H477&lt;&gt;"",$J477&gt;$H477),"Leased_Units greater than Total_Units; ","")&amp;IF($I477&lt;0,"Occupied_Units negative; ","")&amp;IF($J477&lt;0,"Leased_Units negative; ","")&amp;IF($P477&lt;0,"Avg_Market_Rent negative; ","")))</f>
        <v/>
      </c>
    </row>
    <row r="478" ht="15" customHeight="1">
      <c r="A478" s="5" t="n"/>
      <c r="B478" s="15" t="n"/>
      <c r="C478" s="15">
        <f>IFERROR(VLOOKUP($B478,Community_Master!$A$2:$K$100,2,FALSE),"")</f>
        <v/>
      </c>
      <c r="D478" s="15">
        <f>IFERROR(VLOOKUP($B478,Community_Master!$A$2:$K$100,4,FALSE),"")</f>
        <v/>
      </c>
      <c r="E478" s="15">
        <f>IFERROR(VLOOKUP($B478,Community_Master!$A$2:$K$100,5,FALSE),"")</f>
        <v/>
      </c>
      <c r="F478" s="15">
        <f>IFERROR(VLOOKUP($B478,Community_Master!$A$2:$K$100,6,FALSE),"")</f>
        <v/>
      </c>
      <c r="G478" s="15">
        <f>IFERROR(VLOOKUP($B478,Community_Master!$A$2:$K$100,8,FALSE),"")</f>
        <v/>
      </c>
      <c r="H478" s="15">
        <f>IFERROR(VLOOKUP($B478,Community_Master!$A$2:$K$100,7,FALSE),"")</f>
        <v/>
      </c>
      <c r="I478" s="15" t="n"/>
      <c r="J478" s="15" t="n"/>
      <c r="K478" s="15" t="n"/>
      <c r="L478" s="15">
        <f>IF($H478="","",MAX($H478-$I478,0))</f>
        <v/>
      </c>
      <c r="M478" s="6">
        <f>IF($H478="","",IFERROR($I478/$H478,""))</f>
        <v/>
      </c>
      <c r="N478" s="6">
        <f>IF($H478="","",IFERROR($J478/$H478,""))</f>
        <v/>
      </c>
      <c r="O478" s="6" t="n"/>
      <c r="P478" s="7" t="n"/>
      <c r="Q478" s="7" t="n"/>
      <c r="R478" s="7" t="n"/>
      <c r="S478" s="7" t="n"/>
      <c r="T478" s="7">
        <f>IF($H478="","",IFERROR($H478*$P478,""))</f>
        <v/>
      </c>
      <c r="U478" s="7" t="n"/>
      <c r="V478" s="7" t="n"/>
      <c r="W478" s="7" t="n"/>
      <c r="X478" s="7">
        <f>IF(OR($U478="",$W478=""),"",($U478+$V478)-$W478)</f>
        <v/>
      </c>
      <c r="Y478" s="8" t="n"/>
      <c r="Z478" s="8" t="n"/>
      <c r="AA478" s="8" t="n"/>
      <c r="AB478" s="8" t="n"/>
      <c r="AC478" s="8" t="n"/>
      <c r="AD478" s="8" t="n"/>
      <c r="AE478" s="8" t="n"/>
      <c r="AF478" s="8" t="n"/>
      <c r="AG478" s="8" t="n"/>
      <c r="AH478" s="8" t="n"/>
      <c r="AI478" s="9" t="n"/>
      <c r="AJ478" s="8" t="n"/>
      <c r="AK478" s="8" t="n"/>
      <c r="AL478" s="15" t="n"/>
      <c r="AM478" s="15" t="n"/>
      <c r="AN478" s="15" t="n"/>
      <c r="AO478" s="15" t="n"/>
      <c r="AP478" s="10" t="n"/>
      <c r="AQ478" s="15">
        <f>IF($B478="","",IF(OR(ISERROR(MATCH($B478,Community_Master!$A$2:$A$100,0)),$A478="",AND($H478&lt;&gt;"",$I478&gt;$H478),AND($H478&lt;&gt;"",$J478&gt;$H478),$I478&lt;0,$J478&lt;0,$K478&lt;0,$P478&lt;0,$Q478&lt;0,$Y478&lt;0,$Z478&lt;0,$AA478&lt;0,$AB478&lt;0,$AC478&lt;0),"ERROR","OK"))</f>
        <v/>
      </c>
      <c r="AR478" s="15">
        <f>IF($B478="","",TRIM(IF(ISERROR(MATCH($B478,Community_Master!$A$2:$A$100,0)),"Invalid Community_ID; ","")&amp;IF($A478="","Missing Report_Month; ","")&amp;IF(AND($H478&lt;&gt;"",$I478&gt;$H478),"Occupied_Units greater than Total_Units; ","")&amp;IF(AND($H478&lt;&gt;"",$J478&gt;$H478),"Leased_Units greater than Total_Units; ","")&amp;IF($I478&lt;0,"Occupied_Units negative; ","")&amp;IF($J478&lt;0,"Leased_Units negative; ","")&amp;IF($P478&lt;0,"Avg_Market_Rent negative; ","")))</f>
        <v/>
      </c>
    </row>
    <row r="479" ht="15" customHeight="1">
      <c r="A479" s="5" t="n"/>
      <c r="B479" s="15" t="n"/>
      <c r="C479" s="15">
        <f>IFERROR(VLOOKUP($B479,Community_Master!$A$2:$K$100,2,FALSE),"")</f>
        <v/>
      </c>
      <c r="D479" s="15">
        <f>IFERROR(VLOOKUP($B479,Community_Master!$A$2:$K$100,4,FALSE),"")</f>
        <v/>
      </c>
      <c r="E479" s="15">
        <f>IFERROR(VLOOKUP($B479,Community_Master!$A$2:$K$100,5,FALSE),"")</f>
        <v/>
      </c>
      <c r="F479" s="15">
        <f>IFERROR(VLOOKUP($B479,Community_Master!$A$2:$K$100,6,FALSE),"")</f>
        <v/>
      </c>
      <c r="G479" s="15">
        <f>IFERROR(VLOOKUP($B479,Community_Master!$A$2:$K$100,8,FALSE),"")</f>
        <v/>
      </c>
      <c r="H479" s="15">
        <f>IFERROR(VLOOKUP($B479,Community_Master!$A$2:$K$100,7,FALSE),"")</f>
        <v/>
      </c>
      <c r="I479" s="15" t="n"/>
      <c r="J479" s="15" t="n"/>
      <c r="K479" s="15" t="n"/>
      <c r="L479" s="15">
        <f>IF($H479="","",MAX($H479-$I479,0))</f>
        <v/>
      </c>
      <c r="M479" s="6">
        <f>IF($H479="","",IFERROR($I479/$H479,""))</f>
        <v/>
      </c>
      <c r="N479" s="6">
        <f>IF($H479="","",IFERROR($J479/$H479,""))</f>
        <v/>
      </c>
      <c r="O479" s="6" t="n"/>
      <c r="P479" s="7" t="n"/>
      <c r="Q479" s="7" t="n"/>
      <c r="R479" s="7" t="n"/>
      <c r="S479" s="7" t="n"/>
      <c r="T479" s="7">
        <f>IF($H479="","",IFERROR($H479*$P479,""))</f>
        <v/>
      </c>
      <c r="U479" s="7" t="n"/>
      <c r="V479" s="7" t="n"/>
      <c r="W479" s="7" t="n"/>
      <c r="X479" s="7">
        <f>IF(OR($U479="",$W479=""),"",($U479+$V479)-$W479)</f>
        <v/>
      </c>
      <c r="Y479" s="8" t="n"/>
      <c r="Z479" s="8" t="n"/>
      <c r="AA479" s="8" t="n"/>
      <c r="AB479" s="8" t="n"/>
      <c r="AC479" s="8" t="n"/>
      <c r="AD479" s="8" t="n"/>
      <c r="AE479" s="8" t="n"/>
      <c r="AF479" s="8" t="n"/>
      <c r="AG479" s="8" t="n"/>
      <c r="AH479" s="8" t="n"/>
      <c r="AI479" s="9" t="n"/>
      <c r="AJ479" s="8" t="n"/>
      <c r="AK479" s="8" t="n"/>
      <c r="AL479" s="15" t="n"/>
      <c r="AM479" s="15" t="n"/>
      <c r="AN479" s="15" t="n"/>
      <c r="AO479" s="15" t="n"/>
      <c r="AP479" s="10" t="n"/>
      <c r="AQ479" s="15">
        <f>IF($B479="","",IF(OR(ISERROR(MATCH($B479,Community_Master!$A$2:$A$100,0)),$A479="",AND($H479&lt;&gt;"",$I479&gt;$H479),AND($H479&lt;&gt;"",$J479&gt;$H479),$I479&lt;0,$J479&lt;0,$K479&lt;0,$P479&lt;0,$Q479&lt;0,$Y479&lt;0,$Z479&lt;0,$AA479&lt;0,$AB479&lt;0,$AC479&lt;0),"ERROR","OK"))</f>
        <v/>
      </c>
      <c r="AR479" s="15">
        <f>IF($B479="","",TRIM(IF(ISERROR(MATCH($B479,Community_Master!$A$2:$A$100,0)),"Invalid Community_ID; ","")&amp;IF($A479="","Missing Report_Month; ","")&amp;IF(AND($H479&lt;&gt;"",$I479&gt;$H479),"Occupied_Units greater than Total_Units; ","")&amp;IF(AND($H479&lt;&gt;"",$J479&gt;$H479),"Leased_Units greater than Total_Units; ","")&amp;IF($I479&lt;0,"Occupied_Units negative; ","")&amp;IF($J479&lt;0,"Leased_Units negative; ","")&amp;IF($P479&lt;0,"Avg_Market_Rent negative; ","")))</f>
        <v/>
      </c>
    </row>
    <row r="480" ht="15" customHeight="1">
      <c r="A480" s="5" t="n"/>
      <c r="B480" s="15" t="n"/>
      <c r="C480" s="15">
        <f>IFERROR(VLOOKUP($B480,Community_Master!$A$2:$K$100,2,FALSE),"")</f>
        <v/>
      </c>
      <c r="D480" s="15">
        <f>IFERROR(VLOOKUP($B480,Community_Master!$A$2:$K$100,4,FALSE),"")</f>
        <v/>
      </c>
      <c r="E480" s="15">
        <f>IFERROR(VLOOKUP($B480,Community_Master!$A$2:$K$100,5,FALSE),"")</f>
        <v/>
      </c>
      <c r="F480" s="15">
        <f>IFERROR(VLOOKUP($B480,Community_Master!$A$2:$K$100,6,FALSE),"")</f>
        <v/>
      </c>
      <c r="G480" s="15">
        <f>IFERROR(VLOOKUP($B480,Community_Master!$A$2:$K$100,8,FALSE),"")</f>
        <v/>
      </c>
      <c r="H480" s="15">
        <f>IFERROR(VLOOKUP($B480,Community_Master!$A$2:$K$100,7,FALSE),"")</f>
        <v/>
      </c>
      <c r="I480" s="15" t="n"/>
      <c r="J480" s="15" t="n"/>
      <c r="K480" s="15" t="n"/>
      <c r="L480" s="15">
        <f>IF($H480="","",MAX($H480-$I480,0))</f>
        <v/>
      </c>
      <c r="M480" s="6">
        <f>IF($H480="","",IFERROR($I480/$H480,""))</f>
        <v/>
      </c>
      <c r="N480" s="6">
        <f>IF($H480="","",IFERROR($J480/$H480,""))</f>
        <v/>
      </c>
      <c r="O480" s="6" t="n"/>
      <c r="P480" s="7" t="n"/>
      <c r="Q480" s="7" t="n"/>
      <c r="R480" s="7" t="n"/>
      <c r="S480" s="7" t="n"/>
      <c r="T480" s="7">
        <f>IF($H480="","",IFERROR($H480*$P480,""))</f>
        <v/>
      </c>
      <c r="U480" s="7" t="n"/>
      <c r="V480" s="7" t="n"/>
      <c r="W480" s="7" t="n"/>
      <c r="X480" s="7">
        <f>IF(OR($U480="",$W480=""),"",($U480+$V480)-$W480)</f>
        <v/>
      </c>
      <c r="Y480" s="8" t="n"/>
      <c r="Z480" s="8" t="n"/>
      <c r="AA480" s="8" t="n"/>
      <c r="AB480" s="8" t="n"/>
      <c r="AC480" s="8" t="n"/>
      <c r="AD480" s="8" t="n"/>
      <c r="AE480" s="8" t="n"/>
      <c r="AF480" s="8" t="n"/>
      <c r="AG480" s="8" t="n"/>
      <c r="AH480" s="8" t="n"/>
      <c r="AI480" s="9" t="n"/>
      <c r="AJ480" s="8" t="n"/>
      <c r="AK480" s="8" t="n"/>
      <c r="AL480" s="15" t="n"/>
      <c r="AM480" s="15" t="n"/>
      <c r="AN480" s="15" t="n"/>
      <c r="AO480" s="15" t="n"/>
      <c r="AP480" s="10" t="n"/>
      <c r="AQ480" s="15">
        <f>IF($B480="","",IF(OR(ISERROR(MATCH($B480,Community_Master!$A$2:$A$100,0)),$A480="",AND($H480&lt;&gt;"",$I480&gt;$H480),AND($H480&lt;&gt;"",$J480&gt;$H480),$I480&lt;0,$J480&lt;0,$K480&lt;0,$P480&lt;0,$Q480&lt;0,$Y480&lt;0,$Z480&lt;0,$AA480&lt;0,$AB480&lt;0,$AC480&lt;0),"ERROR","OK"))</f>
        <v/>
      </c>
      <c r="AR480" s="15">
        <f>IF($B480="","",TRIM(IF(ISERROR(MATCH($B480,Community_Master!$A$2:$A$100,0)),"Invalid Community_ID; ","")&amp;IF($A480="","Missing Report_Month; ","")&amp;IF(AND($H480&lt;&gt;"",$I480&gt;$H480),"Occupied_Units greater than Total_Units; ","")&amp;IF(AND($H480&lt;&gt;"",$J480&gt;$H480),"Leased_Units greater than Total_Units; ","")&amp;IF($I480&lt;0,"Occupied_Units negative; ","")&amp;IF($J480&lt;0,"Leased_Units negative; ","")&amp;IF($P480&lt;0,"Avg_Market_Rent negative; ","")))</f>
        <v/>
      </c>
    </row>
    <row r="481" ht="15" customHeight="1">
      <c r="A481" s="5" t="n"/>
      <c r="B481" s="15" t="n"/>
      <c r="C481" s="15">
        <f>IFERROR(VLOOKUP($B481,Community_Master!$A$2:$K$100,2,FALSE),"")</f>
        <v/>
      </c>
      <c r="D481" s="15">
        <f>IFERROR(VLOOKUP($B481,Community_Master!$A$2:$K$100,4,FALSE),"")</f>
        <v/>
      </c>
      <c r="E481" s="15">
        <f>IFERROR(VLOOKUP($B481,Community_Master!$A$2:$K$100,5,FALSE),"")</f>
        <v/>
      </c>
      <c r="F481" s="15">
        <f>IFERROR(VLOOKUP($B481,Community_Master!$A$2:$K$100,6,FALSE),"")</f>
        <v/>
      </c>
      <c r="G481" s="15">
        <f>IFERROR(VLOOKUP($B481,Community_Master!$A$2:$K$100,8,FALSE),"")</f>
        <v/>
      </c>
      <c r="H481" s="15">
        <f>IFERROR(VLOOKUP($B481,Community_Master!$A$2:$K$100,7,FALSE),"")</f>
        <v/>
      </c>
      <c r="I481" s="15" t="n"/>
      <c r="J481" s="15" t="n"/>
      <c r="K481" s="15" t="n"/>
      <c r="L481" s="15">
        <f>IF($H481="","",MAX($H481-$I481,0))</f>
        <v/>
      </c>
      <c r="M481" s="6">
        <f>IF($H481="","",IFERROR($I481/$H481,""))</f>
        <v/>
      </c>
      <c r="N481" s="6">
        <f>IF($H481="","",IFERROR($J481/$H481,""))</f>
        <v/>
      </c>
      <c r="O481" s="6" t="n"/>
      <c r="P481" s="7" t="n"/>
      <c r="Q481" s="7" t="n"/>
      <c r="R481" s="7" t="n"/>
      <c r="S481" s="7" t="n"/>
      <c r="T481" s="7">
        <f>IF($H481="","",IFERROR($H481*$P481,""))</f>
        <v/>
      </c>
      <c r="U481" s="7" t="n"/>
      <c r="V481" s="7" t="n"/>
      <c r="W481" s="7" t="n"/>
      <c r="X481" s="7">
        <f>IF(OR($U481="",$W481=""),"",($U481+$V481)-$W481)</f>
        <v/>
      </c>
      <c r="Y481" s="8" t="n"/>
      <c r="Z481" s="8" t="n"/>
      <c r="AA481" s="8" t="n"/>
      <c r="AB481" s="8" t="n"/>
      <c r="AC481" s="8" t="n"/>
      <c r="AD481" s="8" t="n"/>
      <c r="AE481" s="8" t="n"/>
      <c r="AF481" s="8" t="n"/>
      <c r="AG481" s="8" t="n"/>
      <c r="AH481" s="8" t="n"/>
      <c r="AI481" s="9" t="n"/>
      <c r="AJ481" s="8" t="n"/>
      <c r="AK481" s="8" t="n"/>
      <c r="AL481" s="15" t="n"/>
      <c r="AM481" s="15" t="n"/>
      <c r="AN481" s="15" t="n"/>
      <c r="AO481" s="15" t="n"/>
      <c r="AP481" s="10" t="n"/>
      <c r="AQ481" s="15">
        <f>IF($B481="","",IF(OR(ISERROR(MATCH($B481,Community_Master!$A$2:$A$100,0)),$A481="",AND($H481&lt;&gt;"",$I481&gt;$H481),AND($H481&lt;&gt;"",$J481&gt;$H481),$I481&lt;0,$J481&lt;0,$K481&lt;0,$P481&lt;0,$Q481&lt;0,$Y481&lt;0,$Z481&lt;0,$AA481&lt;0,$AB481&lt;0,$AC481&lt;0),"ERROR","OK"))</f>
        <v/>
      </c>
      <c r="AR481" s="15">
        <f>IF($B481="","",TRIM(IF(ISERROR(MATCH($B481,Community_Master!$A$2:$A$100,0)),"Invalid Community_ID; ","")&amp;IF($A481="","Missing Report_Month; ","")&amp;IF(AND($H481&lt;&gt;"",$I481&gt;$H481),"Occupied_Units greater than Total_Units; ","")&amp;IF(AND($H481&lt;&gt;"",$J481&gt;$H481),"Leased_Units greater than Total_Units; ","")&amp;IF($I481&lt;0,"Occupied_Units negative; ","")&amp;IF($J481&lt;0,"Leased_Units negative; ","")&amp;IF($P481&lt;0,"Avg_Market_Rent negative; ","")))</f>
        <v/>
      </c>
    </row>
    <row r="482" ht="15" customHeight="1">
      <c r="A482" s="5" t="n"/>
      <c r="B482" s="15" t="n"/>
      <c r="C482" s="15">
        <f>IFERROR(VLOOKUP($B482,Community_Master!$A$2:$K$100,2,FALSE),"")</f>
        <v/>
      </c>
      <c r="D482" s="15">
        <f>IFERROR(VLOOKUP($B482,Community_Master!$A$2:$K$100,4,FALSE),"")</f>
        <v/>
      </c>
      <c r="E482" s="15">
        <f>IFERROR(VLOOKUP($B482,Community_Master!$A$2:$K$100,5,FALSE),"")</f>
        <v/>
      </c>
      <c r="F482" s="15">
        <f>IFERROR(VLOOKUP($B482,Community_Master!$A$2:$K$100,6,FALSE),"")</f>
        <v/>
      </c>
      <c r="G482" s="15">
        <f>IFERROR(VLOOKUP($B482,Community_Master!$A$2:$K$100,8,FALSE),"")</f>
        <v/>
      </c>
      <c r="H482" s="15">
        <f>IFERROR(VLOOKUP($B482,Community_Master!$A$2:$K$100,7,FALSE),"")</f>
        <v/>
      </c>
      <c r="I482" s="15" t="n"/>
      <c r="J482" s="15" t="n"/>
      <c r="K482" s="15" t="n"/>
      <c r="L482" s="15">
        <f>IF($H482="","",MAX($H482-$I482,0))</f>
        <v/>
      </c>
      <c r="M482" s="6">
        <f>IF($H482="","",IFERROR($I482/$H482,""))</f>
        <v/>
      </c>
      <c r="N482" s="6">
        <f>IF($H482="","",IFERROR($J482/$H482,""))</f>
        <v/>
      </c>
      <c r="O482" s="6" t="n"/>
      <c r="P482" s="7" t="n"/>
      <c r="Q482" s="7" t="n"/>
      <c r="R482" s="7" t="n"/>
      <c r="S482" s="7" t="n"/>
      <c r="T482" s="7">
        <f>IF($H482="","",IFERROR($H482*$P482,""))</f>
        <v/>
      </c>
      <c r="U482" s="7" t="n"/>
      <c r="V482" s="7" t="n"/>
      <c r="W482" s="7" t="n"/>
      <c r="X482" s="7">
        <f>IF(OR($U482="",$W482=""),"",($U482+$V482)-$W482)</f>
        <v/>
      </c>
      <c r="Y482" s="8" t="n"/>
      <c r="Z482" s="8" t="n"/>
      <c r="AA482" s="8" t="n"/>
      <c r="AB482" s="8" t="n"/>
      <c r="AC482" s="8" t="n"/>
      <c r="AD482" s="8" t="n"/>
      <c r="AE482" s="8" t="n"/>
      <c r="AF482" s="8" t="n"/>
      <c r="AG482" s="8" t="n"/>
      <c r="AH482" s="8" t="n"/>
      <c r="AI482" s="9" t="n"/>
      <c r="AJ482" s="8" t="n"/>
      <c r="AK482" s="8" t="n"/>
      <c r="AL482" s="15" t="n"/>
      <c r="AM482" s="15" t="n"/>
      <c r="AN482" s="15" t="n"/>
      <c r="AO482" s="15" t="n"/>
      <c r="AP482" s="10" t="n"/>
      <c r="AQ482" s="15">
        <f>IF($B482="","",IF(OR(ISERROR(MATCH($B482,Community_Master!$A$2:$A$100,0)),$A482="",AND($H482&lt;&gt;"",$I482&gt;$H482),AND($H482&lt;&gt;"",$J482&gt;$H482),$I482&lt;0,$J482&lt;0,$K482&lt;0,$P482&lt;0,$Q482&lt;0,$Y482&lt;0,$Z482&lt;0,$AA482&lt;0,$AB482&lt;0,$AC482&lt;0),"ERROR","OK"))</f>
        <v/>
      </c>
      <c r="AR482" s="15">
        <f>IF($B482="","",TRIM(IF(ISERROR(MATCH($B482,Community_Master!$A$2:$A$100,0)),"Invalid Community_ID; ","")&amp;IF($A482="","Missing Report_Month; ","")&amp;IF(AND($H482&lt;&gt;"",$I482&gt;$H482),"Occupied_Units greater than Total_Units; ","")&amp;IF(AND($H482&lt;&gt;"",$J482&gt;$H482),"Leased_Units greater than Total_Units; ","")&amp;IF($I482&lt;0,"Occupied_Units negative; ","")&amp;IF($J482&lt;0,"Leased_Units negative; ","")&amp;IF($P482&lt;0,"Avg_Market_Rent negative; ","")))</f>
        <v/>
      </c>
    </row>
    <row r="483" ht="15" customHeight="1">
      <c r="A483" s="5" t="n"/>
      <c r="B483" s="15" t="n"/>
      <c r="C483" s="15">
        <f>IFERROR(VLOOKUP($B483,Community_Master!$A$2:$K$100,2,FALSE),"")</f>
        <v/>
      </c>
      <c r="D483" s="15">
        <f>IFERROR(VLOOKUP($B483,Community_Master!$A$2:$K$100,4,FALSE),"")</f>
        <v/>
      </c>
      <c r="E483" s="15">
        <f>IFERROR(VLOOKUP($B483,Community_Master!$A$2:$K$100,5,FALSE),"")</f>
        <v/>
      </c>
      <c r="F483" s="15">
        <f>IFERROR(VLOOKUP($B483,Community_Master!$A$2:$K$100,6,FALSE),"")</f>
        <v/>
      </c>
      <c r="G483" s="15">
        <f>IFERROR(VLOOKUP($B483,Community_Master!$A$2:$K$100,8,FALSE),"")</f>
        <v/>
      </c>
      <c r="H483" s="15">
        <f>IFERROR(VLOOKUP($B483,Community_Master!$A$2:$K$100,7,FALSE),"")</f>
        <v/>
      </c>
      <c r="I483" s="15" t="n"/>
      <c r="J483" s="15" t="n"/>
      <c r="K483" s="15" t="n"/>
      <c r="L483" s="15">
        <f>IF($H483="","",MAX($H483-$I483,0))</f>
        <v/>
      </c>
      <c r="M483" s="6">
        <f>IF($H483="","",IFERROR($I483/$H483,""))</f>
        <v/>
      </c>
      <c r="N483" s="6">
        <f>IF($H483="","",IFERROR($J483/$H483,""))</f>
        <v/>
      </c>
      <c r="O483" s="6" t="n"/>
      <c r="P483" s="7" t="n"/>
      <c r="Q483" s="7" t="n"/>
      <c r="R483" s="7" t="n"/>
      <c r="S483" s="7" t="n"/>
      <c r="T483" s="7">
        <f>IF($H483="","",IFERROR($H483*$P483,""))</f>
        <v/>
      </c>
      <c r="U483" s="7" t="n"/>
      <c r="V483" s="7" t="n"/>
      <c r="W483" s="7" t="n"/>
      <c r="X483" s="7">
        <f>IF(OR($U483="",$W483=""),"",($U483+$V483)-$W483)</f>
        <v/>
      </c>
      <c r="Y483" s="8" t="n"/>
      <c r="Z483" s="8" t="n"/>
      <c r="AA483" s="8" t="n"/>
      <c r="AB483" s="8" t="n"/>
      <c r="AC483" s="8" t="n"/>
      <c r="AD483" s="8" t="n"/>
      <c r="AE483" s="8" t="n"/>
      <c r="AF483" s="8" t="n"/>
      <c r="AG483" s="8" t="n"/>
      <c r="AH483" s="8" t="n"/>
      <c r="AI483" s="9" t="n"/>
      <c r="AJ483" s="8" t="n"/>
      <c r="AK483" s="8" t="n"/>
      <c r="AL483" s="15" t="n"/>
      <c r="AM483" s="15" t="n"/>
      <c r="AN483" s="15" t="n"/>
      <c r="AO483" s="15" t="n"/>
      <c r="AP483" s="10" t="n"/>
      <c r="AQ483" s="15">
        <f>IF($B483="","",IF(OR(ISERROR(MATCH($B483,Community_Master!$A$2:$A$100,0)),$A483="",AND($H483&lt;&gt;"",$I483&gt;$H483),AND($H483&lt;&gt;"",$J483&gt;$H483),$I483&lt;0,$J483&lt;0,$K483&lt;0,$P483&lt;0,$Q483&lt;0,$Y483&lt;0,$Z483&lt;0,$AA483&lt;0,$AB483&lt;0,$AC483&lt;0),"ERROR","OK"))</f>
        <v/>
      </c>
      <c r="AR483" s="15">
        <f>IF($B483="","",TRIM(IF(ISERROR(MATCH($B483,Community_Master!$A$2:$A$100,0)),"Invalid Community_ID; ","")&amp;IF($A483="","Missing Report_Month; ","")&amp;IF(AND($H483&lt;&gt;"",$I483&gt;$H483),"Occupied_Units greater than Total_Units; ","")&amp;IF(AND($H483&lt;&gt;"",$J483&gt;$H483),"Leased_Units greater than Total_Units; ","")&amp;IF($I483&lt;0,"Occupied_Units negative; ","")&amp;IF($J483&lt;0,"Leased_Units negative; ","")&amp;IF($P483&lt;0,"Avg_Market_Rent negative; ","")))</f>
        <v/>
      </c>
    </row>
    <row r="484" ht="15" customHeight="1">
      <c r="A484" s="5" t="n"/>
      <c r="B484" s="15" t="n"/>
      <c r="C484" s="15">
        <f>IFERROR(VLOOKUP($B484,Community_Master!$A$2:$K$100,2,FALSE),"")</f>
        <v/>
      </c>
      <c r="D484" s="15">
        <f>IFERROR(VLOOKUP($B484,Community_Master!$A$2:$K$100,4,FALSE),"")</f>
        <v/>
      </c>
      <c r="E484" s="15">
        <f>IFERROR(VLOOKUP($B484,Community_Master!$A$2:$K$100,5,FALSE),"")</f>
        <v/>
      </c>
      <c r="F484" s="15">
        <f>IFERROR(VLOOKUP($B484,Community_Master!$A$2:$K$100,6,FALSE),"")</f>
        <v/>
      </c>
      <c r="G484" s="15">
        <f>IFERROR(VLOOKUP($B484,Community_Master!$A$2:$K$100,8,FALSE),"")</f>
        <v/>
      </c>
      <c r="H484" s="15">
        <f>IFERROR(VLOOKUP($B484,Community_Master!$A$2:$K$100,7,FALSE),"")</f>
        <v/>
      </c>
      <c r="I484" s="15" t="n"/>
      <c r="J484" s="15" t="n"/>
      <c r="K484" s="15" t="n"/>
      <c r="L484" s="15">
        <f>IF($H484="","",MAX($H484-$I484,0))</f>
        <v/>
      </c>
      <c r="M484" s="6">
        <f>IF($H484="","",IFERROR($I484/$H484,""))</f>
        <v/>
      </c>
      <c r="N484" s="6">
        <f>IF($H484="","",IFERROR($J484/$H484,""))</f>
        <v/>
      </c>
      <c r="O484" s="6" t="n"/>
      <c r="P484" s="7" t="n"/>
      <c r="Q484" s="7" t="n"/>
      <c r="R484" s="7" t="n"/>
      <c r="S484" s="7" t="n"/>
      <c r="T484" s="7">
        <f>IF($H484="","",IFERROR($H484*$P484,""))</f>
        <v/>
      </c>
      <c r="U484" s="7" t="n"/>
      <c r="V484" s="7" t="n"/>
      <c r="W484" s="7" t="n"/>
      <c r="X484" s="7">
        <f>IF(OR($U484="",$W484=""),"",($U484+$V484)-$W484)</f>
        <v/>
      </c>
      <c r="Y484" s="8" t="n"/>
      <c r="Z484" s="8" t="n"/>
      <c r="AA484" s="8" t="n"/>
      <c r="AB484" s="8" t="n"/>
      <c r="AC484" s="8" t="n"/>
      <c r="AD484" s="8" t="n"/>
      <c r="AE484" s="8" t="n"/>
      <c r="AF484" s="8" t="n"/>
      <c r="AG484" s="8" t="n"/>
      <c r="AH484" s="8" t="n"/>
      <c r="AI484" s="9" t="n"/>
      <c r="AJ484" s="8" t="n"/>
      <c r="AK484" s="8" t="n"/>
      <c r="AL484" s="15" t="n"/>
      <c r="AM484" s="15" t="n"/>
      <c r="AN484" s="15" t="n"/>
      <c r="AO484" s="15" t="n"/>
      <c r="AP484" s="10" t="n"/>
      <c r="AQ484" s="15">
        <f>IF($B484="","",IF(OR(ISERROR(MATCH($B484,Community_Master!$A$2:$A$100,0)),$A484="",AND($H484&lt;&gt;"",$I484&gt;$H484),AND($H484&lt;&gt;"",$J484&gt;$H484),$I484&lt;0,$J484&lt;0,$K484&lt;0,$P484&lt;0,$Q484&lt;0,$Y484&lt;0,$Z484&lt;0,$AA484&lt;0,$AB484&lt;0,$AC484&lt;0),"ERROR","OK"))</f>
        <v/>
      </c>
      <c r="AR484" s="15">
        <f>IF($B484="","",TRIM(IF(ISERROR(MATCH($B484,Community_Master!$A$2:$A$100,0)),"Invalid Community_ID; ","")&amp;IF($A484="","Missing Report_Month; ","")&amp;IF(AND($H484&lt;&gt;"",$I484&gt;$H484),"Occupied_Units greater than Total_Units; ","")&amp;IF(AND($H484&lt;&gt;"",$J484&gt;$H484),"Leased_Units greater than Total_Units; ","")&amp;IF($I484&lt;0,"Occupied_Units negative; ","")&amp;IF($J484&lt;0,"Leased_Units negative; ","")&amp;IF($P484&lt;0,"Avg_Market_Rent negative; ","")))</f>
        <v/>
      </c>
    </row>
    <row r="485" ht="15" customHeight="1">
      <c r="A485" s="5" t="n"/>
      <c r="B485" s="15" t="n"/>
      <c r="C485" s="15">
        <f>IFERROR(VLOOKUP($B485,Community_Master!$A$2:$K$100,2,FALSE),"")</f>
        <v/>
      </c>
      <c r="D485" s="15">
        <f>IFERROR(VLOOKUP($B485,Community_Master!$A$2:$K$100,4,FALSE),"")</f>
        <v/>
      </c>
      <c r="E485" s="15">
        <f>IFERROR(VLOOKUP($B485,Community_Master!$A$2:$K$100,5,FALSE),"")</f>
        <v/>
      </c>
      <c r="F485" s="15">
        <f>IFERROR(VLOOKUP($B485,Community_Master!$A$2:$K$100,6,FALSE),"")</f>
        <v/>
      </c>
      <c r="G485" s="15">
        <f>IFERROR(VLOOKUP($B485,Community_Master!$A$2:$K$100,8,FALSE),"")</f>
        <v/>
      </c>
      <c r="H485" s="15">
        <f>IFERROR(VLOOKUP($B485,Community_Master!$A$2:$K$100,7,FALSE),"")</f>
        <v/>
      </c>
      <c r="I485" s="15" t="n"/>
      <c r="J485" s="15" t="n"/>
      <c r="K485" s="15" t="n"/>
      <c r="L485" s="15">
        <f>IF($H485="","",MAX($H485-$I485,0))</f>
        <v/>
      </c>
      <c r="M485" s="6">
        <f>IF($H485="","",IFERROR($I485/$H485,""))</f>
        <v/>
      </c>
      <c r="N485" s="6">
        <f>IF($H485="","",IFERROR($J485/$H485,""))</f>
        <v/>
      </c>
      <c r="O485" s="6" t="n"/>
      <c r="P485" s="7" t="n"/>
      <c r="Q485" s="7" t="n"/>
      <c r="R485" s="7" t="n"/>
      <c r="S485" s="7" t="n"/>
      <c r="T485" s="7">
        <f>IF($H485="","",IFERROR($H485*$P485,""))</f>
        <v/>
      </c>
      <c r="U485" s="7" t="n"/>
      <c r="V485" s="7" t="n"/>
      <c r="W485" s="7" t="n"/>
      <c r="X485" s="7">
        <f>IF(OR($U485="",$W485=""),"",($U485+$V485)-$W485)</f>
        <v/>
      </c>
      <c r="Y485" s="8" t="n"/>
      <c r="Z485" s="8" t="n"/>
      <c r="AA485" s="8" t="n"/>
      <c r="AB485" s="8" t="n"/>
      <c r="AC485" s="8" t="n"/>
      <c r="AD485" s="8" t="n"/>
      <c r="AE485" s="8" t="n"/>
      <c r="AF485" s="8" t="n"/>
      <c r="AG485" s="8" t="n"/>
      <c r="AH485" s="8" t="n"/>
      <c r="AI485" s="9" t="n"/>
      <c r="AJ485" s="8" t="n"/>
      <c r="AK485" s="8" t="n"/>
      <c r="AL485" s="15" t="n"/>
      <c r="AM485" s="15" t="n"/>
      <c r="AN485" s="15" t="n"/>
      <c r="AO485" s="15" t="n"/>
      <c r="AP485" s="10" t="n"/>
      <c r="AQ485" s="15">
        <f>IF($B485="","",IF(OR(ISERROR(MATCH($B485,Community_Master!$A$2:$A$100,0)),$A485="",AND($H485&lt;&gt;"",$I485&gt;$H485),AND($H485&lt;&gt;"",$J485&gt;$H485),$I485&lt;0,$J485&lt;0,$K485&lt;0,$P485&lt;0,$Q485&lt;0,$Y485&lt;0,$Z485&lt;0,$AA485&lt;0,$AB485&lt;0,$AC485&lt;0),"ERROR","OK"))</f>
        <v/>
      </c>
      <c r="AR485" s="15">
        <f>IF($B485="","",TRIM(IF(ISERROR(MATCH($B485,Community_Master!$A$2:$A$100,0)),"Invalid Community_ID; ","")&amp;IF($A485="","Missing Report_Month; ","")&amp;IF(AND($H485&lt;&gt;"",$I485&gt;$H485),"Occupied_Units greater than Total_Units; ","")&amp;IF(AND($H485&lt;&gt;"",$J485&gt;$H485),"Leased_Units greater than Total_Units; ","")&amp;IF($I485&lt;0,"Occupied_Units negative; ","")&amp;IF($J485&lt;0,"Leased_Units negative; ","")&amp;IF($P485&lt;0,"Avg_Market_Rent negative; ","")))</f>
        <v/>
      </c>
    </row>
    <row r="486" ht="15" customHeight="1">
      <c r="A486" s="5" t="n"/>
      <c r="B486" s="15" t="n"/>
      <c r="C486" s="15">
        <f>IFERROR(VLOOKUP($B486,Community_Master!$A$2:$K$100,2,FALSE),"")</f>
        <v/>
      </c>
      <c r="D486" s="15">
        <f>IFERROR(VLOOKUP($B486,Community_Master!$A$2:$K$100,4,FALSE),"")</f>
        <v/>
      </c>
      <c r="E486" s="15">
        <f>IFERROR(VLOOKUP($B486,Community_Master!$A$2:$K$100,5,FALSE),"")</f>
        <v/>
      </c>
      <c r="F486" s="15">
        <f>IFERROR(VLOOKUP($B486,Community_Master!$A$2:$K$100,6,FALSE),"")</f>
        <v/>
      </c>
      <c r="G486" s="15">
        <f>IFERROR(VLOOKUP($B486,Community_Master!$A$2:$K$100,8,FALSE),"")</f>
        <v/>
      </c>
      <c r="H486" s="15">
        <f>IFERROR(VLOOKUP($B486,Community_Master!$A$2:$K$100,7,FALSE),"")</f>
        <v/>
      </c>
      <c r="I486" s="15" t="n"/>
      <c r="J486" s="15" t="n"/>
      <c r="K486" s="15" t="n"/>
      <c r="L486" s="15">
        <f>IF($H486="","",MAX($H486-$I486,0))</f>
        <v/>
      </c>
      <c r="M486" s="6">
        <f>IF($H486="","",IFERROR($I486/$H486,""))</f>
        <v/>
      </c>
      <c r="N486" s="6">
        <f>IF($H486="","",IFERROR($J486/$H486,""))</f>
        <v/>
      </c>
      <c r="O486" s="6" t="n"/>
      <c r="P486" s="7" t="n"/>
      <c r="Q486" s="7" t="n"/>
      <c r="R486" s="7" t="n"/>
      <c r="S486" s="7" t="n"/>
      <c r="T486" s="7">
        <f>IF($H486="","",IFERROR($H486*$P486,""))</f>
        <v/>
      </c>
      <c r="U486" s="7" t="n"/>
      <c r="V486" s="7" t="n"/>
      <c r="W486" s="7" t="n"/>
      <c r="X486" s="7">
        <f>IF(OR($U486="",$W486=""),"",($U486+$V486)-$W486)</f>
        <v/>
      </c>
      <c r="Y486" s="8" t="n"/>
      <c r="Z486" s="8" t="n"/>
      <c r="AA486" s="8" t="n"/>
      <c r="AB486" s="8" t="n"/>
      <c r="AC486" s="8" t="n"/>
      <c r="AD486" s="8" t="n"/>
      <c r="AE486" s="8" t="n"/>
      <c r="AF486" s="8" t="n"/>
      <c r="AG486" s="8" t="n"/>
      <c r="AH486" s="8" t="n"/>
      <c r="AI486" s="9" t="n"/>
      <c r="AJ486" s="8" t="n"/>
      <c r="AK486" s="8" t="n"/>
      <c r="AL486" s="15" t="n"/>
      <c r="AM486" s="15" t="n"/>
      <c r="AN486" s="15" t="n"/>
      <c r="AO486" s="15" t="n"/>
      <c r="AP486" s="10" t="n"/>
      <c r="AQ486" s="15">
        <f>IF($B486="","",IF(OR(ISERROR(MATCH($B486,Community_Master!$A$2:$A$100,0)),$A486="",AND($H486&lt;&gt;"",$I486&gt;$H486),AND($H486&lt;&gt;"",$J486&gt;$H486),$I486&lt;0,$J486&lt;0,$K486&lt;0,$P486&lt;0,$Q486&lt;0,$Y486&lt;0,$Z486&lt;0,$AA486&lt;0,$AB486&lt;0,$AC486&lt;0),"ERROR","OK"))</f>
        <v/>
      </c>
      <c r="AR486" s="15">
        <f>IF($B486="","",TRIM(IF(ISERROR(MATCH($B486,Community_Master!$A$2:$A$100,0)),"Invalid Community_ID; ","")&amp;IF($A486="","Missing Report_Month; ","")&amp;IF(AND($H486&lt;&gt;"",$I486&gt;$H486),"Occupied_Units greater than Total_Units; ","")&amp;IF(AND($H486&lt;&gt;"",$J486&gt;$H486),"Leased_Units greater than Total_Units; ","")&amp;IF($I486&lt;0,"Occupied_Units negative; ","")&amp;IF($J486&lt;0,"Leased_Units negative; ","")&amp;IF($P486&lt;0,"Avg_Market_Rent negative; ","")))</f>
        <v/>
      </c>
    </row>
    <row r="487" ht="15" customHeight="1">
      <c r="A487" s="5" t="n"/>
      <c r="B487" s="15" t="n"/>
      <c r="C487" s="15">
        <f>IFERROR(VLOOKUP($B487,Community_Master!$A$2:$K$100,2,FALSE),"")</f>
        <v/>
      </c>
      <c r="D487" s="15">
        <f>IFERROR(VLOOKUP($B487,Community_Master!$A$2:$K$100,4,FALSE),"")</f>
        <v/>
      </c>
      <c r="E487" s="15">
        <f>IFERROR(VLOOKUP($B487,Community_Master!$A$2:$K$100,5,FALSE),"")</f>
        <v/>
      </c>
      <c r="F487" s="15">
        <f>IFERROR(VLOOKUP($B487,Community_Master!$A$2:$K$100,6,FALSE),"")</f>
        <v/>
      </c>
      <c r="G487" s="15">
        <f>IFERROR(VLOOKUP($B487,Community_Master!$A$2:$K$100,8,FALSE),"")</f>
        <v/>
      </c>
      <c r="H487" s="15">
        <f>IFERROR(VLOOKUP($B487,Community_Master!$A$2:$K$100,7,FALSE),"")</f>
        <v/>
      </c>
      <c r="I487" s="15" t="n"/>
      <c r="J487" s="15" t="n"/>
      <c r="K487" s="15" t="n"/>
      <c r="L487" s="15">
        <f>IF($H487="","",MAX($H487-$I487,0))</f>
        <v/>
      </c>
      <c r="M487" s="6">
        <f>IF($H487="","",IFERROR($I487/$H487,""))</f>
        <v/>
      </c>
      <c r="N487" s="6">
        <f>IF($H487="","",IFERROR($J487/$H487,""))</f>
        <v/>
      </c>
      <c r="O487" s="6" t="n"/>
      <c r="P487" s="7" t="n"/>
      <c r="Q487" s="7" t="n"/>
      <c r="R487" s="7" t="n"/>
      <c r="S487" s="7" t="n"/>
      <c r="T487" s="7">
        <f>IF($H487="","",IFERROR($H487*$P487,""))</f>
        <v/>
      </c>
      <c r="U487" s="7" t="n"/>
      <c r="V487" s="7" t="n"/>
      <c r="W487" s="7" t="n"/>
      <c r="X487" s="7">
        <f>IF(OR($U487="",$W487=""),"",($U487+$V487)-$W487)</f>
        <v/>
      </c>
      <c r="Y487" s="8" t="n"/>
      <c r="Z487" s="8" t="n"/>
      <c r="AA487" s="8" t="n"/>
      <c r="AB487" s="8" t="n"/>
      <c r="AC487" s="8" t="n"/>
      <c r="AD487" s="8" t="n"/>
      <c r="AE487" s="8" t="n"/>
      <c r="AF487" s="8" t="n"/>
      <c r="AG487" s="8" t="n"/>
      <c r="AH487" s="8" t="n"/>
      <c r="AI487" s="9" t="n"/>
      <c r="AJ487" s="8" t="n"/>
      <c r="AK487" s="8" t="n"/>
      <c r="AL487" s="15" t="n"/>
      <c r="AM487" s="15" t="n"/>
      <c r="AN487" s="15" t="n"/>
      <c r="AO487" s="15" t="n"/>
      <c r="AP487" s="10" t="n"/>
      <c r="AQ487" s="15">
        <f>IF($B487="","",IF(OR(ISERROR(MATCH($B487,Community_Master!$A$2:$A$100,0)),$A487="",AND($H487&lt;&gt;"",$I487&gt;$H487),AND($H487&lt;&gt;"",$J487&gt;$H487),$I487&lt;0,$J487&lt;0,$K487&lt;0,$P487&lt;0,$Q487&lt;0,$Y487&lt;0,$Z487&lt;0,$AA487&lt;0,$AB487&lt;0,$AC487&lt;0),"ERROR","OK"))</f>
        <v/>
      </c>
      <c r="AR487" s="15">
        <f>IF($B487="","",TRIM(IF(ISERROR(MATCH($B487,Community_Master!$A$2:$A$100,0)),"Invalid Community_ID; ","")&amp;IF($A487="","Missing Report_Month; ","")&amp;IF(AND($H487&lt;&gt;"",$I487&gt;$H487),"Occupied_Units greater than Total_Units; ","")&amp;IF(AND($H487&lt;&gt;"",$J487&gt;$H487),"Leased_Units greater than Total_Units; ","")&amp;IF($I487&lt;0,"Occupied_Units negative; ","")&amp;IF($J487&lt;0,"Leased_Units negative; ","")&amp;IF($P487&lt;0,"Avg_Market_Rent negative; ","")))</f>
        <v/>
      </c>
    </row>
    <row r="488" ht="15" customHeight="1">
      <c r="A488" s="5" t="n"/>
      <c r="B488" s="15" t="n"/>
      <c r="C488" s="15">
        <f>IFERROR(VLOOKUP($B488,Community_Master!$A$2:$K$100,2,FALSE),"")</f>
        <v/>
      </c>
      <c r="D488" s="15">
        <f>IFERROR(VLOOKUP($B488,Community_Master!$A$2:$K$100,4,FALSE),"")</f>
        <v/>
      </c>
      <c r="E488" s="15">
        <f>IFERROR(VLOOKUP($B488,Community_Master!$A$2:$K$100,5,FALSE),"")</f>
        <v/>
      </c>
      <c r="F488" s="15">
        <f>IFERROR(VLOOKUP($B488,Community_Master!$A$2:$K$100,6,FALSE),"")</f>
        <v/>
      </c>
      <c r="G488" s="15">
        <f>IFERROR(VLOOKUP($B488,Community_Master!$A$2:$K$100,8,FALSE),"")</f>
        <v/>
      </c>
      <c r="H488" s="15">
        <f>IFERROR(VLOOKUP($B488,Community_Master!$A$2:$K$100,7,FALSE),"")</f>
        <v/>
      </c>
      <c r="I488" s="15" t="n"/>
      <c r="J488" s="15" t="n"/>
      <c r="K488" s="15" t="n"/>
      <c r="L488" s="15">
        <f>IF($H488="","",MAX($H488-$I488,0))</f>
        <v/>
      </c>
      <c r="M488" s="6">
        <f>IF($H488="","",IFERROR($I488/$H488,""))</f>
        <v/>
      </c>
      <c r="N488" s="6">
        <f>IF($H488="","",IFERROR($J488/$H488,""))</f>
        <v/>
      </c>
      <c r="O488" s="6" t="n"/>
      <c r="P488" s="7" t="n"/>
      <c r="Q488" s="7" t="n"/>
      <c r="R488" s="7" t="n"/>
      <c r="S488" s="7" t="n"/>
      <c r="T488" s="7">
        <f>IF($H488="","",IFERROR($H488*$P488,""))</f>
        <v/>
      </c>
      <c r="U488" s="7" t="n"/>
      <c r="V488" s="7" t="n"/>
      <c r="W488" s="7" t="n"/>
      <c r="X488" s="7">
        <f>IF(OR($U488="",$W488=""),"",($U488+$V488)-$W488)</f>
        <v/>
      </c>
      <c r="Y488" s="8" t="n"/>
      <c r="Z488" s="8" t="n"/>
      <c r="AA488" s="8" t="n"/>
      <c r="AB488" s="8" t="n"/>
      <c r="AC488" s="8" t="n"/>
      <c r="AD488" s="8" t="n"/>
      <c r="AE488" s="8" t="n"/>
      <c r="AF488" s="8" t="n"/>
      <c r="AG488" s="8" t="n"/>
      <c r="AH488" s="8" t="n"/>
      <c r="AI488" s="9" t="n"/>
      <c r="AJ488" s="8" t="n"/>
      <c r="AK488" s="8" t="n"/>
      <c r="AL488" s="15" t="n"/>
      <c r="AM488" s="15" t="n"/>
      <c r="AN488" s="15" t="n"/>
      <c r="AO488" s="15" t="n"/>
      <c r="AP488" s="10" t="n"/>
      <c r="AQ488" s="15">
        <f>IF($B488="","",IF(OR(ISERROR(MATCH($B488,Community_Master!$A$2:$A$100,0)),$A488="",AND($H488&lt;&gt;"",$I488&gt;$H488),AND($H488&lt;&gt;"",$J488&gt;$H488),$I488&lt;0,$J488&lt;0,$K488&lt;0,$P488&lt;0,$Q488&lt;0,$Y488&lt;0,$Z488&lt;0,$AA488&lt;0,$AB488&lt;0,$AC488&lt;0),"ERROR","OK"))</f>
        <v/>
      </c>
      <c r="AR488" s="15">
        <f>IF($B488="","",TRIM(IF(ISERROR(MATCH($B488,Community_Master!$A$2:$A$100,0)),"Invalid Community_ID; ","")&amp;IF($A488="","Missing Report_Month; ","")&amp;IF(AND($H488&lt;&gt;"",$I488&gt;$H488),"Occupied_Units greater than Total_Units; ","")&amp;IF(AND($H488&lt;&gt;"",$J488&gt;$H488),"Leased_Units greater than Total_Units; ","")&amp;IF($I488&lt;0,"Occupied_Units negative; ","")&amp;IF($J488&lt;0,"Leased_Units negative; ","")&amp;IF($P488&lt;0,"Avg_Market_Rent negative; ","")))</f>
        <v/>
      </c>
    </row>
    <row r="489" ht="15" customHeight="1">
      <c r="A489" s="5" t="n"/>
      <c r="B489" s="15" t="n"/>
      <c r="C489" s="15">
        <f>IFERROR(VLOOKUP($B489,Community_Master!$A$2:$K$100,2,FALSE),"")</f>
        <v/>
      </c>
      <c r="D489" s="15">
        <f>IFERROR(VLOOKUP($B489,Community_Master!$A$2:$K$100,4,FALSE),"")</f>
        <v/>
      </c>
      <c r="E489" s="15">
        <f>IFERROR(VLOOKUP($B489,Community_Master!$A$2:$K$100,5,FALSE),"")</f>
        <v/>
      </c>
      <c r="F489" s="15">
        <f>IFERROR(VLOOKUP($B489,Community_Master!$A$2:$K$100,6,FALSE),"")</f>
        <v/>
      </c>
      <c r="G489" s="15">
        <f>IFERROR(VLOOKUP($B489,Community_Master!$A$2:$K$100,8,FALSE),"")</f>
        <v/>
      </c>
      <c r="H489" s="15">
        <f>IFERROR(VLOOKUP($B489,Community_Master!$A$2:$K$100,7,FALSE),"")</f>
        <v/>
      </c>
      <c r="I489" s="15" t="n"/>
      <c r="J489" s="15" t="n"/>
      <c r="K489" s="15" t="n"/>
      <c r="L489" s="15">
        <f>IF($H489="","",MAX($H489-$I489,0))</f>
        <v/>
      </c>
      <c r="M489" s="6">
        <f>IF($H489="","",IFERROR($I489/$H489,""))</f>
        <v/>
      </c>
      <c r="N489" s="6">
        <f>IF($H489="","",IFERROR($J489/$H489,""))</f>
        <v/>
      </c>
      <c r="O489" s="6" t="n"/>
      <c r="P489" s="7" t="n"/>
      <c r="Q489" s="7" t="n"/>
      <c r="R489" s="7" t="n"/>
      <c r="S489" s="7" t="n"/>
      <c r="T489" s="7">
        <f>IF($H489="","",IFERROR($H489*$P489,""))</f>
        <v/>
      </c>
      <c r="U489" s="7" t="n"/>
      <c r="V489" s="7" t="n"/>
      <c r="W489" s="7" t="n"/>
      <c r="X489" s="7">
        <f>IF(OR($U489="",$W489=""),"",($U489+$V489)-$W489)</f>
        <v/>
      </c>
      <c r="Y489" s="8" t="n"/>
      <c r="Z489" s="8" t="n"/>
      <c r="AA489" s="8" t="n"/>
      <c r="AB489" s="8" t="n"/>
      <c r="AC489" s="8" t="n"/>
      <c r="AD489" s="8" t="n"/>
      <c r="AE489" s="8" t="n"/>
      <c r="AF489" s="8" t="n"/>
      <c r="AG489" s="8" t="n"/>
      <c r="AH489" s="8" t="n"/>
      <c r="AI489" s="9" t="n"/>
      <c r="AJ489" s="8" t="n"/>
      <c r="AK489" s="8" t="n"/>
      <c r="AL489" s="15" t="n"/>
      <c r="AM489" s="15" t="n"/>
      <c r="AN489" s="15" t="n"/>
      <c r="AO489" s="15" t="n"/>
      <c r="AP489" s="10" t="n"/>
      <c r="AQ489" s="15">
        <f>IF($B489="","",IF(OR(ISERROR(MATCH($B489,Community_Master!$A$2:$A$100,0)),$A489="",AND($H489&lt;&gt;"",$I489&gt;$H489),AND($H489&lt;&gt;"",$J489&gt;$H489),$I489&lt;0,$J489&lt;0,$K489&lt;0,$P489&lt;0,$Q489&lt;0,$Y489&lt;0,$Z489&lt;0,$AA489&lt;0,$AB489&lt;0,$AC489&lt;0),"ERROR","OK"))</f>
        <v/>
      </c>
      <c r="AR489" s="15">
        <f>IF($B489="","",TRIM(IF(ISERROR(MATCH($B489,Community_Master!$A$2:$A$100,0)),"Invalid Community_ID; ","")&amp;IF($A489="","Missing Report_Month; ","")&amp;IF(AND($H489&lt;&gt;"",$I489&gt;$H489),"Occupied_Units greater than Total_Units; ","")&amp;IF(AND($H489&lt;&gt;"",$J489&gt;$H489),"Leased_Units greater than Total_Units; ","")&amp;IF($I489&lt;0,"Occupied_Units negative; ","")&amp;IF($J489&lt;0,"Leased_Units negative; ","")&amp;IF($P489&lt;0,"Avg_Market_Rent negative; ","")))</f>
        <v/>
      </c>
    </row>
    <row r="490" ht="15" customHeight="1">
      <c r="A490" s="5" t="n"/>
      <c r="B490" s="15" t="n"/>
      <c r="C490" s="15">
        <f>IFERROR(VLOOKUP($B490,Community_Master!$A$2:$K$100,2,FALSE),"")</f>
        <v/>
      </c>
      <c r="D490" s="15">
        <f>IFERROR(VLOOKUP($B490,Community_Master!$A$2:$K$100,4,FALSE),"")</f>
        <v/>
      </c>
      <c r="E490" s="15">
        <f>IFERROR(VLOOKUP($B490,Community_Master!$A$2:$K$100,5,FALSE),"")</f>
        <v/>
      </c>
      <c r="F490" s="15">
        <f>IFERROR(VLOOKUP($B490,Community_Master!$A$2:$K$100,6,FALSE),"")</f>
        <v/>
      </c>
      <c r="G490" s="15">
        <f>IFERROR(VLOOKUP($B490,Community_Master!$A$2:$K$100,8,FALSE),"")</f>
        <v/>
      </c>
      <c r="H490" s="15">
        <f>IFERROR(VLOOKUP($B490,Community_Master!$A$2:$K$100,7,FALSE),"")</f>
        <v/>
      </c>
      <c r="I490" s="15" t="n"/>
      <c r="J490" s="15" t="n"/>
      <c r="K490" s="15" t="n"/>
      <c r="L490" s="15">
        <f>IF($H490="","",MAX($H490-$I490,0))</f>
        <v/>
      </c>
      <c r="M490" s="6">
        <f>IF($H490="","",IFERROR($I490/$H490,""))</f>
        <v/>
      </c>
      <c r="N490" s="6">
        <f>IF($H490="","",IFERROR($J490/$H490,""))</f>
        <v/>
      </c>
      <c r="O490" s="6" t="n"/>
      <c r="P490" s="7" t="n"/>
      <c r="Q490" s="7" t="n"/>
      <c r="R490" s="7" t="n"/>
      <c r="S490" s="7" t="n"/>
      <c r="T490" s="7">
        <f>IF($H490="","",IFERROR($H490*$P490,""))</f>
        <v/>
      </c>
      <c r="U490" s="7" t="n"/>
      <c r="V490" s="7" t="n"/>
      <c r="W490" s="7" t="n"/>
      <c r="X490" s="7">
        <f>IF(OR($U490="",$W490=""),"",($U490+$V490)-$W490)</f>
        <v/>
      </c>
      <c r="Y490" s="8" t="n"/>
      <c r="Z490" s="8" t="n"/>
      <c r="AA490" s="8" t="n"/>
      <c r="AB490" s="8" t="n"/>
      <c r="AC490" s="8" t="n"/>
      <c r="AD490" s="8" t="n"/>
      <c r="AE490" s="8" t="n"/>
      <c r="AF490" s="8" t="n"/>
      <c r="AG490" s="8" t="n"/>
      <c r="AH490" s="8" t="n"/>
      <c r="AI490" s="9" t="n"/>
      <c r="AJ490" s="8" t="n"/>
      <c r="AK490" s="8" t="n"/>
      <c r="AL490" s="15" t="n"/>
      <c r="AM490" s="15" t="n"/>
      <c r="AN490" s="15" t="n"/>
      <c r="AO490" s="15" t="n"/>
      <c r="AP490" s="10" t="n"/>
      <c r="AQ490" s="15">
        <f>IF($B490="","",IF(OR(ISERROR(MATCH($B490,Community_Master!$A$2:$A$100,0)),$A490="",AND($H490&lt;&gt;"",$I490&gt;$H490),AND($H490&lt;&gt;"",$J490&gt;$H490),$I490&lt;0,$J490&lt;0,$K490&lt;0,$P490&lt;0,$Q490&lt;0,$Y490&lt;0,$Z490&lt;0,$AA490&lt;0,$AB490&lt;0,$AC490&lt;0),"ERROR","OK"))</f>
        <v/>
      </c>
      <c r="AR490" s="15">
        <f>IF($B490="","",TRIM(IF(ISERROR(MATCH($B490,Community_Master!$A$2:$A$100,0)),"Invalid Community_ID; ","")&amp;IF($A490="","Missing Report_Month; ","")&amp;IF(AND($H490&lt;&gt;"",$I490&gt;$H490),"Occupied_Units greater than Total_Units; ","")&amp;IF(AND($H490&lt;&gt;"",$J490&gt;$H490),"Leased_Units greater than Total_Units; ","")&amp;IF($I490&lt;0,"Occupied_Units negative; ","")&amp;IF($J490&lt;0,"Leased_Units negative; ","")&amp;IF($P490&lt;0,"Avg_Market_Rent negative; ","")))</f>
        <v/>
      </c>
    </row>
    <row r="491" ht="15" customHeight="1">
      <c r="A491" s="5" t="n"/>
      <c r="B491" s="15" t="n"/>
      <c r="C491" s="15">
        <f>IFERROR(VLOOKUP($B491,Community_Master!$A$2:$K$100,2,FALSE),"")</f>
        <v/>
      </c>
      <c r="D491" s="15">
        <f>IFERROR(VLOOKUP($B491,Community_Master!$A$2:$K$100,4,FALSE),"")</f>
        <v/>
      </c>
      <c r="E491" s="15">
        <f>IFERROR(VLOOKUP($B491,Community_Master!$A$2:$K$100,5,FALSE),"")</f>
        <v/>
      </c>
      <c r="F491" s="15">
        <f>IFERROR(VLOOKUP($B491,Community_Master!$A$2:$K$100,6,FALSE),"")</f>
        <v/>
      </c>
      <c r="G491" s="15">
        <f>IFERROR(VLOOKUP($B491,Community_Master!$A$2:$K$100,8,FALSE),"")</f>
        <v/>
      </c>
      <c r="H491" s="15">
        <f>IFERROR(VLOOKUP($B491,Community_Master!$A$2:$K$100,7,FALSE),"")</f>
        <v/>
      </c>
      <c r="I491" s="15" t="n"/>
      <c r="J491" s="15" t="n"/>
      <c r="K491" s="15" t="n"/>
      <c r="L491" s="15">
        <f>IF($H491="","",MAX($H491-$I491,0))</f>
        <v/>
      </c>
      <c r="M491" s="6">
        <f>IF($H491="","",IFERROR($I491/$H491,""))</f>
        <v/>
      </c>
      <c r="N491" s="6">
        <f>IF($H491="","",IFERROR($J491/$H491,""))</f>
        <v/>
      </c>
      <c r="O491" s="6" t="n"/>
      <c r="P491" s="7" t="n"/>
      <c r="Q491" s="7" t="n"/>
      <c r="R491" s="7" t="n"/>
      <c r="S491" s="7" t="n"/>
      <c r="T491" s="7">
        <f>IF($H491="","",IFERROR($H491*$P491,""))</f>
        <v/>
      </c>
      <c r="U491" s="7" t="n"/>
      <c r="V491" s="7" t="n"/>
      <c r="W491" s="7" t="n"/>
      <c r="X491" s="7">
        <f>IF(OR($U491="",$W491=""),"",($U491+$V491)-$W491)</f>
        <v/>
      </c>
      <c r="Y491" s="8" t="n"/>
      <c r="Z491" s="8" t="n"/>
      <c r="AA491" s="8" t="n"/>
      <c r="AB491" s="8" t="n"/>
      <c r="AC491" s="8" t="n"/>
      <c r="AD491" s="8" t="n"/>
      <c r="AE491" s="8" t="n"/>
      <c r="AF491" s="8" t="n"/>
      <c r="AG491" s="8" t="n"/>
      <c r="AH491" s="8" t="n"/>
      <c r="AI491" s="9" t="n"/>
      <c r="AJ491" s="8" t="n"/>
      <c r="AK491" s="8" t="n"/>
      <c r="AL491" s="15" t="n"/>
      <c r="AM491" s="15" t="n"/>
      <c r="AN491" s="15" t="n"/>
      <c r="AO491" s="15" t="n"/>
      <c r="AP491" s="10" t="n"/>
      <c r="AQ491" s="15">
        <f>IF($B491="","",IF(OR(ISERROR(MATCH($B491,Community_Master!$A$2:$A$100,0)),$A491="",AND($H491&lt;&gt;"",$I491&gt;$H491),AND($H491&lt;&gt;"",$J491&gt;$H491),$I491&lt;0,$J491&lt;0,$K491&lt;0,$P491&lt;0,$Q491&lt;0,$Y491&lt;0,$Z491&lt;0,$AA491&lt;0,$AB491&lt;0,$AC491&lt;0),"ERROR","OK"))</f>
        <v/>
      </c>
      <c r="AR491" s="15">
        <f>IF($B491="","",TRIM(IF(ISERROR(MATCH($B491,Community_Master!$A$2:$A$100,0)),"Invalid Community_ID; ","")&amp;IF($A491="","Missing Report_Month; ","")&amp;IF(AND($H491&lt;&gt;"",$I491&gt;$H491),"Occupied_Units greater than Total_Units; ","")&amp;IF(AND($H491&lt;&gt;"",$J491&gt;$H491),"Leased_Units greater than Total_Units; ","")&amp;IF($I491&lt;0,"Occupied_Units negative; ","")&amp;IF($J491&lt;0,"Leased_Units negative; ","")&amp;IF($P491&lt;0,"Avg_Market_Rent negative; ","")))</f>
        <v/>
      </c>
    </row>
    <row r="492" ht="15" customHeight="1">
      <c r="A492" s="5" t="n"/>
      <c r="B492" s="15" t="n"/>
      <c r="C492" s="15">
        <f>IFERROR(VLOOKUP($B492,Community_Master!$A$2:$K$100,2,FALSE),"")</f>
        <v/>
      </c>
      <c r="D492" s="15">
        <f>IFERROR(VLOOKUP($B492,Community_Master!$A$2:$K$100,4,FALSE),"")</f>
        <v/>
      </c>
      <c r="E492" s="15">
        <f>IFERROR(VLOOKUP($B492,Community_Master!$A$2:$K$100,5,FALSE),"")</f>
        <v/>
      </c>
      <c r="F492" s="15">
        <f>IFERROR(VLOOKUP($B492,Community_Master!$A$2:$K$100,6,FALSE),"")</f>
        <v/>
      </c>
      <c r="G492" s="15">
        <f>IFERROR(VLOOKUP($B492,Community_Master!$A$2:$K$100,8,FALSE),"")</f>
        <v/>
      </c>
      <c r="H492" s="15">
        <f>IFERROR(VLOOKUP($B492,Community_Master!$A$2:$K$100,7,FALSE),"")</f>
        <v/>
      </c>
      <c r="I492" s="15" t="n"/>
      <c r="J492" s="15" t="n"/>
      <c r="K492" s="15" t="n"/>
      <c r="L492" s="15">
        <f>IF($H492="","",MAX($H492-$I492,0))</f>
        <v/>
      </c>
      <c r="M492" s="6">
        <f>IF($H492="","",IFERROR($I492/$H492,""))</f>
        <v/>
      </c>
      <c r="N492" s="6">
        <f>IF($H492="","",IFERROR($J492/$H492,""))</f>
        <v/>
      </c>
      <c r="O492" s="6" t="n"/>
      <c r="P492" s="7" t="n"/>
      <c r="Q492" s="7" t="n"/>
      <c r="R492" s="7" t="n"/>
      <c r="S492" s="7" t="n"/>
      <c r="T492" s="7">
        <f>IF($H492="","",IFERROR($H492*$P492,""))</f>
        <v/>
      </c>
      <c r="U492" s="7" t="n"/>
      <c r="V492" s="7" t="n"/>
      <c r="W492" s="7" t="n"/>
      <c r="X492" s="7">
        <f>IF(OR($U492="",$W492=""),"",($U492+$V492)-$W492)</f>
        <v/>
      </c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9" t="n"/>
      <c r="AJ492" s="8" t="n"/>
      <c r="AK492" s="8" t="n"/>
      <c r="AL492" s="15" t="n"/>
      <c r="AM492" s="15" t="n"/>
      <c r="AN492" s="15" t="n"/>
      <c r="AO492" s="15" t="n"/>
      <c r="AP492" s="10" t="n"/>
      <c r="AQ492" s="15">
        <f>IF($B492="","",IF(OR(ISERROR(MATCH($B492,Community_Master!$A$2:$A$100,0)),$A492="",AND($H492&lt;&gt;"",$I492&gt;$H492),AND($H492&lt;&gt;"",$J492&gt;$H492),$I492&lt;0,$J492&lt;0,$K492&lt;0,$P492&lt;0,$Q492&lt;0,$Y492&lt;0,$Z492&lt;0,$AA492&lt;0,$AB492&lt;0,$AC492&lt;0),"ERROR","OK"))</f>
        <v/>
      </c>
      <c r="AR492" s="15">
        <f>IF($B492="","",TRIM(IF(ISERROR(MATCH($B492,Community_Master!$A$2:$A$100,0)),"Invalid Community_ID; ","")&amp;IF($A492="","Missing Report_Month; ","")&amp;IF(AND($H492&lt;&gt;"",$I492&gt;$H492),"Occupied_Units greater than Total_Units; ","")&amp;IF(AND($H492&lt;&gt;"",$J492&gt;$H492),"Leased_Units greater than Total_Units; ","")&amp;IF($I492&lt;0,"Occupied_Units negative; ","")&amp;IF($J492&lt;0,"Leased_Units negative; ","")&amp;IF($P492&lt;0,"Avg_Market_Rent negative; ","")))</f>
        <v/>
      </c>
    </row>
    <row r="493" ht="15" customHeight="1">
      <c r="A493" s="5" t="n"/>
      <c r="B493" s="15" t="n"/>
      <c r="C493" s="15">
        <f>IFERROR(VLOOKUP($B493,Community_Master!$A$2:$K$100,2,FALSE),"")</f>
        <v/>
      </c>
      <c r="D493" s="15">
        <f>IFERROR(VLOOKUP($B493,Community_Master!$A$2:$K$100,4,FALSE),"")</f>
        <v/>
      </c>
      <c r="E493" s="15">
        <f>IFERROR(VLOOKUP($B493,Community_Master!$A$2:$K$100,5,FALSE),"")</f>
        <v/>
      </c>
      <c r="F493" s="15">
        <f>IFERROR(VLOOKUP($B493,Community_Master!$A$2:$K$100,6,FALSE),"")</f>
        <v/>
      </c>
      <c r="G493" s="15">
        <f>IFERROR(VLOOKUP($B493,Community_Master!$A$2:$K$100,8,FALSE),"")</f>
        <v/>
      </c>
      <c r="H493" s="15">
        <f>IFERROR(VLOOKUP($B493,Community_Master!$A$2:$K$100,7,FALSE),"")</f>
        <v/>
      </c>
      <c r="I493" s="15" t="n"/>
      <c r="J493" s="15" t="n"/>
      <c r="K493" s="15" t="n"/>
      <c r="L493" s="15">
        <f>IF($H493="","",MAX($H493-$I493,0))</f>
        <v/>
      </c>
      <c r="M493" s="6">
        <f>IF($H493="","",IFERROR($I493/$H493,""))</f>
        <v/>
      </c>
      <c r="N493" s="6">
        <f>IF($H493="","",IFERROR($J493/$H493,""))</f>
        <v/>
      </c>
      <c r="O493" s="6" t="n"/>
      <c r="P493" s="7" t="n"/>
      <c r="Q493" s="7" t="n"/>
      <c r="R493" s="7" t="n"/>
      <c r="S493" s="7" t="n"/>
      <c r="T493" s="7">
        <f>IF($H493="","",IFERROR($H493*$P493,""))</f>
        <v/>
      </c>
      <c r="U493" s="7" t="n"/>
      <c r="V493" s="7" t="n"/>
      <c r="W493" s="7" t="n"/>
      <c r="X493" s="7">
        <f>IF(OR($U493="",$W493=""),"",($U493+$V493)-$W493)</f>
        <v/>
      </c>
      <c r="Y493" s="8" t="n"/>
      <c r="Z493" s="8" t="n"/>
      <c r="AA493" s="8" t="n"/>
      <c r="AB493" s="8" t="n"/>
      <c r="AC493" s="8" t="n"/>
      <c r="AD493" s="8" t="n"/>
      <c r="AE493" s="8" t="n"/>
      <c r="AF493" s="8" t="n"/>
      <c r="AG493" s="8" t="n"/>
      <c r="AH493" s="8" t="n"/>
      <c r="AI493" s="9" t="n"/>
      <c r="AJ493" s="8" t="n"/>
      <c r="AK493" s="8" t="n"/>
      <c r="AL493" s="15" t="n"/>
      <c r="AM493" s="15" t="n"/>
      <c r="AN493" s="15" t="n"/>
      <c r="AO493" s="15" t="n"/>
      <c r="AP493" s="10" t="n"/>
      <c r="AQ493" s="15">
        <f>IF($B493="","",IF(OR(ISERROR(MATCH($B493,Community_Master!$A$2:$A$100,0)),$A493="",AND($H493&lt;&gt;"",$I493&gt;$H493),AND($H493&lt;&gt;"",$J493&gt;$H493),$I493&lt;0,$J493&lt;0,$K493&lt;0,$P493&lt;0,$Q493&lt;0,$Y493&lt;0,$Z493&lt;0,$AA493&lt;0,$AB493&lt;0,$AC493&lt;0),"ERROR","OK"))</f>
        <v/>
      </c>
      <c r="AR493" s="15">
        <f>IF($B493="","",TRIM(IF(ISERROR(MATCH($B493,Community_Master!$A$2:$A$100,0)),"Invalid Community_ID; ","")&amp;IF($A493="","Missing Report_Month; ","")&amp;IF(AND($H493&lt;&gt;"",$I493&gt;$H493),"Occupied_Units greater than Total_Units; ","")&amp;IF(AND($H493&lt;&gt;"",$J493&gt;$H493),"Leased_Units greater than Total_Units; ","")&amp;IF($I493&lt;0,"Occupied_Units negative; ","")&amp;IF($J493&lt;0,"Leased_Units negative; ","")&amp;IF($P493&lt;0,"Avg_Market_Rent negative; ","")))</f>
        <v/>
      </c>
    </row>
    <row r="494" ht="15" customHeight="1">
      <c r="A494" s="5" t="n"/>
      <c r="B494" s="15" t="n"/>
      <c r="C494" s="15">
        <f>IFERROR(VLOOKUP($B494,Community_Master!$A$2:$K$100,2,FALSE),"")</f>
        <v/>
      </c>
      <c r="D494" s="15">
        <f>IFERROR(VLOOKUP($B494,Community_Master!$A$2:$K$100,4,FALSE),"")</f>
        <v/>
      </c>
      <c r="E494" s="15">
        <f>IFERROR(VLOOKUP($B494,Community_Master!$A$2:$K$100,5,FALSE),"")</f>
        <v/>
      </c>
      <c r="F494" s="15">
        <f>IFERROR(VLOOKUP($B494,Community_Master!$A$2:$K$100,6,FALSE),"")</f>
        <v/>
      </c>
      <c r="G494" s="15">
        <f>IFERROR(VLOOKUP($B494,Community_Master!$A$2:$K$100,8,FALSE),"")</f>
        <v/>
      </c>
      <c r="H494" s="15">
        <f>IFERROR(VLOOKUP($B494,Community_Master!$A$2:$K$100,7,FALSE),"")</f>
        <v/>
      </c>
      <c r="I494" s="15" t="n"/>
      <c r="J494" s="15" t="n"/>
      <c r="K494" s="15" t="n"/>
      <c r="L494" s="15">
        <f>IF($H494="","",MAX($H494-$I494,0))</f>
        <v/>
      </c>
      <c r="M494" s="6">
        <f>IF($H494="","",IFERROR($I494/$H494,""))</f>
        <v/>
      </c>
      <c r="N494" s="6">
        <f>IF($H494="","",IFERROR($J494/$H494,""))</f>
        <v/>
      </c>
      <c r="O494" s="6" t="n"/>
      <c r="P494" s="7" t="n"/>
      <c r="Q494" s="7" t="n"/>
      <c r="R494" s="7" t="n"/>
      <c r="S494" s="7" t="n"/>
      <c r="T494" s="7">
        <f>IF($H494="","",IFERROR($H494*$P494,""))</f>
        <v/>
      </c>
      <c r="U494" s="7" t="n"/>
      <c r="V494" s="7" t="n"/>
      <c r="W494" s="7" t="n"/>
      <c r="X494" s="7">
        <f>IF(OR($U494="",$W494=""),"",($U494+$V494)-$W494)</f>
        <v/>
      </c>
      <c r="Y494" s="8" t="n"/>
      <c r="Z494" s="8" t="n"/>
      <c r="AA494" s="8" t="n"/>
      <c r="AB494" s="8" t="n"/>
      <c r="AC494" s="8" t="n"/>
      <c r="AD494" s="8" t="n"/>
      <c r="AE494" s="8" t="n"/>
      <c r="AF494" s="8" t="n"/>
      <c r="AG494" s="8" t="n"/>
      <c r="AH494" s="8" t="n"/>
      <c r="AI494" s="9" t="n"/>
      <c r="AJ494" s="8" t="n"/>
      <c r="AK494" s="8" t="n"/>
      <c r="AL494" s="15" t="n"/>
      <c r="AM494" s="15" t="n"/>
      <c r="AN494" s="15" t="n"/>
      <c r="AO494" s="15" t="n"/>
      <c r="AP494" s="10" t="n"/>
      <c r="AQ494" s="15">
        <f>IF($B494="","",IF(OR(ISERROR(MATCH($B494,Community_Master!$A$2:$A$100,0)),$A494="",AND($H494&lt;&gt;"",$I494&gt;$H494),AND($H494&lt;&gt;"",$J494&gt;$H494),$I494&lt;0,$J494&lt;0,$K494&lt;0,$P494&lt;0,$Q494&lt;0,$Y494&lt;0,$Z494&lt;0,$AA494&lt;0,$AB494&lt;0,$AC494&lt;0),"ERROR","OK"))</f>
        <v/>
      </c>
      <c r="AR494" s="15">
        <f>IF($B494="","",TRIM(IF(ISERROR(MATCH($B494,Community_Master!$A$2:$A$100,0)),"Invalid Community_ID; ","")&amp;IF($A494="","Missing Report_Month; ","")&amp;IF(AND($H494&lt;&gt;"",$I494&gt;$H494),"Occupied_Units greater than Total_Units; ","")&amp;IF(AND($H494&lt;&gt;"",$J494&gt;$H494),"Leased_Units greater than Total_Units; ","")&amp;IF($I494&lt;0,"Occupied_Units negative; ","")&amp;IF($J494&lt;0,"Leased_Units negative; ","")&amp;IF($P494&lt;0,"Avg_Market_Rent negative; ","")))</f>
        <v/>
      </c>
    </row>
    <row r="495" ht="15" customHeight="1">
      <c r="A495" s="5" t="n"/>
      <c r="B495" s="15" t="n"/>
      <c r="C495" s="15">
        <f>IFERROR(VLOOKUP($B495,Community_Master!$A$2:$K$100,2,FALSE),"")</f>
        <v/>
      </c>
      <c r="D495" s="15">
        <f>IFERROR(VLOOKUP($B495,Community_Master!$A$2:$K$100,4,FALSE),"")</f>
        <v/>
      </c>
      <c r="E495" s="15">
        <f>IFERROR(VLOOKUP($B495,Community_Master!$A$2:$K$100,5,FALSE),"")</f>
        <v/>
      </c>
      <c r="F495" s="15">
        <f>IFERROR(VLOOKUP($B495,Community_Master!$A$2:$K$100,6,FALSE),"")</f>
        <v/>
      </c>
      <c r="G495" s="15">
        <f>IFERROR(VLOOKUP($B495,Community_Master!$A$2:$K$100,8,FALSE),"")</f>
        <v/>
      </c>
      <c r="H495" s="15">
        <f>IFERROR(VLOOKUP($B495,Community_Master!$A$2:$K$100,7,FALSE),"")</f>
        <v/>
      </c>
      <c r="I495" s="15" t="n"/>
      <c r="J495" s="15" t="n"/>
      <c r="K495" s="15" t="n"/>
      <c r="L495" s="15">
        <f>IF($H495="","",MAX($H495-$I495,0))</f>
        <v/>
      </c>
      <c r="M495" s="6">
        <f>IF($H495="","",IFERROR($I495/$H495,""))</f>
        <v/>
      </c>
      <c r="N495" s="6">
        <f>IF($H495="","",IFERROR($J495/$H495,""))</f>
        <v/>
      </c>
      <c r="O495" s="6" t="n"/>
      <c r="P495" s="7" t="n"/>
      <c r="Q495" s="7" t="n"/>
      <c r="R495" s="7" t="n"/>
      <c r="S495" s="7" t="n"/>
      <c r="T495" s="7">
        <f>IF($H495="","",IFERROR($H495*$P495,""))</f>
        <v/>
      </c>
      <c r="U495" s="7" t="n"/>
      <c r="V495" s="7" t="n"/>
      <c r="W495" s="7" t="n"/>
      <c r="X495" s="7">
        <f>IF(OR($U495="",$W495=""),"",($U495+$V495)-$W495)</f>
        <v/>
      </c>
      <c r="Y495" s="8" t="n"/>
      <c r="Z495" s="8" t="n"/>
      <c r="AA495" s="8" t="n"/>
      <c r="AB495" s="8" t="n"/>
      <c r="AC495" s="8" t="n"/>
      <c r="AD495" s="8" t="n"/>
      <c r="AE495" s="8" t="n"/>
      <c r="AF495" s="8" t="n"/>
      <c r="AG495" s="8" t="n"/>
      <c r="AH495" s="8" t="n"/>
      <c r="AI495" s="9" t="n"/>
      <c r="AJ495" s="8" t="n"/>
      <c r="AK495" s="8" t="n"/>
      <c r="AL495" s="15" t="n"/>
      <c r="AM495" s="15" t="n"/>
      <c r="AN495" s="15" t="n"/>
      <c r="AO495" s="15" t="n"/>
      <c r="AP495" s="10" t="n"/>
      <c r="AQ495" s="15">
        <f>IF($B495="","",IF(OR(ISERROR(MATCH($B495,Community_Master!$A$2:$A$100,0)),$A495="",AND($H495&lt;&gt;"",$I495&gt;$H495),AND($H495&lt;&gt;"",$J495&gt;$H495),$I495&lt;0,$J495&lt;0,$K495&lt;0,$P495&lt;0,$Q495&lt;0,$Y495&lt;0,$Z495&lt;0,$AA495&lt;0,$AB495&lt;0,$AC495&lt;0),"ERROR","OK"))</f>
        <v/>
      </c>
      <c r="AR495" s="15">
        <f>IF($B495="","",TRIM(IF(ISERROR(MATCH($B495,Community_Master!$A$2:$A$100,0)),"Invalid Community_ID; ","")&amp;IF($A495="","Missing Report_Month; ","")&amp;IF(AND($H495&lt;&gt;"",$I495&gt;$H495),"Occupied_Units greater than Total_Units; ","")&amp;IF(AND($H495&lt;&gt;"",$J495&gt;$H495),"Leased_Units greater than Total_Units; ","")&amp;IF($I495&lt;0,"Occupied_Units negative; ","")&amp;IF($J495&lt;0,"Leased_Units negative; ","")&amp;IF($P495&lt;0,"Avg_Market_Rent negative; ","")))</f>
        <v/>
      </c>
    </row>
    <row r="496" ht="15" customHeight="1">
      <c r="A496" s="5" t="n"/>
      <c r="B496" s="15" t="n"/>
      <c r="C496" s="15">
        <f>IFERROR(VLOOKUP($B496,Community_Master!$A$2:$K$100,2,FALSE),"")</f>
        <v/>
      </c>
      <c r="D496" s="15">
        <f>IFERROR(VLOOKUP($B496,Community_Master!$A$2:$K$100,4,FALSE),"")</f>
        <v/>
      </c>
      <c r="E496" s="15">
        <f>IFERROR(VLOOKUP($B496,Community_Master!$A$2:$K$100,5,FALSE),"")</f>
        <v/>
      </c>
      <c r="F496" s="15">
        <f>IFERROR(VLOOKUP($B496,Community_Master!$A$2:$K$100,6,FALSE),"")</f>
        <v/>
      </c>
      <c r="G496" s="15">
        <f>IFERROR(VLOOKUP($B496,Community_Master!$A$2:$K$100,8,FALSE),"")</f>
        <v/>
      </c>
      <c r="H496" s="15">
        <f>IFERROR(VLOOKUP($B496,Community_Master!$A$2:$K$100,7,FALSE),"")</f>
        <v/>
      </c>
      <c r="I496" s="15" t="n"/>
      <c r="J496" s="15" t="n"/>
      <c r="K496" s="15" t="n"/>
      <c r="L496" s="15">
        <f>IF($H496="","",MAX($H496-$I496,0))</f>
        <v/>
      </c>
      <c r="M496" s="6">
        <f>IF($H496="","",IFERROR($I496/$H496,""))</f>
        <v/>
      </c>
      <c r="N496" s="6">
        <f>IF($H496="","",IFERROR($J496/$H496,""))</f>
        <v/>
      </c>
      <c r="O496" s="6" t="n"/>
      <c r="P496" s="7" t="n"/>
      <c r="Q496" s="7" t="n"/>
      <c r="R496" s="7" t="n"/>
      <c r="S496" s="7" t="n"/>
      <c r="T496" s="7">
        <f>IF($H496="","",IFERROR($H496*$P496,""))</f>
        <v/>
      </c>
      <c r="U496" s="7" t="n"/>
      <c r="V496" s="7" t="n"/>
      <c r="W496" s="7" t="n"/>
      <c r="X496" s="7">
        <f>IF(OR($U496="",$W496=""),"",($U496+$V496)-$W496)</f>
        <v/>
      </c>
      <c r="Y496" s="8" t="n"/>
      <c r="Z496" s="8" t="n"/>
      <c r="AA496" s="8" t="n"/>
      <c r="AB496" s="8" t="n"/>
      <c r="AC496" s="8" t="n"/>
      <c r="AD496" s="8" t="n"/>
      <c r="AE496" s="8" t="n"/>
      <c r="AF496" s="8" t="n"/>
      <c r="AG496" s="8" t="n"/>
      <c r="AH496" s="8" t="n"/>
      <c r="AI496" s="9" t="n"/>
      <c r="AJ496" s="8" t="n"/>
      <c r="AK496" s="8" t="n"/>
      <c r="AL496" s="15" t="n"/>
      <c r="AM496" s="15" t="n"/>
      <c r="AN496" s="15" t="n"/>
      <c r="AO496" s="15" t="n"/>
      <c r="AP496" s="10" t="n"/>
      <c r="AQ496" s="15">
        <f>IF($B496="","",IF(OR(ISERROR(MATCH($B496,Community_Master!$A$2:$A$100,0)),$A496="",AND($H496&lt;&gt;"",$I496&gt;$H496),AND($H496&lt;&gt;"",$J496&gt;$H496),$I496&lt;0,$J496&lt;0,$K496&lt;0,$P496&lt;0,$Q496&lt;0,$Y496&lt;0,$Z496&lt;0,$AA496&lt;0,$AB496&lt;0,$AC496&lt;0),"ERROR","OK"))</f>
        <v/>
      </c>
      <c r="AR496" s="15">
        <f>IF($B496="","",TRIM(IF(ISERROR(MATCH($B496,Community_Master!$A$2:$A$100,0)),"Invalid Community_ID; ","")&amp;IF($A496="","Missing Report_Month; ","")&amp;IF(AND($H496&lt;&gt;"",$I496&gt;$H496),"Occupied_Units greater than Total_Units; ","")&amp;IF(AND($H496&lt;&gt;"",$J496&gt;$H496),"Leased_Units greater than Total_Units; ","")&amp;IF($I496&lt;0,"Occupied_Units negative; ","")&amp;IF($J496&lt;0,"Leased_Units negative; ","")&amp;IF($P496&lt;0,"Avg_Market_Rent negative; ","")))</f>
        <v/>
      </c>
    </row>
    <row r="497" ht="15" customHeight="1">
      <c r="A497" s="5" t="n"/>
      <c r="B497" s="15" t="n"/>
      <c r="C497" s="15">
        <f>IFERROR(VLOOKUP($B497,Community_Master!$A$2:$K$100,2,FALSE),"")</f>
        <v/>
      </c>
      <c r="D497" s="15">
        <f>IFERROR(VLOOKUP($B497,Community_Master!$A$2:$K$100,4,FALSE),"")</f>
        <v/>
      </c>
      <c r="E497" s="15">
        <f>IFERROR(VLOOKUP($B497,Community_Master!$A$2:$K$100,5,FALSE),"")</f>
        <v/>
      </c>
      <c r="F497" s="15">
        <f>IFERROR(VLOOKUP($B497,Community_Master!$A$2:$K$100,6,FALSE),"")</f>
        <v/>
      </c>
      <c r="G497" s="15">
        <f>IFERROR(VLOOKUP($B497,Community_Master!$A$2:$K$100,8,FALSE),"")</f>
        <v/>
      </c>
      <c r="H497" s="15">
        <f>IFERROR(VLOOKUP($B497,Community_Master!$A$2:$K$100,7,FALSE),"")</f>
        <v/>
      </c>
      <c r="I497" s="15" t="n"/>
      <c r="J497" s="15" t="n"/>
      <c r="K497" s="15" t="n"/>
      <c r="L497" s="15">
        <f>IF($H497="","",MAX($H497-$I497,0))</f>
        <v/>
      </c>
      <c r="M497" s="6">
        <f>IF($H497="","",IFERROR($I497/$H497,""))</f>
        <v/>
      </c>
      <c r="N497" s="6">
        <f>IF($H497="","",IFERROR($J497/$H497,""))</f>
        <v/>
      </c>
      <c r="O497" s="6" t="n"/>
      <c r="P497" s="7" t="n"/>
      <c r="Q497" s="7" t="n"/>
      <c r="R497" s="7" t="n"/>
      <c r="S497" s="7" t="n"/>
      <c r="T497" s="7">
        <f>IF($H497="","",IFERROR($H497*$P497,""))</f>
        <v/>
      </c>
      <c r="U497" s="7" t="n"/>
      <c r="V497" s="7" t="n"/>
      <c r="W497" s="7" t="n"/>
      <c r="X497" s="7">
        <f>IF(OR($U497="",$W497=""),"",($U497+$V497)-$W497)</f>
        <v/>
      </c>
      <c r="Y497" s="8" t="n"/>
      <c r="Z497" s="8" t="n"/>
      <c r="AA497" s="8" t="n"/>
      <c r="AB497" s="8" t="n"/>
      <c r="AC497" s="8" t="n"/>
      <c r="AD497" s="8" t="n"/>
      <c r="AE497" s="8" t="n"/>
      <c r="AF497" s="8" t="n"/>
      <c r="AG497" s="8" t="n"/>
      <c r="AH497" s="8" t="n"/>
      <c r="AI497" s="9" t="n"/>
      <c r="AJ497" s="8" t="n"/>
      <c r="AK497" s="8" t="n"/>
      <c r="AL497" s="15" t="n"/>
      <c r="AM497" s="15" t="n"/>
      <c r="AN497" s="15" t="n"/>
      <c r="AO497" s="15" t="n"/>
      <c r="AP497" s="10" t="n"/>
      <c r="AQ497" s="15">
        <f>IF($B497="","",IF(OR(ISERROR(MATCH($B497,Community_Master!$A$2:$A$100,0)),$A497="",AND($H497&lt;&gt;"",$I497&gt;$H497),AND($H497&lt;&gt;"",$J497&gt;$H497),$I497&lt;0,$J497&lt;0,$K497&lt;0,$P497&lt;0,$Q497&lt;0,$Y497&lt;0,$Z497&lt;0,$AA497&lt;0,$AB497&lt;0,$AC497&lt;0),"ERROR","OK"))</f>
        <v/>
      </c>
      <c r="AR497" s="15">
        <f>IF($B497="","",TRIM(IF(ISERROR(MATCH($B497,Community_Master!$A$2:$A$100,0)),"Invalid Community_ID; ","")&amp;IF($A497="","Missing Report_Month; ","")&amp;IF(AND($H497&lt;&gt;"",$I497&gt;$H497),"Occupied_Units greater than Total_Units; ","")&amp;IF(AND($H497&lt;&gt;"",$J497&gt;$H497),"Leased_Units greater than Total_Units; ","")&amp;IF($I497&lt;0,"Occupied_Units negative; ","")&amp;IF($J497&lt;0,"Leased_Units negative; ","")&amp;IF($P497&lt;0,"Avg_Market_Rent negative; ","")))</f>
        <v/>
      </c>
    </row>
    <row r="498" ht="15" customHeight="1">
      <c r="A498" s="5" t="n"/>
      <c r="B498" s="15" t="n"/>
      <c r="C498" s="15">
        <f>IFERROR(VLOOKUP($B498,Community_Master!$A$2:$K$100,2,FALSE),"")</f>
        <v/>
      </c>
      <c r="D498" s="15">
        <f>IFERROR(VLOOKUP($B498,Community_Master!$A$2:$K$100,4,FALSE),"")</f>
        <v/>
      </c>
      <c r="E498" s="15">
        <f>IFERROR(VLOOKUP($B498,Community_Master!$A$2:$K$100,5,FALSE),"")</f>
        <v/>
      </c>
      <c r="F498" s="15">
        <f>IFERROR(VLOOKUP($B498,Community_Master!$A$2:$K$100,6,FALSE),"")</f>
        <v/>
      </c>
      <c r="G498" s="15">
        <f>IFERROR(VLOOKUP($B498,Community_Master!$A$2:$K$100,8,FALSE),"")</f>
        <v/>
      </c>
      <c r="H498" s="15">
        <f>IFERROR(VLOOKUP($B498,Community_Master!$A$2:$K$100,7,FALSE),"")</f>
        <v/>
      </c>
      <c r="I498" s="15" t="n"/>
      <c r="J498" s="15" t="n"/>
      <c r="K498" s="15" t="n"/>
      <c r="L498" s="15">
        <f>IF($H498="","",MAX($H498-$I498,0))</f>
        <v/>
      </c>
      <c r="M498" s="6">
        <f>IF($H498="","",IFERROR($I498/$H498,""))</f>
        <v/>
      </c>
      <c r="N498" s="6">
        <f>IF($H498="","",IFERROR($J498/$H498,""))</f>
        <v/>
      </c>
      <c r="O498" s="6" t="n"/>
      <c r="P498" s="7" t="n"/>
      <c r="Q498" s="7" t="n"/>
      <c r="R498" s="7" t="n"/>
      <c r="S498" s="7" t="n"/>
      <c r="T498" s="7">
        <f>IF($H498="","",IFERROR($H498*$P498,""))</f>
        <v/>
      </c>
      <c r="U498" s="7" t="n"/>
      <c r="V498" s="7" t="n"/>
      <c r="W498" s="7" t="n"/>
      <c r="X498" s="7">
        <f>IF(OR($U498="",$W498=""),"",($U498+$V498)-$W498)</f>
        <v/>
      </c>
      <c r="Y498" s="8" t="n"/>
      <c r="Z498" s="8" t="n"/>
      <c r="AA498" s="8" t="n"/>
      <c r="AB498" s="8" t="n"/>
      <c r="AC498" s="8" t="n"/>
      <c r="AD498" s="8" t="n"/>
      <c r="AE498" s="8" t="n"/>
      <c r="AF498" s="8" t="n"/>
      <c r="AG498" s="8" t="n"/>
      <c r="AH498" s="8" t="n"/>
      <c r="AI498" s="9" t="n"/>
      <c r="AJ498" s="8" t="n"/>
      <c r="AK498" s="8" t="n"/>
      <c r="AL498" s="15" t="n"/>
      <c r="AM498" s="15" t="n"/>
      <c r="AN498" s="15" t="n"/>
      <c r="AO498" s="15" t="n"/>
      <c r="AP498" s="10" t="n"/>
      <c r="AQ498" s="15">
        <f>IF($B498="","",IF(OR(ISERROR(MATCH($B498,Community_Master!$A$2:$A$100,0)),$A498="",AND($H498&lt;&gt;"",$I498&gt;$H498),AND($H498&lt;&gt;"",$J498&gt;$H498),$I498&lt;0,$J498&lt;0,$K498&lt;0,$P498&lt;0,$Q498&lt;0,$Y498&lt;0,$Z498&lt;0,$AA498&lt;0,$AB498&lt;0,$AC498&lt;0),"ERROR","OK"))</f>
        <v/>
      </c>
      <c r="AR498" s="15">
        <f>IF($B498="","",TRIM(IF(ISERROR(MATCH($B498,Community_Master!$A$2:$A$100,0)),"Invalid Community_ID; ","")&amp;IF($A498="","Missing Report_Month; ","")&amp;IF(AND($H498&lt;&gt;"",$I498&gt;$H498),"Occupied_Units greater than Total_Units; ","")&amp;IF(AND($H498&lt;&gt;"",$J498&gt;$H498),"Leased_Units greater than Total_Units; ","")&amp;IF($I498&lt;0,"Occupied_Units negative; ","")&amp;IF($J498&lt;0,"Leased_Units negative; ","")&amp;IF($P498&lt;0,"Avg_Market_Rent negative; ","")))</f>
        <v/>
      </c>
    </row>
    <row r="499" ht="15" customHeight="1">
      <c r="A499" s="5" t="n"/>
      <c r="B499" s="15" t="n"/>
      <c r="C499" s="15">
        <f>IFERROR(VLOOKUP($B499,Community_Master!$A$2:$K$100,2,FALSE),"")</f>
        <v/>
      </c>
      <c r="D499" s="15">
        <f>IFERROR(VLOOKUP($B499,Community_Master!$A$2:$K$100,4,FALSE),"")</f>
        <v/>
      </c>
      <c r="E499" s="15">
        <f>IFERROR(VLOOKUP($B499,Community_Master!$A$2:$K$100,5,FALSE),"")</f>
        <v/>
      </c>
      <c r="F499" s="15">
        <f>IFERROR(VLOOKUP($B499,Community_Master!$A$2:$K$100,6,FALSE),"")</f>
        <v/>
      </c>
      <c r="G499" s="15">
        <f>IFERROR(VLOOKUP($B499,Community_Master!$A$2:$K$100,8,FALSE),"")</f>
        <v/>
      </c>
      <c r="H499" s="15">
        <f>IFERROR(VLOOKUP($B499,Community_Master!$A$2:$K$100,7,FALSE),"")</f>
        <v/>
      </c>
      <c r="I499" s="15" t="n"/>
      <c r="J499" s="15" t="n"/>
      <c r="K499" s="15" t="n"/>
      <c r="L499" s="15">
        <f>IF($H499="","",MAX($H499-$I499,0))</f>
        <v/>
      </c>
      <c r="M499" s="6">
        <f>IF($H499="","",IFERROR($I499/$H499,""))</f>
        <v/>
      </c>
      <c r="N499" s="6">
        <f>IF($H499="","",IFERROR($J499/$H499,""))</f>
        <v/>
      </c>
      <c r="O499" s="6" t="n"/>
      <c r="P499" s="7" t="n"/>
      <c r="Q499" s="7" t="n"/>
      <c r="R499" s="7" t="n"/>
      <c r="S499" s="7" t="n"/>
      <c r="T499" s="7">
        <f>IF($H499="","",IFERROR($H499*$P499,""))</f>
        <v/>
      </c>
      <c r="U499" s="7" t="n"/>
      <c r="V499" s="7" t="n"/>
      <c r="W499" s="7" t="n"/>
      <c r="X499" s="7">
        <f>IF(OR($U499="",$W499=""),"",($U499+$V499)-$W499)</f>
        <v/>
      </c>
      <c r="Y499" s="8" t="n"/>
      <c r="Z499" s="8" t="n"/>
      <c r="AA499" s="8" t="n"/>
      <c r="AB499" s="8" t="n"/>
      <c r="AC499" s="8" t="n"/>
      <c r="AD499" s="8" t="n"/>
      <c r="AE499" s="8" t="n"/>
      <c r="AF499" s="8" t="n"/>
      <c r="AG499" s="8" t="n"/>
      <c r="AH499" s="8" t="n"/>
      <c r="AI499" s="9" t="n"/>
      <c r="AJ499" s="8" t="n"/>
      <c r="AK499" s="8" t="n"/>
      <c r="AL499" s="15" t="n"/>
      <c r="AM499" s="15" t="n"/>
      <c r="AN499" s="15" t="n"/>
      <c r="AO499" s="15" t="n"/>
      <c r="AP499" s="10" t="n"/>
      <c r="AQ499" s="15">
        <f>IF($B499="","",IF(OR(ISERROR(MATCH($B499,Community_Master!$A$2:$A$100,0)),$A499="",AND($H499&lt;&gt;"",$I499&gt;$H499),AND($H499&lt;&gt;"",$J499&gt;$H499),$I499&lt;0,$J499&lt;0,$K499&lt;0,$P499&lt;0,$Q499&lt;0,$Y499&lt;0,$Z499&lt;0,$AA499&lt;0,$AB499&lt;0,$AC499&lt;0),"ERROR","OK"))</f>
        <v/>
      </c>
      <c r="AR499" s="15">
        <f>IF($B499="","",TRIM(IF(ISERROR(MATCH($B499,Community_Master!$A$2:$A$100,0)),"Invalid Community_ID; ","")&amp;IF($A499="","Missing Report_Month; ","")&amp;IF(AND($H499&lt;&gt;"",$I499&gt;$H499),"Occupied_Units greater than Total_Units; ","")&amp;IF(AND($H499&lt;&gt;"",$J499&gt;$H499),"Leased_Units greater than Total_Units; ","")&amp;IF($I499&lt;0,"Occupied_Units negative; ","")&amp;IF($J499&lt;0,"Leased_Units negative; ","")&amp;IF($P499&lt;0,"Avg_Market_Rent negative; ","")))</f>
        <v/>
      </c>
    </row>
    <row r="500" ht="15" customHeight="1">
      <c r="A500" s="5" t="n"/>
      <c r="B500" s="15" t="n"/>
      <c r="C500" s="15">
        <f>IFERROR(VLOOKUP($B500,Community_Master!$A$2:$K$100,2,FALSE),"")</f>
        <v/>
      </c>
      <c r="D500" s="15">
        <f>IFERROR(VLOOKUP($B500,Community_Master!$A$2:$K$100,4,FALSE),"")</f>
        <v/>
      </c>
      <c r="E500" s="15">
        <f>IFERROR(VLOOKUP($B500,Community_Master!$A$2:$K$100,5,FALSE),"")</f>
        <v/>
      </c>
      <c r="F500" s="15">
        <f>IFERROR(VLOOKUP($B500,Community_Master!$A$2:$K$100,6,FALSE),"")</f>
        <v/>
      </c>
      <c r="G500" s="15">
        <f>IFERROR(VLOOKUP($B500,Community_Master!$A$2:$K$100,8,FALSE),"")</f>
        <v/>
      </c>
      <c r="H500" s="15">
        <f>IFERROR(VLOOKUP($B500,Community_Master!$A$2:$K$100,7,FALSE),"")</f>
        <v/>
      </c>
      <c r="I500" s="15" t="n"/>
      <c r="J500" s="15" t="n"/>
      <c r="K500" s="15" t="n"/>
      <c r="L500" s="15">
        <f>IF($H500="","",MAX($H500-$I500,0))</f>
        <v/>
      </c>
      <c r="M500" s="6">
        <f>IF($H500="","",IFERROR($I500/$H500,""))</f>
        <v/>
      </c>
      <c r="N500" s="6">
        <f>IF($H500="","",IFERROR($J500/$H500,""))</f>
        <v/>
      </c>
      <c r="O500" s="6" t="n"/>
      <c r="P500" s="7" t="n"/>
      <c r="Q500" s="7" t="n"/>
      <c r="R500" s="7" t="n"/>
      <c r="S500" s="7" t="n"/>
      <c r="T500" s="7">
        <f>IF($H500="","",IFERROR($H500*$P500,""))</f>
        <v/>
      </c>
      <c r="U500" s="7" t="n"/>
      <c r="V500" s="7" t="n"/>
      <c r="W500" s="7" t="n"/>
      <c r="X500" s="7">
        <f>IF(OR($U500="",$W500=""),"",($U500+$V500)-$W500)</f>
        <v/>
      </c>
      <c r="Y500" s="8" t="n"/>
      <c r="Z500" s="8" t="n"/>
      <c r="AA500" s="8" t="n"/>
      <c r="AB500" s="8" t="n"/>
      <c r="AC500" s="8" t="n"/>
      <c r="AD500" s="8" t="n"/>
      <c r="AE500" s="8" t="n"/>
      <c r="AF500" s="8" t="n"/>
      <c r="AG500" s="8" t="n"/>
      <c r="AH500" s="8" t="n"/>
      <c r="AI500" s="9" t="n"/>
      <c r="AJ500" s="8" t="n"/>
      <c r="AK500" s="8" t="n"/>
      <c r="AL500" s="15" t="n"/>
      <c r="AM500" s="15" t="n"/>
      <c r="AN500" s="15" t="n"/>
      <c r="AO500" s="15" t="n"/>
      <c r="AP500" s="10" t="n"/>
      <c r="AQ500" s="15">
        <f>IF($B500="","",IF(OR(ISERROR(MATCH($B500,Community_Master!$A$2:$A$100,0)),$A500="",AND($H500&lt;&gt;"",$I500&gt;$H500),AND($H500&lt;&gt;"",$J500&gt;$H500),$I500&lt;0,$J500&lt;0,$K500&lt;0,$P500&lt;0,$Q500&lt;0,$Y500&lt;0,$Z500&lt;0,$AA500&lt;0,$AB500&lt;0,$AC500&lt;0),"ERROR","OK"))</f>
        <v/>
      </c>
      <c r="AR500" s="15">
        <f>IF($B500="","",TRIM(IF(ISERROR(MATCH($B500,Community_Master!$A$2:$A$100,0)),"Invalid Community_ID; ","")&amp;IF($A500="","Missing Report_Month; ","")&amp;IF(AND($H500&lt;&gt;"",$I500&gt;$H500),"Occupied_Units greater than Total_Units; ","")&amp;IF(AND($H500&lt;&gt;"",$J500&gt;$H500),"Leased_Units greater than Total_Units; ","")&amp;IF($I500&lt;0,"Occupied_Units negative; ","")&amp;IF($J500&lt;0,"Leased_Units negative; ","")&amp;IF($P500&lt;0,"Avg_Market_Rent negative; ","")))</f>
        <v/>
      </c>
    </row>
    <row r="501" ht="15" customHeight="1">
      <c r="A501" s="5" t="n"/>
      <c r="B501" s="15" t="n"/>
      <c r="C501" s="15">
        <f>IFERROR(VLOOKUP($B501,Community_Master!$A$2:$K$100,2,FALSE),"")</f>
        <v/>
      </c>
      <c r="D501" s="15">
        <f>IFERROR(VLOOKUP($B501,Community_Master!$A$2:$K$100,4,FALSE),"")</f>
        <v/>
      </c>
      <c r="E501" s="15">
        <f>IFERROR(VLOOKUP($B501,Community_Master!$A$2:$K$100,5,FALSE),"")</f>
        <v/>
      </c>
      <c r="F501" s="15">
        <f>IFERROR(VLOOKUP($B501,Community_Master!$A$2:$K$100,6,FALSE),"")</f>
        <v/>
      </c>
      <c r="G501" s="15">
        <f>IFERROR(VLOOKUP($B501,Community_Master!$A$2:$K$100,8,FALSE),"")</f>
        <v/>
      </c>
      <c r="H501" s="15">
        <f>IFERROR(VLOOKUP($B501,Community_Master!$A$2:$K$100,7,FALSE),"")</f>
        <v/>
      </c>
      <c r="I501" s="15" t="n"/>
      <c r="J501" s="15" t="n"/>
      <c r="K501" s="15" t="n"/>
      <c r="L501" s="15">
        <f>IF($H501="","",MAX($H501-$I501,0))</f>
        <v/>
      </c>
      <c r="M501" s="6">
        <f>IF($H501="","",IFERROR($I501/$H501,""))</f>
        <v/>
      </c>
      <c r="N501" s="6">
        <f>IF($H501="","",IFERROR($J501/$H501,""))</f>
        <v/>
      </c>
      <c r="O501" s="6" t="n"/>
      <c r="P501" s="7" t="n"/>
      <c r="Q501" s="7" t="n"/>
      <c r="R501" s="7" t="n"/>
      <c r="S501" s="7" t="n"/>
      <c r="T501" s="7">
        <f>IF($H501="","",IFERROR($H501*$P501,""))</f>
        <v/>
      </c>
      <c r="U501" s="7" t="n"/>
      <c r="V501" s="7" t="n"/>
      <c r="W501" s="7" t="n"/>
      <c r="X501" s="7">
        <f>IF(OR($U501="",$W501=""),"",($U501+$V501)-$W501)</f>
        <v/>
      </c>
      <c r="Y501" s="8" t="n"/>
      <c r="Z501" s="8" t="n"/>
      <c r="AA501" s="8" t="n"/>
      <c r="AB501" s="8" t="n"/>
      <c r="AC501" s="8" t="n"/>
      <c r="AD501" s="8" t="n"/>
      <c r="AE501" s="8" t="n"/>
      <c r="AF501" s="8" t="n"/>
      <c r="AG501" s="8" t="n"/>
      <c r="AH501" s="8" t="n"/>
      <c r="AI501" s="9" t="n"/>
      <c r="AJ501" s="8" t="n"/>
      <c r="AK501" s="8" t="n"/>
      <c r="AL501" s="15" t="n"/>
      <c r="AM501" s="15" t="n"/>
      <c r="AN501" s="15" t="n"/>
      <c r="AO501" s="15" t="n"/>
      <c r="AP501" s="10" t="n"/>
      <c r="AQ501" s="15">
        <f>IF($B501="","",IF(OR(ISERROR(MATCH($B501,Community_Master!$A$2:$A$100,0)),$A501="",AND($H501&lt;&gt;"",$I501&gt;$H501),AND($H501&lt;&gt;"",$J501&gt;$H501),$I501&lt;0,$J501&lt;0,$K501&lt;0,$P501&lt;0,$Q501&lt;0,$Y501&lt;0,$Z501&lt;0,$AA501&lt;0,$AB501&lt;0,$AC501&lt;0),"ERROR","OK"))</f>
        <v/>
      </c>
      <c r="AR501" s="15">
        <f>IF($B501="","",TRIM(IF(ISERROR(MATCH($B501,Community_Master!$A$2:$A$100,0)),"Invalid Community_ID; ","")&amp;IF($A501="","Missing Report_Month; ","")&amp;IF(AND($H501&lt;&gt;"",$I501&gt;$H501),"Occupied_Units greater than Total_Units; ","")&amp;IF(AND($H501&lt;&gt;"",$J501&gt;$H501),"Leased_Units greater than Total_Units; ","")&amp;IF($I501&lt;0,"Occupied_Units negative; ","")&amp;IF($J501&lt;0,"Leased_Units negative; ","")&amp;IF($P501&lt;0,"Avg_Market_Rent negative; ","")))</f>
        <v/>
      </c>
    </row>
  </sheetData>
  <conditionalFormatting sqref="M2:N501">
    <cfRule type="colorScale" priority="3">
      <colorScale>
        <cfvo type="min"/>
        <cfvo type="percentile" val="50"/>
        <cfvo type="max"/>
        <color rgb="FFFCA5A5"/>
        <color rgb="FFFDE68A"/>
        <color rgb="FFBBF7D0"/>
      </colorScale>
    </cfRule>
  </conditionalFormatting>
  <conditionalFormatting sqref="AQ2:AQ501">
    <cfRule type="containsText" priority="1" operator="containsText" dxfId="3" text="ERROR"/>
    <cfRule type="containsText" priority="2" operator="containsText" dxfId="0" text="OK"/>
  </conditionalFormatting>
  <dataValidations count="5">
    <dataValidation sqref="B2:B501" showDropDown="0" showInputMessage="0" showErrorMessage="1" allowBlank="0" errorTitle="Invalid Community_ID" error="Use a Community_ID from Community_Master."/>
    <dataValidation sqref="A2:A501" showDropDown="0" showInputMessage="0" showErrorMessage="1" allowBlank="0" errorTitle="Invalid month" error="Use the first day of the reporting month." type="date" errorStyle="warning">
      <formula1>DATE(2025,1,1)</formula1>
      <formula2>DATE(2035,12,31)</formula2>
    </dataValidation>
    <dataValidation sqref="AI2:AI501" showDropDown="0" showInputMessage="0" showErrorMessage="1" allowBlank="1" errorTitle="Rating out of range" error="Review rating must be between 0 and 5." type="decimal" errorStyle="warning">
      <formula1>0</formula1>
      <formula2>5</formula2>
    </dataValidation>
    <dataValidation sqref="AL2:AL501" showDropDown="0" showInputMessage="0" showErrorMessage="0" allowBlank="0" type="list">
      <formula1>"Actual,Budget,Forecast,Prior Month Restatement"</formula1>
    </dataValidation>
    <dataValidation sqref="AM2:AM501" showDropDown="0" showInputMessage="0" showErrorMessage="0" allowBlank="1" type="list">
      <formula1>"Manual Upload,Yardi,Entrata,ResMan,RealPage,AppFolio,Excel Export,Other"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G18" sqref="G18"/>
    </sheetView>
  </sheetViews>
  <sheetFormatPr baseColWidth="10" defaultColWidth="8.83203125" defaultRowHeight="14"/>
  <cols>
    <col width="14" customWidth="1" min="1" max="1"/>
    <col width="22" customWidth="1" min="2" max="2"/>
    <col width="16" customWidth="1" min="3" max="4"/>
    <col width="18" customWidth="1" min="5" max="5"/>
    <col width="16" customWidth="1" min="6" max="6"/>
    <col width="12" customWidth="1" min="7" max="7"/>
    <col width="20" customWidth="1" min="8" max="8"/>
    <col width="16" customWidth="1" min="9" max="9"/>
    <col width="12" customWidth="1" min="10" max="10"/>
    <col width="48" customWidth="1" min="11" max="11"/>
  </cols>
  <sheetData>
    <row r="1" ht="15" customHeight="1">
      <c r="A1" s="19" t="inlineStr">
        <is>
          <t>Community_ID</t>
        </is>
      </c>
      <c r="B1" s="19" t="inlineStr">
        <is>
          <t>Community_Name</t>
        </is>
      </c>
      <c r="C1" s="19" t="inlineStr">
        <is>
          <t>Short_Name</t>
        </is>
      </c>
      <c r="D1" s="19" t="inlineStr">
        <is>
          <t>Region</t>
        </is>
      </c>
      <c r="E1" s="19" t="inlineStr">
        <is>
          <t>Market</t>
        </is>
      </c>
      <c r="F1" s="19" t="inlineStr">
        <is>
          <t>Asset_Type</t>
        </is>
      </c>
      <c r="G1" s="19" t="inlineStr">
        <is>
          <t>Total_Units</t>
        </is>
      </c>
      <c r="H1" s="19" t="inlineStr">
        <is>
          <t>PMS_Property_Code</t>
        </is>
      </c>
      <c r="I1" s="19" t="inlineStr">
        <is>
          <t>Dashboard_Group</t>
        </is>
      </c>
      <c r="J1" s="19" t="inlineStr">
        <is>
          <t>Active_Flag</t>
        </is>
      </c>
      <c r="K1" s="13" t="inlineStr">
        <is>
          <t>Notes</t>
        </is>
      </c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inlineStr">
        <is>
          <t>SER</t>
        </is>
      </c>
      <c r="B2" s="15" t="inlineStr">
        <is>
          <t>Sereno</t>
        </is>
      </c>
      <c r="C2" s="15" t="inlineStr">
        <is>
          <t>Sereno</t>
        </is>
      </c>
      <c r="D2" s="15" t="inlineStr">
        <is>
          <t>Florida</t>
        </is>
      </c>
      <c r="E2" s="15" t="inlineStr">
        <is>
          <t>Jacksonville</t>
        </is>
      </c>
      <c r="F2" s="15" t="inlineStr">
        <is>
          <t>Multifamily</t>
        </is>
      </c>
      <c r="G2" s="15" t="n">
        <v>320</v>
      </c>
      <c r="H2" s="15" t="inlineStr">
        <is>
          <t>SERENO</t>
        </is>
      </c>
      <c r="I2" s="15" t="inlineStr">
        <is>
          <t>Stabilized</t>
        </is>
      </c>
      <c r="J2" s="15" t="inlineStr">
        <is>
          <t>Yes</t>
        </is>
      </c>
      <c r="K2" s="15" t="inlineStr">
        <is>
          <t>Known total units from current ATLAS context.</t>
        </is>
      </c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inlineStr">
        <is>
          <t>GKP</t>
        </is>
      </c>
      <c r="B3" s="15" t="inlineStr">
        <is>
          <t>Glen Kernan Park</t>
        </is>
      </c>
      <c r="C3" s="15" t="inlineStr">
        <is>
          <t>GKP</t>
        </is>
      </c>
      <c r="D3" s="15" t="inlineStr">
        <is>
          <t>Florida</t>
        </is>
      </c>
      <c r="E3" s="15" t="inlineStr">
        <is>
          <t>Jacksonville</t>
        </is>
      </c>
      <c r="F3" s="15" t="inlineStr">
        <is>
          <t>Senior</t>
        </is>
      </c>
      <c r="G3" s="15" t="n">
        <v>308</v>
      </c>
      <c r="H3" s="15" t="inlineStr">
        <is>
          <t>GKP</t>
        </is>
      </c>
      <c r="I3" s="15" t="inlineStr">
        <is>
          <t>Lease-Up</t>
        </is>
      </c>
      <c r="J3" s="15" t="inlineStr">
        <is>
          <t>Yes</t>
        </is>
      </c>
      <c r="K3" s="15" t="inlineStr">
        <is>
          <t>Also referred to as GKP.</t>
        </is>
      </c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NOC</t>
        </is>
      </c>
      <c r="B4" s="15" t="inlineStr">
        <is>
          <t>Nocatee</t>
        </is>
      </c>
      <c r="C4" s="15" t="inlineStr">
        <is>
          <t>Nocatee</t>
        </is>
      </c>
      <c r="D4" s="15" t="inlineStr">
        <is>
          <t>Florida</t>
        </is>
      </c>
      <c r="E4" s="15" t="inlineStr">
        <is>
          <t>Jacksonville</t>
        </is>
      </c>
      <c r="F4" s="15" t="inlineStr">
        <is>
          <t>Senior</t>
        </is>
      </c>
      <c r="G4" s="15" t="n">
        <v>178</v>
      </c>
      <c r="H4" s="15" t="inlineStr">
        <is>
          <t>NOCATEE</t>
        </is>
      </c>
      <c r="I4" s="15" t="inlineStr">
        <is>
          <t>Lease-Up</t>
        </is>
      </c>
      <c r="J4" s="15" t="inlineStr">
        <is>
          <t>Yes</t>
        </is>
      </c>
      <c r="K4" s="15" t="inlineStr">
        <is>
          <t>Community included in dashboard lease-up tracking.</t>
        </is>
      </c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FLO</t>
        </is>
      </c>
      <c r="B5" s="15" t="inlineStr">
        <is>
          <t>Florence Villa</t>
        </is>
      </c>
      <c r="C5" s="15" t="inlineStr">
        <is>
          <t>Florence Villa</t>
        </is>
      </c>
      <c r="D5" s="15" t="inlineStr">
        <is>
          <t>Florida</t>
        </is>
      </c>
      <c r="E5" s="15" t="inlineStr">
        <is>
          <t>Central Florida</t>
        </is>
      </c>
      <c r="F5" s="15" t="inlineStr">
        <is>
          <t>Multifamily</t>
        </is>
      </c>
      <c r="G5" s="15" t="n">
        <v>224</v>
      </c>
      <c r="H5" s="15" t="inlineStr">
        <is>
          <t>FLOVILLA</t>
        </is>
      </c>
      <c r="I5" s="15" t="inlineStr">
        <is>
          <t>Lease-Up</t>
        </is>
      </c>
      <c r="J5" s="15" t="inlineStr">
        <is>
          <t>Yes</t>
        </is>
      </c>
      <c r="K5" s="15" t="inlineStr">
        <is>
          <t>Community included in dashboard lease-up tracking.</t>
        </is>
      </c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BAR</t>
        </is>
      </c>
      <c r="B6" s="15" t="inlineStr">
        <is>
          <t>Bartram</t>
        </is>
      </c>
      <c r="C6" s="15" t="inlineStr">
        <is>
          <t>Bartram</t>
        </is>
      </c>
      <c r="D6" s="15" t="inlineStr">
        <is>
          <t>Florida</t>
        </is>
      </c>
      <c r="E6" s="15" t="inlineStr">
        <is>
          <t>Jacksonville</t>
        </is>
      </c>
      <c r="F6" s="15" t="inlineStr">
        <is>
          <t>Multifamily</t>
        </is>
      </c>
      <c r="G6" s="15" t="n">
        <v>297</v>
      </c>
      <c r="H6" s="15" t="inlineStr">
        <is>
          <t>BARTRAM</t>
        </is>
      </c>
      <c r="I6" s="15" t="inlineStr">
        <is>
          <t>Stabilized</t>
        </is>
      </c>
      <c r="J6" s="15" t="inlineStr">
        <is>
          <t>Yes</t>
        </is>
      </c>
      <c r="K6" s="15" t="inlineStr">
        <is>
          <t>Community included in dashboard occupancy tracking.</t>
        </is>
      </c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CIT</t>
        </is>
      </c>
      <c r="B7" s="15" t="inlineStr">
        <is>
          <t>Citrus Ridge</t>
        </is>
      </c>
      <c r="C7" s="15" t="inlineStr">
        <is>
          <t>Citrus Ridge</t>
        </is>
      </c>
      <c r="D7" s="15" t="inlineStr">
        <is>
          <t>Florida</t>
        </is>
      </c>
      <c r="E7" s="15" t="inlineStr">
        <is>
          <t>Central Florida</t>
        </is>
      </c>
      <c r="F7" s="15" t="inlineStr">
        <is>
          <t>Multifamily</t>
        </is>
      </c>
      <c r="G7" s="15" t="n">
        <v>222</v>
      </c>
      <c r="H7" s="15" t="inlineStr">
        <is>
          <t>CITRIDGE</t>
        </is>
      </c>
      <c r="I7" s="15" t="inlineStr">
        <is>
          <t>Lease-Up</t>
        </is>
      </c>
      <c r="J7" s="15" t="inlineStr">
        <is>
          <t>Yes</t>
        </is>
      </c>
      <c r="K7" s="15" t="inlineStr">
        <is>
          <t>Community included in dashboard lease-up tracking.</t>
        </is>
      </c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VIE</t>
        </is>
      </c>
      <c r="B8" s="15" t="inlineStr">
        <is>
          <t>Viera</t>
        </is>
      </c>
      <c r="C8" s="15" t="inlineStr">
        <is>
          <t>Viera</t>
        </is>
      </c>
      <c r="D8" s="15" t="inlineStr">
        <is>
          <t>Florida</t>
        </is>
      </c>
      <c r="E8" s="15" t="inlineStr">
        <is>
          <t>Space Coast</t>
        </is>
      </c>
      <c r="F8" s="15" t="inlineStr">
        <is>
          <t>Senior</t>
        </is>
      </c>
      <c r="G8" s="15" t="n">
        <v>166</v>
      </c>
      <c r="H8" s="15" t="inlineStr">
        <is>
          <t>VIERA</t>
        </is>
      </c>
      <c r="I8" s="15" t="inlineStr">
        <is>
          <t>Lease-Up</t>
        </is>
      </c>
      <c r="J8" s="15" t="inlineStr">
        <is>
          <t>Yes</t>
        </is>
      </c>
      <c r="K8" s="15" t="inlineStr">
        <is>
          <t>Community included in dashboard lease-up tracking.</t>
        </is>
      </c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BAY</t>
        </is>
      </c>
      <c r="B9" s="15" t="inlineStr">
        <is>
          <t>Baymeadows</t>
        </is>
      </c>
      <c r="C9" s="15" t="inlineStr">
        <is>
          <t>Baymeadows</t>
        </is>
      </c>
      <c r="D9" s="15" t="inlineStr">
        <is>
          <t>Florida</t>
        </is>
      </c>
      <c r="E9" s="15" t="inlineStr">
        <is>
          <t>Jacksonville</t>
        </is>
      </c>
      <c r="F9" s="15" t="inlineStr">
        <is>
          <t>Multifamily</t>
        </is>
      </c>
      <c r="G9" s="15" t="n">
        <v>340</v>
      </c>
      <c r="H9" s="15" t="inlineStr">
        <is>
          <t>BAYMEADOWS</t>
        </is>
      </c>
      <c r="I9" s="15" t="inlineStr">
        <is>
          <t>Lease-Up</t>
        </is>
      </c>
      <c r="J9" s="15" t="inlineStr">
        <is>
          <t>Yes</t>
        </is>
      </c>
      <c r="K9" s="15" t="inlineStr">
        <is>
          <t>Community included in dashboard lease-up tracking.</t>
        </is>
      </c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DOR</t>
        </is>
      </c>
      <c r="B10" s="15" t="inlineStr">
        <is>
          <t>Doro</t>
        </is>
      </c>
      <c r="C10" s="15" t="inlineStr">
        <is>
          <t>Doro</t>
        </is>
      </c>
      <c r="D10" s="15" t="inlineStr">
        <is>
          <t>Florida</t>
        </is>
      </c>
      <c r="E10" s="15" t="inlineStr">
        <is>
          <t>Jacksonville</t>
        </is>
      </c>
      <c r="F10" s="15" t="inlineStr">
        <is>
          <t>Multifamily</t>
        </is>
      </c>
      <c r="G10" s="15" t="n">
        <v>247</v>
      </c>
      <c r="H10" s="15" t="inlineStr">
        <is>
          <t>DORO</t>
        </is>
      </c>
      <c r="I10" s="15" t="inlineStr">
        <is>
          <t>Stabilized</t>
        </is>
      </c>
      <c r="J10" s="15" t="inlineStr">
        <is>
          <t>Yes</t>
        </is>
      </c>
      <c r="K10" s="15" t="inlineStr">
        <is>
          <t>Known total units from portfolio context.</t>
        </is>
      </c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inlineStr">
        <is>
          <t>STA</t>
        </is>
      </c>
      <c r="B11" s="15" t="inlineStr">
        <is>
          <t>St Augustine</t>
        </is>
      </c>
      <c r="C11" s="15" t="inlineStr">
        <is>
          <t>St Augustine</t>
        </is>
      </c>
      <c r="D11" s="15" t="inlineStr">
        <is>
          <t>Florida</t>
        </is>
      </c>
      <c r="E11" s="15" t="inlineStr">
        <is>
          <t>St. Augustine</t>
        </is>
      </c>
      <c r="F11" s="15" t="inlineStr">
        <is>
          <t>Lease-Up</t>
        </is>
      </c>
      <c r="G11" s="15" t="n">
        <v>272</v>
      </c>
      <c r="H11" s="15" t="inlineStr">
        <is>
          <t>STAUGUSTINE</t>
        </is>
      </c>
      <c r="I11" s="15" t="inlineStr">
        <is>
          <t>Lease-Up</t>
        </is>
      </c>
      <c r="J11" s="15" t="inlineStr">
        <is>
          <t>Yes</t>
        </is>
      </c>
      <c r="K11" s="15" t="inlineStr">
        <is>
          <t>Added for May 2026 St Augustine monthly upload mapping.</t>
        </is>
      </c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"/>
    </sheetView>
  </sheetViews>
  <sheetFormatPr baseColWidth="10" defaultColWidth="8.83203125" defaultRowHeight="14"/>
  <cols>
    <col width="24" customWidth="1" min="1" max="1"/>
    <col width="10" customWidth="1" min="2" max="2"/>
    <col width="18" customWidth="1" min="3" max="3"/>
    <col width="34" customWidth="1" min="4" max="4"/>
    <col width="48" customWidth="1" min="5" max="5"/>
    <col width="18" customWidth="1" min="6" max="6"/>
  </cols>
  <sheetData>
    <row r="1" ht="15" customHeight="1">
      <c r="A1" s="19" t="inlineStr">
        <is>
          <t>Field</t>
        </is>
      </c>
      <c r="B1" s="19" t="inlineStr">
        <is>
          <t>Required</t>
        </is>
      </c>
      <c r="C1" s="19" t="inlineStr">
        <is>
          <t>Type</t>
        </is>
      </c>
      <c r="D1" s="13" t="inlineStr">
        <is>
          <t>Allowed / Formula</t>
        </is>
      </c>
      <c r="E1" s="13" t="inlineStr">
        <is>
          <t>Agent Rule</t>
        </is>
      </c>
      <c r="F1" s="13" t="inlineStr">
        <is>
          <t>Power BI Role</t>
        </is>
      </c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inlineStr">
        <is>
          <t>Report_Month</t>
        </is>
      </c>
      <c r="B2" s="15" t="inlineStr">
        <is>
          <t>Yes</t>
        </is>
      </c>
      <c r="C2" s="15" t="inlineStr">
        <is>
          <t>Date</t>
        </is>
      </c>
      <c r="D2" s="15" t="inlineStr">
        <is>
          <t>First day of reporting month</t>
        </is>
      </c>
      <c r="E2" s="15" t="inlineStr">
        <is>
          <t>Load or calculate per ATLAS monthly update rules</t>
        </is>
      </c>
      <c r="F2" s="15" t="inlineStr">
        <is>
          <t>Date key</t>
        </is>
      </c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inlineStr">
        <is>
          <t>Community_ID</t>
        </is>
      </c>
      <c r="B3" s="15" t="inlineStr">
        <is>
          <t>Yes</t>
        </is>
      </c>
      <c r="C3" s="15" t="inlineStr">
        <is>
          <t>Text</t>
        </is>
      </c>
      <c r="D3" s="15" t="inlineStr">
        <is>
          <t>Use dropdown where available</t>
        </is>
      </c>
      <c r="E3" s="15" t="inlineStr">
        <is>
          <t>Load or calculate per ATLAS monthly update rules</t>
        </is>
      </c>
      <c r="F3" s="15" t="inlineStr">
        <is>
          <t>Dimension key</t>
        </is>
      </c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Community_Name</t>
        </is>
      </c>
      <c r="B4" s="15" t="inlineStr">
        <is>
          <t>No</t>
        </is>
      </c>
      <c r="C4" s="15" t="inlineStr">
        <is>
          <t>Formula / Derived</t>
        </is>
      </c>
      <c r="D4" s="15" t="inlineStr">
        <is>
          <t>Do not manually overwrite unless correcting formula logic</t>
        </is>
      </c>
      <c r="E4" s="15" t="inlineStr">
        <is>
          <t>Map from Community_Master using Community_ID</t>
        </is>
      </c>
      <c r="F4" s="15" t="inlineStr">
        <is>
          <t>Attribute</t>
        </is>
      </c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Region</t>
        </is>
      </c>
      <c r="B5" s="15" t="inlineStr">
        <is>
          <t>No</t>
        </is>
      </c>
      <c r="C5" s="15" t="inlineStr">
        <is>
          <t>Formula / Derived</t>
        </is>
      </c>
      <c r="D5" s="15" t="inlineStr">
        <is>
          <t>Do not manually overwrite unless correcting formula logic</t>
        </is>
      </c>
      <c r="E5" s="15" t="inlineStr">
        <is>
          <t>Map from Community_Master using Community_ID</t>
        </is>
      </c>
      <c r="F5" s="15" t="inlineStr">
        <is>
          <t>Attribute</t>
        </is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Market</t>
        </is>
      </c>
      <c r="B6" s="15" t="inlineStr">
        <is>
          <t>No</t>
        </is>
      </c>
      <c r="C6" s="15" t="inlineStr">
        <is>
          <t>Formula / Derived</t>
        </is>
      </c>
      <c r="D6" s="15" t="inlineStr">
        <is>
          <t>Do not manually overwrite unless correcting formula logic</t>
        </is>
      </c>
      <c r="E6" s="15" t="inlineStr">
        <is>
          <t>Map from Community_Master using Community_ID</t>
        </is>
      </c>
      <c r="F6" s="15" t="inlineStr">
        <is>
          <t>Attribute</t>
        </is>
      </c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Asset_Type</t>
        </is>
      </c>
      <c r="B7" s="15" t="inlineStr">
        <is>
          <t>No</t>
        </is>
      </c>
      <c r="C7" s="15" t="inlineStr">
        <is>
          <t>Formula / Derived</t>
        </is>
      </c>
      <c r="D7" s="15" t="inlineStr">
        <is>
          <t>Do not manually overwrite unless correcting formula logic</t>
        </is>
      </c>
      <c r="E7" s="15" t="inlineStr">
        <is>
          <t>Map from Community_Master using Community_ID</t>
        </is>
      </c>
      <c r="F7" s="15" t="inlineStr">
        <is>
          <t>Attribute</t>
        </is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PMS_Property_Code</t>
        </is>
      </c>
      <c r="B8" s="15" t="inlineStr">
        <is>
          <t>No</t>
        </is>
      </c>
      <c r="C8" s="15" t="inlineStr">
        <is>
          <t>Formula / Derived</t>
        </is>
      </c>
      <c r="D8" s="15" t="inlineStr">
        <is>
          <t>Do not manually overwrite unless correcting formula logic</t>
        </is>
      </c>
      <c r="E8" s="15" t="inlineStr">
        <is>
          <t>Map from Community_Master using Community_ID</t>
        </is>
      </c>
      <c r="F8" s="15" t="inlineStr">
        <is>
          <t>Attribute</t>
        </is>
      </c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Total_Units</t>
        </is>
      </c>
      <c r="B9" s="15" t="inlineStr">
        <is>
          <t>No</t>
        </is>
      </c>
      <c r="C9" s="15" t="inlineStr">
        <is>
          <t>Number</t>
        </is>
      </c>
      <c r="D9" s="15" t="inlineStr">
        <is>
          <t>&gt;= 0 unless otherwise noted</t>
        </is>
      </c>
      <c r="E9" s="15" t="inlineStr">
        <is>
          <t>Map from Community_Master using Community_ID</t>
        </is>
      </c>
      <c r="F9" s="15" t="inlineStr">
        <is>
          <t>Measure</t>
        </is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Occupied_Units</t>
        </is>
      </c>
      <c r="B10" s="15" t="inlineStr">
        <is>
          <t>Yes</t>
        </is>
      </c>
      <c r="C10" s="15" t="inlineStr">
        <is>
          <t>Number</t>
        </is>
      </c>
      <c r="D10" s="15" t="inlineStr">
        <is>
          <t>&gt;= 0 unless otherwise noted</t>
        </is>
      </c>
      <c r="E10" s="15" t="inlineStr">
        <is>
          <t>Load or calculate per ATLAS monthly update rules</t>
        </is>
      </c>
      <c r="F10" s="15" t="inlineStr">
        <is>
          <t>Measure</t>
        </is>
      </c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inlineStr">
        <is>
          <t>Leased_Units</t>
        </is>
      </c>
      <c r="B11" s="15" t="inlineStr">
        <is>
          <t>Yes</t>
        </is>
      </c>
      <c r="C11" s="15" t="inlineStr">
        <is>
          <t>Number</t>
        </is>
      </c>
      <c r="D11" s="15" t="inlineStr">
        <is>
          <t>&gt;= 0 unless otherwise noted</t>
        </is>
      </c>
      <c r="E11" s="15" t="inlineStr">
        <is>
          <t>Load or calculate per ATLAS monthly update rules</t>
        </is>
      </c>
      <c r="F11" s="15" t="inlineStr">
        <is>
          <t>Measure</t>
        </is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inlineStr">
        <is>
          <t>Preleased_Units</t>
        </is>
      </c>
      <c r="B12" s="15" t="inlineStr">
        <is>
          <t>No</t>
        </is>
      </c>
      <c r="C12" s="15" t="inlineStr">
        <is>
          <t>Number</t>
        </is>
      </c>
      <c r="D12" s="15" t="inlineStr">
        <is>
          <t>&gt;= 0 unless otherwise noted</t>
        </is>
      </c>
      <c r="E12" s="15" t="inlineStr">
        <is>
          <t>Load or calculate per ATLAS monthly update rules</t>
        </is>
      </c>
      <c r="F12" s="15" t="inlineStr">
        <is>
          <t>Measure</t>
        </is>
      </c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inlineStr">
        <is>
          <t>Vacant_Units</t>
        </is>
      </c>
      <c r="B13" s="15" t="inlineStr">
        <is>
          <t>No</t>
        </is>
      </c>
      <c r="C13" s="15" t="inlineStr">
        <is>
          <t>Number</t>
        </is>
      </c>
      <c r="D13" s="15" t="inlineStr">
        <is>
          <t>&gt;= 0 unless otherwise noted</t>
        </is>
      </c>
      <c r="E13" s="15" t="inlineStr">
        <is>
          <t>Load or calculate per ATLAS monthly update rules</t>
        </is>
      </c>
      <c r="F13" s="15" t="inlineStr">
        <is>
          <t>Measure</t>
        </is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inlineStr">
        <is>
          <t>Physical_Occupancy_%</t>
        </is>
      </c>
      <c r="B14" s="15" t="inlineStr">
        <is>
          <t>No</t>
        </is>
      </c>
      <c r="C14" s="15" t="inlineStr">
        <is>
          <t>Number</t>
        </is>
      </c>
      <c r="D14" s="15" t="inlineStr">
        <is>
          <t>&gt;= 0 unless otherwise noted</t>
        </is>
      </c>
      <c r="E14" s="15" t="inlineStr">
        <is>
          <t>Load or calculate per ATLAS monthly update rules</t>
        </is>
      </c>
      <c r="F14" s="15" t="inlineStr">
        <is>
          <t>Measure</t>
        </is>
      </c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inlineStr">
        <is>
          <t>Leased_%</t>
        </is>
      </c>
      <c r="B15" s="15" t="inlineStr">
        <is>
          <t>No</t>
        </is>
      </c>
      <c r="C15" s="15" t="inlineStr">
        <is>
          <t>Number</t>
        </is>
      </c>
      <c r="D15" s="15" t="inlineStr">
        <is>
          <t>&gt;= 0 unless otherwise noted</t>
        </is>
      </c>
      <c r="E15" s="15" t="inlineStr">
        <is>
          <t>Load or calculate per ATLAS monthly update rules</t>
        </is>
      </c>
      <c r="F15" s="15" t="inlineStr">
        <is>
          <t>Measure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inlineStr">
        <is>
          <t>Economic_Occupancy_%</t>
        </is>
      </c>
      <c r="B16" s="15" t="inlineStr">
        <is>
          <t>No</t>
        </is>
      </c>
      <c r="C16" s="15" t="inlineStr">
        <is>
          <t>Number</t>
        </is>
      </c>
      <c r="D16" s="15" t="inlineStr">
        <is>
          <t>&gt;= 0 unless otherwise noted</t>
        </is>
      </c>
      <c r="E16" s="15" t="inlineStr">
        <is>
          <t>Load or calculate per ATLAS monthly update rules</t>
        </is>
      </c>
      <c r="F16" s="15" t="inlineStr">
        <is>
          <t>Measure</t>
        </is>
      </c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inlineStr">
        <is>
          <t>Avg_Market_Rent</t>
        </is>
      </c>
      <c r="B17" s="15" t="inlineStr">
        <is>
          <t>No</t>
        </is>
      </c>
      <c r="C17" s="15" t="inlineStr">
        <is>
          <t>Number</t>
        </is>
      </c>
      <c r="D17" s="15" t="inlineStr">
        <is>
          <t>&gt;= 0 unless otherwise noted</t>
        </is>
      </c>
      <c r="E17" s="15" t="inlineStr">
        <is>
          <t>Load or calculate per ATLAS monthly update rules</t>
        </is>
      </c>
      <c r="F17" s="15" t="inlineStr">
        <is>
          <t>Measure</t>
        </is>
      </c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inlineStr">
        <is>
          <t>Actual_Rent</t>
        </is>
      </c>
      <c r="B18" s="15" t="inlineStr">
        <is>
          <t>No</t>
        </is>
      </c>
      <c r="C18" s="15" t="inlineStr">
        <is>
          <t>Number</t>
        </is>
      </c>
      <c r="D18" s="15" t="inlineStr">
        <is>
          <t>&gt;= 0 unless otherwise noted</t>
        </is>
      </c>
      <c r="E18" s="15" t="inlineStr">
        <is>
          <t>Load or calculate per ATLAS monthly update rules</t>
        </is>
      </c>
      <c r="F18" s="15" t="inlineStr">
        <is>
          <t>Measure</t>
        </is>
      </c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inlineStr">
        <is>
          <t>Concessions_$</t>
        </is>
      </c>
      <c r="B19" s="15" t="inlineStr">
        <is>
          <t>No</t>
        </is>
      </c>
      <c r="C19" s="15" t="inlineStr">
        <is>
          <t>Number</t>
        </is>
      </c>
      <c r="D19" s="15" t="inlineStr">
        <is>
          <t>&gt;= 0 unless otherwise noted</t>
        </is>
      </c>
      <c r="E19" s="15" t="inlineStr">
        <is>
          <t>Load or calculate per ATLAS monthly update rules</t>
        </is>
      </c>
      <c r="F19" s="15" t="inlineStr">
        <is>
          <t>Measure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inlineStr">
        <is>
          <t>Delinquency_$</t>
        </is>
      </c>
      <c r="B20" s="15" t="inlineStr">
        <is>
          <t>No</t>
        </is>
      </c>
      <c r="C20" s="15" t="inlineStr">
        <is>
          <t>Number</t>
        </is>
      </c>
      <c r="D20" s="15" t="inlineStr">
        <is>
          <t>&gt;= 0 unless otherwise noted</t>
        </is>
      </c>
      <c r="E20" s="15" t="inlineStr">
        <is>
          <t>Load or calculate per ATLAS monthly update rules</t>
        </is>
      </c>
      <c r="F20" s="15" t="inlineStr">
        <is>
          <t>Measure</t>
        </is>
      </c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inlineStr">
        <is>
          <t>Gross_Potential_Rent_$</t>
        </is>
      </c>
      <c r="B21" s="15" t="inlineStr">
        <is>
          <t>No</t>
        </is>
      </c>
      <c r="C21" s="15" t="inlineStr">
        <is>
          <t>Number</t>
        </is>
      </c>
      <c r="D21" s="15" t="inlineStr">
        <is>
          <t>&gt;= 0 unless otherwise noted</t>
        </is>
      </c>
      <c r="E21" s="15" t="inlineStr">
        <is>
          <t>Load or calculate per ATLAS monthly update rules</t>
        </is>
      </c>
      <c r="F21" s="15" t="inlineStr">
        <is>
          <t>Measure</t>
        </is>
      </c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inlineStr">
        <is>
          <t>Collected_Rent_$</t>
        </is>
      </c>
      <c r="B22" s="15" t="inlineStr">
        <is>
          <t>No</t>
        </is>
      </c>
      <c r="C22" s="15" t="inlineStr">
        <is>
          <t>Number</t>
        </is>
      </c>
      <c r="D22" s="15" t="inlineStr">
        <is>
          <t>&gt;= 0 unless otherwise noted</t>
        </is>
      </c>
      <c r="E22" s="15" t="inlineStr">
        <is>
          <t>Load or calculate per ATLAS monthly update rules</t>
        </is>
      </c>
      <c r="F22" s="15" t="inlineStr">
        <is>
          <t>Measure</t>
        </is>
      </c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inlineStr">
        <is>
          <t>Other_Income_$</t>
        </is>
      </c>
      <c r="B23" s="15" t="inlineStr">
        <is>
          <t>No</t>
        </is>
      </c>
      <c r="C23" s="15" t="inlineStr">
        <is>
          <t>Number</t>
        </is>
      </c>
      <c r="D23" s="15" t="inlineStr">
        <is>
          <t>&gt;= 0 unless otherwise noted</t>
        </is>
      </c>
      <c r="E23" s="15" t="inlineStr">
        <is>
          <t>Load or calculate per ATLAS monthly update rules</t>
        </is>
      </c>
      <c r="F23" s="15" t="inlineStr">
        <is>
          <t>Measure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inlineStr">
        <is>
          <t>Operating_Expenses_$</t>
        </is>
      </c>
      <c r="B24" s="15" t="inlineStr">
        <is>
          <t>No</t>
        </is>
      </c>
      <c r="C24" s="15" t="inlineStr">
        <is>
          <t>Number</t>
        </is>
      </c>
      <c r="D24" s="15" t="inlineStr">
        <is>
          <t>&gt;= 0 unless otherwise noted</t>
        </is>
      </c>
      <c r="E24" s="15" t="inlineStr">
        <is>
          <t>Load or calculate per ATLAS monthly update rules</t>
        </is>
      </c>
      <c r="F24" s="15" t="inlineStr">
        <is>
          <t>Measure</t>
        </is>
      </c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inlineStr">
        <is>
          <t>NOI_$</t>
        </is>
      </c>
      <c r="B25" s="15" t="inlineStr">
        <is>
          <t>No</t>
        </is>
      </c>
      <c r="C25" s="15" t="inlineStr">
        <is>
          <t>Number</t>
        </is>
      </c>
      <c r="D25" s="15" t="inlineStr">
        <is>
          <t>&gt;= 0 unless otherwise noted</t>
        </is>
      </c>
      <c r="E25" s="15" t="inlineStr">
        <is>
          <t>Load or calculate per ATLAS monthly update rules</t>
        </is>
      </c>
      <c r="F25" s="15" t="inlineStr">
        <is>
          <t>Measure</t>
        </is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inlineStr">
        <is>
          <t>Traffic</t>
        </is>
      </c>
      <c r="B26" s="15" t="inlineStr">
        <is>
          <t>No</t>
        </is>
      </c>
      <c r="C26" s="15" t="inlineStr">
        <is>
          <t>Number</t>
        </is>
      </c>
      <c r="D26" s="15" t="inlineStr">
        <is>
          <t>&gt;= 0 unless otherwise noted</t>
        </is>
      </c>
      <c r="E26" s="15" t="inlineStr">
        <is>
          <t>Load or calculate per ATLAS monthly update rules</t>
        </is>
      </c>
      <c r="F26" s="15" t="inlineStr">
        <is>
          <t>Measure</t>
        </is>
      </c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inlineStr">
        <is>
          <t>Leads</t>
        </is>
      </c>
      <c r="B27" s="15" t="inlineStr">
        <is>
          <t>No</t>
        </is>
      </c>
      <c r="C27" s="15" t="inlineStr">
        <is>
          <t>Number</t>
        </is>
      </c>
      <c r="D27" s="15" t="inlineStr">
        <is>
          <t>&gt;= 0 unless otherwise noted</t>
        </is>
      </c>
      <c r="E27" s="15" t="inlineStr">
        <is>
          <t>Load or calculate per ATLAS monthly update rules</t>
        </is>
      </c>
      <c r="F27" s="15" t="inlineStr">
        <is>
          <t>Measure</t>
        </is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inlineStr">
        <is>
          <t>Tours</t>
        </is>
      </c>
      <c r="B28" s="15" t="inlineStr">
        <is>
          <t>No</t>
        </is>
      </c>
      <c r="C28" s="15" t="inlineStr">
        <is>
          <t>Number</t>
        </is>
      </c>
      <c r="D28" s="15" t="inlineStr">
        <is>
          <t>&gt;= 0 unless otherwise noted</t>
        </is>
      </c>
      <c r="E28" s="15" t="inlineStr">
        <is>
          <t>Load or calculate per ATLAS monthly update rules</t>
        </is>
      </c>
      <c r="F28" s="15" t="inlineStr">
        <is>
          <t>Measure</t>
        </is>
      </c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inlineStr">
        <is>
          <t>Applications</t>
        </is>
      </c>
      <c r="B29" s="15" t="inlineStr">
        <is>
          <t>No</t>
        </is>
      </c>
      <c r="C29" s="15" t="inlineStr">
        <is>
          <t>Number</t>
        </is>
      </c>
      <c r="D29" s="15" t="inlineStr">
        <is>
          <t>&gt;= 0 unless otherwise noted</t>
        </is>
      </c>
      <c r="E29" s="15" t="inlineStr">
        <is>
          <t>Load or calculate per ATLAS monthly update rules</t>
        </is>
      </c>
      <c r="F29" s="15" t="inlineStr">
        <is>
          <t>Measure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inlineStr">
        <is>
          <t>Approved_Applications</t>
        </is>
      </c>
      <c r="B30" s="15" t="inlineStr">
        <is>
          <t>No</t>
        </is>
      </c>
      <c r="C30" s="15" t="inlineStr">
        <is>
          <t>Number</t>
        </is>
      </c>
      <c r="D30" s="15" t="inlineStr">
        <is>
          <t>&gt;= 0 unless otherwise noted</t>
        </is>
      </c>
      <c r="E30" s="15" t="inlineStr">
        <is>
          <t>Load or calculate per ATLAS monthly update rules</t>
        </is>
      </c>
      <c r="F30" s="15" t="inlineStr">
        <is>
          <t>Measure</t>
        </is>
      </c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inlineStr">
        <is>
          <t>Move_Ins</t>
        </is>
      </c>
      <c r="B31" s="15" t="inlineStr">
        <is>
          <t>No</t>
        </is>
      </c>
      <c r="C31" s="15" t="inlineStr">
        <is>
          <t>Number</t>
        </is>
      </c>
      <c r="D31" s="15" t="inlineStr">
        <is>
          <t>&gt;= 0 unless otherwise noted</t>
        </is>
      </c>
      <c r="E31" s="15" t="inlineStr">
        <is>
          <t>Load or calculate per ATLAS monthly update rules</t>
        </is>
      </c>
      <c r="F31" s="15" t="inlineStr">
        <is>
          <t>Measure</t>
        </is>
      </c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inlineStr">
        <is>
          <t>Move_Outs</t>
        </is>
      </c>
      <c r="B32" s="15" t="inlineStr">
        <is>
          <t>No</t>
        </is>
      </c>
      <c r="C32" s="15" t="inlineStr">
        <is>
          <t>Number</t>
        </is>
      </c>
      <c r="D32" s="15" t="inlineStr">
        <is>
          <t>&gt;= 0 unless otherwise noted</t>
        </is>
      </c>
      <c r="E32" s="15" t="inlineStr">
        <is>
          <t>Load or calculate per ATLAS monthly update rules</t>
        </is>
      </c>
      <c r="F32" s="15" t="inlineStr">
        <is>
          <t>Measure</t>
        </is>
      </c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inlineStr">
        <is>
          <t>Renewals_Sent</t>
        </is>
      </c>
      <c r="B33" s="15" t="inlineStr">
        <is>
          <t>No</t>
        </is>
      </c>
      <c r="C33" s="15" t="inlineStr">
        <is>
          <t>Number</t>
        </is>
      </c>
      <c r="D33" s="15" t="inlineStr">
        <is>
          <t>&gt;= 0 unless otherwise noted</t>
        </is>
      </c>
      <c r="E33" s="15" t="inlineStr">
        <is>
          <t>Load or calculate per ATLAS monthly update rules</t>
        </is>
      </c>
      <c r="F33" s="15" t="inlineStr">
        <is>
          <t>Measure</t>
        </is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inlineStr">
        <is>
          <t>Renewals_Signed</t>
        </is>
      </c>
      <c r="B34" s="15" t="inlineStr">
        <is>
          <t>No</t>
        </is>
      </c>
      <c r="C34" s="15" t="inlineStr">
        <is>
          <t>Number</t>
        </is>
      </c>
      <c r="D34" s="15" t="inlineStr">
        <is>
          <t>&gt;= 0 unless otherwise noted</t>
        </is>
      </c>
      <c r="E34" s="15" t="inlineStr">
        <is>
          <t>Load or calculate per ATLAS monthly update rules</t>
        </is>
      </c>
      <c r="F34" s="15" t="inlineStr">
        <is>
          <t>Measure</t>
        </is>
      </c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inlineStr">
        <is>
          <t>Reviews_Count</t>
        </is>
      </c>
      <c r="B35" s="15" t="inlineStr">
        <is>
          <t>No</t>
        </is>
      </c>
      <c r="C35" s="15" t="inlineStr">
        <is>
          <t>Number</t>
        </is>
      </c>
      <c r="D35" s="15" t="inlineStr">
        <is>
          <t>&gt;= 0 unless otherwise noted</t>
        </is>
      </c>
      <c r="E35" s="15" t="inlineStr">
        <is>
          <t>Load or calculate per ATLAS monthly update rules</t>
        </is>
      </c>
      <c r="F35" s="15" t="inlineStr">
        <is>
          <t>Measure</t>
        </is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inlineStr">
        <is>
          <t>Avg_Review_Rating</t>
        </is>
      </c>
      <c r="B36" s="15" t="inlineStr">
        <is>
          <t>No</t>
        </is>
      </c>
      <c r="C36" s="15" t="inlineStr">
        <is>
          <t>Number</t>
        </is>
      </c>
      <c r="D36" s="15" t="inlineStr">
        <is>
          <t>&gt;= 0 unless otherwise noted</t>
        </is>
      </c>
      <c r="E36" s="15" t="inlineStr">
        <is>
          <t>Load or calculate per ATLAS monthly update rules</t>
        </is>
      </c>
      <c r="F36" s="15" t="inlineStr">
        <is>
          <t>Measure</t>
        </is>
      </c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inlineStr">
        <is>
          <t>Open_Work_Orders</t>
        </is>
      </c>
      <c r="B37" s="15" t="inlineStr">
        <is>
          <t>No</t>
        </is>
      </c>
      <c r="C37" s="15" t="inlineStr">
        <is>
          <t>Number</t>
        </is>
      </c>
      <c r="D37" s="15" t="inlineStr">
        <is>
          <t>&gt;= 0 unless otherwise noted</t>
        </is>
      </c>
      <c r="E37" s="15" t="inlineStr">
        <is>
          <t>Load or calculate per ATLAS monthly update rules</t>
        </is>
      </c>
      <c r="F37" s="15" t="inlineStr">
        <is>
          <t>Measure</t>
        </is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inlineStr">
        <is>
          <t>Completed_Work_Orders</t>
        </is>
      </c>
      <c r="B38" s="15" t="inlineStr">
        <is>
          <t>No</t>
        </is>
      </c>
      <c r="C38" s="15" t="inlineStr">
        <is>
          <t>Number</t>
        </is>
      </c>
      <c r="D38" s="15" t="inlineStr">
        <is>
          <t>&gt;= 0 unless otherwise noted</t>
        </is>
      </c>
      <c r="E38" s="15" t="inlineStr">
        <is>
          <t>Load or calculate per ATLAS monthly update rules</t>
        </is>
      </c>
      <c r="F38" s="15" t="inlineStr">
        <is>
          <t>Measure</t>
        </is>
      </c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inlineStr">
        <is>
          <t>Period_Status</t>
        </is>
      </c>
      <c r="B39" s="15" t="inlineStr">
        <is>
          <t>Yes</t>
        </is>
      </c>
      <c r="C39" s="15" t="inlineStr">
        <is>
          <t>Text</t>
        </is>
      </c>
      <c r="D39" s="15" t="inlineStr">
        <is>
          <t>Use dropdown where available</t>
        </is>
      </c>
      <c r="E39" s="15" t="inlineStr">
        <is>
          <t>Load or calculate per ATLAS monthly update rules</t>
        </is>
      </c>
      <c r="F39" s="15" t="inlineStr">
        <is>
          <t>Attribute</t>
        </is>
      </c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inlineStr">
        <is>
          <t>Source_System</t>
        </is>
      </c>
      <c r="B40" s="15" t="inlineStr">
        <is>
          <t>Yes</t>
        </is>
      </c>
      <c r="C40" s="15" t="inlineStr">
        <is>
          <t>Text</t>
        </is>
      </c>
      <c r="D40" s="15" t="inlineStr">
        <is>
          <t>Use dropdown where available</t>
        </is>
      </c>
      <c r="E40" s="15" t="inlineStr">
        <is>
          <t>Load or calculate per ATLAS monthly update rules</t>
        </is>
      </c>
      <c r="F40" s="15" t="inlineStr">
        <is>
          <t>Attribute</t>
        </is>
      </c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inlineStr">
        <is>
          <t>Source_File_Name</t>
        </is>
      </c>
      <c r="B41" s="15" t="inlineStr">
        <is>
          <t>No</t>
        </is>
      </c>
      <c r="C41" s="15" t="inlineStr">
        <is>
          <t>Text</t>
        </is>
      </c>
      <c r="D41" s="15" t="inlineStr">
        <is>
          <t>Free text</t>
        </is>
      </c>
      <c r="E41" s="15" t="inlineStr">
        <is>
          <t>Load or calculate per ATLAS monthly update rules</t>
        </is>
      </c>
      <c r="F41" s="15" t="inlineStr">
        <is>
          <t>Attribute</t>
        </is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inlineStr">
        <is>
          <t>Agent_Notes</t>
        </is>
      </c>
      <c r="B42" s="15" t="inlineStr">
        <is>
          <t>No</t>
        </is>
      </c>
      <c r="C42" s="15" t="inlineStr">
        <is>
          <t>Text</t>
        </is>
      </c>
      <c r="D42" s="15" t="inlineStr">
        <is>
          <t>Free text</t>
        </is>
      </c>
      <c r="E42" s="15" t="inlineStr">
        <is>
          <t>Load or calculate per ATLAS monthly update rules</t>
        </is>
      </c>
      <c r="F42" s="15" t="inlineStr">
        <is>
          <t>Attribute</t>
        </is>
      </c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inlineStr">
        <is>
          <t>Last_Updated</t>
        </is>
      </c>
      <c r="B43" s="15" t="inlineStr">
        <is>
          <t>No</t>
        </is>
      </c>
      <c r="C43" s="15" t="inlineStr">
        <is>
          <t>Text</t>
        </is>
      </c>
      <c r="D43" s="15" t="inlineStr">
        <is>
          <t>Free text</t>
        </is>
      </c>
      <c r="E43" s="15" t="inlineStr">
        <is>
          <t>Load or calculate per ATLAS monthly update rules</t>
        </is>
      </c>
      <c r="F43" s="15" t="inlineStr">
        <is>
          <t>Attribute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inlineStr">
        <is>
          <t>Row_Status</t>
        </is>
      </c>
      <c r="B44" s="15" t="inlineStr">
        <is>
          <t>No</t>
        </is>
      </c>
      <c r="C44" s="15" t="inlineStr">
        <is>
          <t>Formula / Derived</t>
        </is>
      </c>
      <c r="D44" s="15" t="inlineStr">
        <is>
          <t>Do not manually overwrite unless correcting formula logic</t>
        </is>
      </c>
      <c r="E44" s="15" t="inlineStr">
        <is>
          <t>Load or calculate per ATLAS monthly update rules</t>
        </is>
      </c>
      <c r="F44" s="15" t="inlineStr">
        <is>
          <t>Attribute</t>
        </is>
      </c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inlineStr">
        <is>
          <t>Error_Detail</t>
        </is>
      </c>
      <c r="B45" s="15" t="inlineStr">
        <is>
          <t>No</t>
        </is>
      </c>
      <c r="C45" s="15" t="inlineStr">
        <is>
          <t>Formula / Derived</t>
        </is>
      </c>
      <c r="D45" s="15" t="inlineStr">
        <is>
          <t>Do not manually overwrite unless correcting formula logic</t>
        </is>
      </c>
      <c r="E45" s="15" t="inlineStr">
        <is>
          <t>Load or calculate per ATLAS monthly update rules</t>
        </is>
      </c>
      <c r="F45" s="15" t="inlineStr">
        <is>
          <t>Attribute</t>
        </is>
      </c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"/>
    </sheetView>
  </sheetViews>
  <sheetFormatPr baseColWidth="10" defaultColWidth="8.83203125" defaultRowHeight="14"/>
  <cols>
    <col width="8.83203125" customWidth="1" min="1" max="1"/>
    <col width="14.5" customWidth="1" min="2" max="2"/>
    <col width="19.5" customWidth="1" min="3" max="3"/>
    <col width="11.83203125" customWidth="1" min="4" max="4"/>
    <col width="9.33203125" customWidth="1" min="5" max="5"/>
    <col width="5.6640625" customWidth="1" min="6" max="6"/>
    <col width="11" customWidth="1" min="7" max="7"/>
  </cols>
  <sheetData>
    <row r="1" ht="15" customHeight="1">
      <c r="A1" s="19" t="inlineStr">
        <is>
          <t>Asset_Type</t>
        </is>
      </c>
      <c r="B1" s="19" t="inlineStr">
        <is>
          <t>Dashboard_Group</t>
        </is>
      </c>
      <c r="C1" s="19" t="inlineStr">
        <is>
          <t>Period_Status</t>
        </is>
      </c>
      <c r="D1" s="19" t="inlineStr">
        <is>
          <t>Source_System</t>
        </is>
      </c>
      <c r="E1" s="19" t="inlineStr">
        <is>
          <t>Row_Status</t>
        </is>
      </c>
      <c r="F1" s="19" t="inlineStr">
        <is>
          <t>Yes_No</t>
        </is>
      </c>
      <c r="G1" s="19" t="inlineStr">
        <is>
          <t>Upload_Type</t>
        </is>
      </c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inlineStr">
        <is>
          <t>Lease-Up</t>
        </is>
      </c>
      <c r="B2" s="15" t="inlineStr">
        <is>
          <t>Lease-Up</t>
        </is>
      </c>
      <c r="C2" s="15" t="inlineStr">
        <is>
          <t>Actual</t>
        </is>
      </c>
      <c r="D2" s="15" t="inlineStr">
        <is>
          <t>Manual Upload</t>
        </is>
      </c>
      <c r="E2" s="15" t="inlineStr">
        <is>
          <t>OK</t>
        </is>
      </c>
      <c r="F2" s="15" t="inlineStr">
        <is>
          <t>Yes</t>
        </is>
      </c>
      <c r="G2" s="15" t="inlineStr">
        <is>
          <t>Monthly Close</t>
        </is>
      </c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inlineStr">
        <is>
          <t>Multifamily</t>
        </is>
      </c>
      <c r="B3" s="15" t="inlineStr">
        <is>
          <t>Stabilized</t>
        </is>
      </c>
      <c r="C3" s="15" t="inlineStr">
        <is>
          <t>Budget</t>
        </is>
      </c>
      <c r="D3" s="15" t="inlineStr">
        <is>
          <t>Yardi</t>
        </is>
      </c>
      <c r="E3" s="15" t="inlineStr">
        <is>
          <t>ERROR</t>
        </is>
      </c>
      <c r="F3" s="15" t="inlineStr">
        <is>
          <t>No</t>
        </is>
      </c>
      <c r="G3" s="15" t="inlineStr">
        <is>
          <t>Weekly Flash</t>
        </is>
      </c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Student</t>
        </is>
      </c>
      <c r="B4" s="15" t="inlineStr">
        <is>
          <t>Student</t>
        </is>
      </c>
      <c r="C4" s="15" t="inlineStr">
        <is>
          <t>Forecast</t>
        </is>
      </c>
      <c r="D4" s="15" t="inlineStr">
        <is>
          <t>Entrata</t>
        </is>
      </c>
      <c r="E4" s="15" t="inlineStr">
        <is>
          <t>REVIEW</t>
        </is>
      </c>
      <c r="F4" s="15" t="n"/>
      <c r="G4" s="15" t="inlineStr">
        <is>
          <t>Reforecast</t>
        </is>
      </c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Senior</t>
        </is>
      </c>
      <c r="B5" s="15" t="inlineStr">
        <is>
          <t>Senior</t>
        </is>
      </c>
      <c r="C5" s="15" t="inlineStr">
        <is>
          <t>Prior Month Restatement</t>
        </is>
      </c>
      <c r="D5" s="15" t="inlineStr">
        <is>
          <t>ResMan</t>
        </is>
      </c>
      <c r="E5" s="15" t="n"/>
      <c r="F5" s="15" t="n"/>
      <c r="G5" s="15" t="inlineStr">
        <is>
          <t>Correction</t>
        </is>
      </c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Military</t>
        </is>
      </c>
      <c r="B6" s="15" t="inlineStr">
        <is>
          <t>Military</t>
        </is>
      </c>
      <c r="C6" s="15" t="n"/>
      <c r="D6" s="15" t="inlineStr">
        <is>
          <t>RealPage</t>
        </is>
      </c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Affordable</t>
        </is>
      </c>
      <c r="B7" s="15" t="inlineStr">
        <is>
          <t>Affordable</t>
        </is>
      </c>
      <c r="C7" s="15" t="n"/>
      <c r="D7" s="15" t="inlineStr">
        <is>
          <t>AppFolio</t>
        </is>
      </c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Mixed-Use</t>
        </is>
      </c>
      <c r="B8" s="15" t="n"/>
      <c r="C8" s="15" t="n"/>
      <c r="D8" s="15" t="inlineStr">
        <is>
          <t>Excel Export</t>
        </is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n"/>
      <c r="B9" s="15" t="n"/>
      <c r="C9" s="15" t="n"/>
      <c r="D9" s="15" t="inlineStr">
        <is>
          <t>Other</t>
        </is>
      </c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:F1"/>
    </sheetView>
  </sheetViews>
  <sheetFormatPr baseColWidth="10" defaultColWidth="8.83203125" defaultRowHeight="14"/>
  <cols>
    <col width="28" customWidth="1" min="1" max="1"/>
    <col width="18" customWidth="1" min="2" max="2"/>
    <col width="20" customWidth="1" min="3" max="3"/>
    <col width="4" customWidth="1" min="4" max="4"/>
    <col width="22" customWidth="1" min="5" max="5"/>
    <col width="12" customWidth="1" min="6" max="7"/>
    <col width="14" customWidth="1" min="8" max="8"/>
  </cols>
  <sheetData>
    <row r="1" ht="24" customHeight="1">
      <c r="A1" s="18" t="inlineStr">
        <is>
          <t>ATLAS Upload Checks</t>
        </is>
      </c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3" t="inlineStr">
        <is>
          <t>Check</t>
        </is>
      </c>
      <c r="B3" s="3" t="inlineStr">
        <is>
          <t>Formula / Result</t>
        </is>
      </c>
      <c r="C3" s="3" t="inlineStr">
        <is>
          <t>Target</t>
        </is>
      </c>
      <c r="D3" s="15" t="n"/>
      <c r="E3" s="3" t="inlineStr">
        <is>
          <t>Community Coverage</t>
        </is>
      </c>
      <c r="F3" s="3" t="inlineStr">
        <is>
          <t>Expected</t>
        </is>
      </c>
      <c r="G3" s="3" t="inlineStr">
        <is>
          <t>Rows Loaded</t>
        </is>
      </c>
      <c r="H3" s="3" t="inlineStr">
        <is>
          <t>Status</t>
        </is>
      </c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Rows Loaded</t>
        </is>
      </c>
      <c r="B4" s="15">
        <f>COUNTA(Monthly_Upload!B2:B501)</f>
        <v/>
      </c>
      <c r="C4" s="15" t="inlineStr">
        <is>
          <t>&gt;= Active communities</t>
        </is>
      </c>
      <c r="D4" s="15" t="n"/>
      <c r="E4" s="15" t="inlineStr">
        <is>
          <t>SER</t>
        </is>
      </c>
      <c r="F4" s="15" t="n">
        <v>1</v>
      </c>
      <c r="G4" s="15">
        <f>COUNTIF(Monthly_Upload!$B$2:$B$501,E4)</f>
        <v/>
      </c>
      <c r="H4" s="15">
        <f>IF(G4&gt;=F4,"OK","MISSING")</f>
        <v/>
      </c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Rows Marked ERROR</t>
        </is>
      </c>
      <c r="B5" s="15">
        <f>COUNTIF(Monthly_Upload!AQ2:AQ501,"ERROR")</f>
        <v/>
      </c>
      <c r="C5" s="15" t="inlineStr">
        <is>
          <t>0</t>
        </is>
      </c>
      <c r="D5" s="15" t="n"/>
      <c r="E5" s="15" t="inlineStr">
        <is>
          <t>GKP</t>
        </is>
      </c>
      <c r="F5" s="15" t="n">
        <v>1</v>
      </c>
      <c r="G5" s="15">
        <f>COUNTIF(Monthly_Upload!$B$2:$B$501,E5)</f>
        <v/>
      </c>
      <c r="H5" s="15">
        <f>IF(G5&gt;=F5,"OK","MISSING")</f>
        <v/>
      </c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Rows Marked OK</t>
        </is>
      </c>
      <c r="B6" s="15">
        <f>COUNTIF(Monthly_Upload!AQ2:AQ501,"OK")</f>
        <v/>
      </c>
      <c r="C6" s="15" t="inlineStr">
        <is>
          <t>Match rows loaded</t>
        </is>
      </c>
      <c r="D6" s="15" t="n"/>
      <c r="E6" s="15" t="inlineStr">
        <is>
          <t>NOC</t>
        </is>
      </c>
      <c r="F6" s="15" t="n">
        <v>1</v>
      </c>
      <c r="G6" s="15">
        <f>COUNTIF(Monthly_Upload!$B$2:$B$501,E6)</f>
        <v/>
      </c>
      <c r="H6" s="15">
        <f>IF(G6&gt;=F6,"OK","MISSING")</f>
        <v/>
      </c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Blank Community IDs</t>
        </is>
      </c>
      <c r="B7" s="15">
        <f>COUNTBLANK(Monthly_Upload!B2:B501)</f>
        <v/>
      </c>
      <c r="C7" s="15" t="inlineStr">
        <is>
          <t>Ignore blanks below data</t>
        </is>
      </c>
      <c r="D7" s="15" t="n"/>
      <c r="E7" s="15" t="inlineStr">
        <is>
          <t>FLO</t>
        </is>
      </c>
      <c r="F7" s="15" t="n">
        <v>1</v>
      </c>
      <c r="G7" s="15">
        <f>COUNTIF(Monthly_Upload!$B$2:$B$501,E7)</f>
        <v/>
      </c>
      <c r="H7" s="15">
        <f>IF(G7&gt;=F7,"OK","MISSING")</f>
        <v/>
      </c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Missing Report Month</t>
        </is>
      </c>
      <c r="B8" s="15">
        <f>COUNTIFS(Monthly_Upload!B2:B501,"&lt;&gt;",Monthly_Upload!A2:A501,"")</f>
        <v/>
      </c>
      <c r="C8" s="15" t="inlineStr">
        <is>
          <t>0</t>
        </is>
      </c>
      <c r="D8" s="15" t="n"/>
      <c r="E8" s="15" t="inlineStr">
        <is>
          <t>BAR</t>
        </is>
      </c>
      <c r="F8" s="15" t="n">
        <v>1</v>
      </c>
      <c r="G8" s="15">
        <f>COUNTIF(Monthly_Upload!$B$2:$B$501,E8)</f>
        <v/>
      </c>
      <c r="H8" s="15">
        <f>IF(G8&gt;=F8,"OK","MISSING")</f>
        <v/>
      </c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Occupied &gt; Total Units</t>
        </is>
      </c>
      <c r="B9" s="15">
        <f>SUMPRODUCT(--(Monthly_Upload!H2:H501&lt;&gt;""),--(Monthly_Upload!I2:I501&gt;Monthly_Upload!H2:H501),--(Monthly_Upload!B2:B501&lt;&gt;""))</f>
        <v/>
      </c>
      <c r="C9" s="15" t="inlineStr">
        <is>
          <t>0</t>
        </is>
      </c>
      <c r="D9" s="15" t="n"/>
      <c r="E9" s="15" t="inlineStr">
        <is>
          <t>CIT</t>
        </is>
      </c>
      <c r="F9" s="15" t="n">
        <v>1</v>
      </c>
      <c r="G9" s="15">
        <f>COUNTIF(Monthly_Upload!$B$2:$B$501,E9)</f>
        <v/>
      </c>
      <c r="H9" s="15">
        <f>IF(G9&gt;=F9,"OK","MISSING")</f>
        <v/>
      </c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Leased &gt; Total Units</t>
        </is>
      </c>
      <c r="B10" s="15">
        <f>SUMPRODUCT(--(Monthly_Upload!H2:H501&lt;&gt;""),--(Monthly_Upload!J2:J501&gt;Monthly_Upload!H2:H501),--(Monthly_Upload!B2:B501&lt;&gt;""))</f>
        <v/>
      </c>
      <c r="C10" s="15" t="inlineStr">
        <is>
          <t>0</t>
        </is>
      </c>
      <c r="D10" s="15" t="n"/>
      <c r="E10" s="15" t="inlineStr">
        <is>
          <t>VIE</t>
        </is>
      </c>
      <c r="F10" s="15" t="n">
        <v>1</v>
      </c>
      <c r="G10" s="15">
        <f>COUNTIF(Monthly_Upload!$B$2:$B$501,E10)</f>
        <v/>
      </c>
      <c r="H10" s="15">
        <f>IF(G10&gt;=F10,"OK","MISSING")</f>
        <v/>
      </c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inlineStr">
        <is>
          <t>Invalid Community IDs</t>
        </is>
      </c>
      <c r="B11" s="15">
        <f>SUMPRODUCT(--(Monthly_Upload!B2:B501&lt;&gt;""),--ISERROR(MATCH(Monthly_Upload!B2:B501,Community_Master!A2:A100,0)))</f>
        <v/>
      </c>
      <c r="C11" s="15" t="inlineStr">
        <is>
          <t>0</t>
        </is>
      </c>
      <c r="D11" s="15" t="n"/>
      <c r="E11" s="15" t="inlineStr">
        <is>
          <t>BAY</t>
        </is>
      </c>
      <c r="F11" s="15" t="n">
        <v>1</v>
      </c>
      <c r="G11" s="15">
        <f>COUNTIF(Monthly_Upload!$B$2:$B$501,E11)</f>
        <v/>
      </c>
      <c r="H11" s="15">
        <f>IF(G11&gt;=F11,"OK","MISSING")</f>
        <v/>
      </c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inlineStr">
        <is>
          <t>Overall Upload Status</t>
        </is>
      </c>
      <c r="B12" s="15">
        <f>IF(SUM(B5,B9:B11)=0,"READY TO LOAD","FIX ERRORS")</f>
        <v/>
      </c>
      <c r="C12" s="15" t="inlineStr">
        <is>
          <t>READY TO LOAD</t>
        </is>
      </c>
      <c r="D12" s="15" t="n"/>
      <c r="E12" s="15" t="inlineStr">
        <is>
          <t>DOR</t>
        </is>
      </c>
      <c r="F12" s="15" t="n">
        <v>1</v>
      </c>
      <c r="G12" s="15">
        <f>COUNTIF(Monthly_Upload!$B$2:$B$501,E12)</f>
        <v/>
      </c>
      <c r="H12" s="15">
        <f>IF(G12&gt;=F12,"OK","MISSING")</f>
        <v/>
      </c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inlineStr">
        <is>
          <t>Last Reviewed</t>
        </is>
      </c>
      <c r="B13" s="15" t="inlineStr">
        <is>
          <t>2026-04-30 14:49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mergeCells count="1">
    <mergeCell ref="A1:F1"/>
  </mergeCells>
  <conditionalFormatting sqref="B12">
    <cfRule type="containsText" priority="1" operator="containsText" dxfId="3" text="FIX"/>
    <cfRule type="containsText" priority="2" operator="containsText" dxfId="0" text="READY"/>
  </conditionalFormatting>
  <conditionalFormatting sqref="H4:H50">
    <cfRule type="containsText" priority="3" operator="containsText" dxfId="1" text="MISSING"/>
    <cfRule type="containsText" priority="4" operator="containsText" dxfId="0" text="OK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"/>
    </sheetView>
  </sheetViews>
  <sheetFormatPr baseColWidth="10" defaultColWidth="8.83203125" defaultRowHeight="14"/>
  <cols>
    <col width="20" customWidth="1" min="1" max="1"/>
    <col width="28" customWidth="1" min="2" max="2"/>
    <col width="16" customWidth="1" min="3" max="3"/>
    <col width="24" customWidth="1" min="4" max="4"/>
    <col width="44" customWidth="1" min="5" max="5"/>
  </cols>
  <sheetData>
    <row r="1" ht="15" customHeight="1">
      <c r="A1" s="19" t="inlineStr">
        <is>
          <t>Table</t>
        </is>
      </c>
      <c r="B1" s="19" t="inlineStr">
        <is>
          <t>Column</t>
        </is>
      </c>
      <c r="C1" s="19" t="inlineStr">
        <is>
          <t>Data Type</t>
        </is>
      </c>
      <c r="D1" s="19" t="inlineStr">
        <is>
          <t>Model Use</t>
        </is>
      </c>
      <c r="E1" s="19" t="inlineStr">
        <is>
          <t>Relationship / Notes</t>
        </is>
      </c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inlineStr">
        <is>
          <t>Monthly_Upload</t>
        </is>
      </c>
      <c r="B2" s="15" t="inlineStr">
        <is>
          <t>Report_Month</t>
        </is>
      </c>
      <c r="C2" s="15" t="inlineStr">
        <is>
          <t>Date</t>
        </is>
      </c>
      <c r="D2" s="15" t="inlineStr">
        <is>
          <t>FactMonthlyPerformance</t>
        </is>
      </c>
      <c r="E2" s="15" t="inlineStr">
        <is>
          <t>Use as Date dimension relationship</t>
        </is>
      </c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inlineStr">
        <is>
          <t>Monthly_Upload</t>
        </is>
      </c>
      <c r="B3" s="15" t="inlineStr">
        <is>
          <t>Community_ID</t>
        </is>
      </c>
      <c r="C3" s="15" t="inlineStr">
        <is>
          <t>Text</t>
        </is>
      </c>
      <c r="D3" s="15" t="inlineStr">
        <is>
          <t>FactMonthlyPerformance</t>
        </is>
      </c>
      <c r="E3" s="15" t="inlineStr">
        <is>
          <t>Many-to-one to Community_Master[Community_ID]</t>
        </is>
      </c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Monthly_Upload</t>
        </is>
      </c>
      <c r="B4" s="15" t="inlineStr">
        <is>
          <t>Community_Name</t>
        </is>
      </c>
      <c r="C4" s="15" t="inlineStr">
        <is>
          <t>Text</t>
        </is>
      </c>
      <c r="D4" s="15" t="inlineStr">
        <is>
          <t>FactMonthlyPerformance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Monthly_Upload</t>
        </is>
      </c>
      <c r="B5" s="15" t="inlineStr">
        <is>
          <t>Region</t>
        </is>
      </c>
      <c r="C5" s="15" t="inlineStr">
        <is>
          <t>Text</t>
        </is>
      </c>
      <c r="D5" s="15" t="inlineStr">
        <is>
          <t>FactMonthlyPerformance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Monthly_Upload</t>
        </is>
      </c>
      <c r="B6" s="15" t="inlineStr">
        <is>
          <t>Market</t>
        </is>
      </c>
      <c r="C6" s="15" t="inlineStr">
        <is>
          <t>Text</t>
        </is>
      </c>
      <c r="D6" s="15" t="inlineStr">
        <is>
          <t>FactMonthlyPerformance</t>
        </is>
      </c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Monthly_Upload</t>
        </is>
      </c>
      <c r="B7" s="15" t="inlineStr">
        <is>
          <t>Asset_Type</t>
        </is>
      </c>
      <c r="C7" s="15" t="inlineStr">
        <is>
          <t>Text</t>
        </is>
      </c>
      <c r="D7" s="15" t="inlineStr">
        <is>
          <t>FactMonthlyPerformance</t>
        </is>
      </c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Monthly_Upload</t>
        </is>
      </c>
      <c r="B8" s="15" t="inlineStr">
        <is>
          <t>PMS_Property_Code</t>
        </is>
      </c>
      <c r="C8" s="15" t="inlineStr">
        <is>
          <t>Text</t>
        </is>
      </c>
      <c r="D8" s="15" t="inlineStr">
        <is>
          <t>FactMonthlyPerformance</t>
        </is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Monthly_Upload</t>
        </is>
      </c>
      <c r="B9" s="15" t="inlineStr">
        <is>
          <t>Total_Units</t>
        </is>
      </c>
      <c r="C9" s="15" t="inlineStr">
        <is>
          <t>Decimal Number</t>
        </is>
      </c>
      <c r="D9" s="15" t="inlineStr">
        <is>
          <t>FactMonthlyPerformance</t>
        </is>
      </c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Monthly_Upload</t>
        </is>
      </c>
      <c r="B10" s="15" t="inlineStr">
        <is>
          <t>Occupied_Units</t>
        </is>
      </c>
      <c r="C10" s="15" t="inlineStr">
        <is>
          <t>Decimal Number</t>
        </is>
      </c>
      <c r="D10" s="15" t="inlineStr">
        <is>
          <t>FactMonthlyPerformance</t>
        </is>
      </c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inlineStr">
        <is>
          <t>Monthly_Upload</t>
        </is>
      </c>
      <c r="B11" s="15" t="inlineStr">
        <is>
          <t>Leased_Units</t>
        </is>
      </c>
      <c r="C11" s="15" t="inlineStr">
        <is>
          <t>Decimal Number</t>
        </is>
      </c>
      <c r="D11" s="15" t="inlineStr">
        <is>
          <t>FactMonthlyPerformance</t>
        </is>
      </c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inlineStr">
        <is>
          <t>Monthly_Upload</t>
        </is>
      </c>
      <c r="B12" s="15" t="inlineStr">
        <is>
          <t>Preleased_Units</t>
        </is>
      </c>
      <c r="C12" s="15" t="inlineStr">
        <is>
          <t>Decimal Number</t>
        </is>
      </c>
      <c r="D12" s="15" t="inlineStr">
        <is>
          <t>FactMonthlyPerformance</t>
        </is>
      </c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inlineStr">
        <is>
          <t>Monthly_Upload</t>
        </is>
      </c>
      <c r="B13" s="15" t="inlineStr">
        <is>
          <t>Vacant_Units</t>
        </is>
      </c>
      <c r="C13" s="15" t="inlineStr">
        <is>
          <t>Decimal Number</t>
        </is>
      </c>
      <c r="D13" s="15" t="inlineStr">
        <is>
          <t>FactMonthlyPerformance</t>
        </is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inlineStr">
        <is>
          <t>Monthly_Upload</t>
        </is>
      </c>
      <c r="B14" s="15" t="inlineStr">
        <is>
          <t>Physical_Occupancy_%</t>
        </is>
      </c>
      <c r="C14" s="15" t="inlineStr">
        <is>
          <t>Decimal Number</t>
        </is>
      </c>
      <c r="D14" s="15" t="inlineStr">
        <is>
          <t>FactMonthlyPerformance</t>
        </is>
      </c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inlineStr">
        <is>
          <t>Monthly_Upload</t>
        </is>
      </c>
      <c r="B15" s="15" t="inlineStr">
        <is>
          <t>Leased_%</t>
        </is>
      </c>
      <c r="C15" s="15" t="inlineStr">
        <is>
          <t>Decimal Number</t>
        </is>
      </c>
      <c r="D15" s="15" t="inlineStr">
        <is>
          <t>FactMonthlyPerformance</t>
        </is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inlineStr">
        <is>
          <t>Monthly_Upload</t>
        </is>
      </c>
      <c r="B16" s="15" t="inlineStr">
        <is>
          <t>Economic_Occupancy_%</t>
        </is>
      </c>
      <c r="C16" s="15" t="inlineStr">
        <is>
          <t>Decimal Number</t>
        </is>
      </c>
      <c r="D16" s="15" t="inlineStr">
        <is>
          <t>FactMonthlyPerformance</t>
        </is>
      </c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inlineStr">
        <is>
          <t>Monthly_Upload</t>
        </is>
      </c>
      <c r="B17" s="15" t="inlineStr">
        <is>
          <t>Avg_Market_Rent</t>
        </is>
      </c>
      <c r="C17" s="15" t="inlineStr">
        <is>
          <t>Decimal Number</t>
        </is>
      </c>
      <c r="D17" s="15" t="inlineStr">
        <is>
          <t>FactMonthlyPerformance</t>
        </is>
      </c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inlineStr">
        <is>
          <t>Monthly_Upload</t>
        </is>
      </c>
      <c r="B18" s="15" t="inlineStr">
        <is>
          <t>Actual_Rent</t>
        </is>
      </c>
      <c r="C18" s="15" t="inlineStr">
        <is>
          <t>Decimal Number</t>
        </is>
      </c>
      <c r="D18" s="15" t="inlineStr">
        <is>
          <t>FactMonthlyPerformance</t>
        </is>
      </c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inlineStr">
        <is>
          <t>Monthly_Upload</t>
        </is>
      </c>
      <c r="B19" s="15" t="inlineStr">
        <is>
          <t>Concessions_$</t>
        </is>
      </c>
      <c r="C19" s="15" t="inlineStr">
        <is>
          <t>Decimal Number</t>
        </is>
      </c>
      <c r="D19" s="15" t="inlineStr">
        <is>
          <t>FactMonthlyPerformance</t>
        </is>
      </c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inlineStr">
        <is>
          <t>Monthly_Upload</t>
        </is>
      </c>
      <c r="B20" s="15" t="inlineStr">
        <is>
          <t>Delinquency_$</t>
        </is>
      </c>
      <c r="C20" s="15" t="inlineStr">
        <is>
          <t>Decimal Number</t>
        </is>
      </c>
      <c r="D20" s="15" t="inlineStr">
        <is>
          <t>FactMonthlyPerformance</t>
        </is>
      </c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inlineStr">
        <is>
          <t>Monthly_Upload</t>
        </is>
      </c>
      <c r="B21" s="15" t="inlineStr">
        <is>
          <t>Gross_Potential_Rent_$</t>
        </is>
      </c>
      <c r="C21" s="15" t="inlineStr">
        <is>
          <t>Decimal Number</t>
        </is>
      </c>
      <c r="D21" s="15" t="inlineStr">
        <is>
          <t>FactMonthlyPerformance</t>
        </is>
      </c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inlineStr">
        <is>
          <t>Monthly_Upload</t>
        </is>
      </c>
      <c r="B22" s="15" t="inlineStr">
        <is>
          <t>Collected_Rent_$</t>
        </is>
      </c>
      <c r="C22" s="15" t="inlineStr">
        <is>
          <t>Decimal Number</t>
        </is>
      </c>
      <c r="D22" s="15" t="inlineStr">
        <is>
          <t>FactMonthlyPerformance</t>
        </is>
      </c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inlineStr">
        <is>
          <t>Monthly_Upload</t>
        </is>
      </c>
      <c r="B23" s="15" t="inlineStr">
        <is>
          <t>Other_Income_$</t>
        </is>
      </c>
      <c r="C23" s="15" t="inlineStr">
        <is>
          <t>Decimal Number</t>
        </is>
      </c>
      <c r="D23" s="15" t="inlineStr">
        <is>
          <t>FactMonthlyPerformance</t>
        </is>
      </c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inlineStr">
        <is>
          <t>Monthly_Upload</t>
        </is>
      </c>
      <c r="B24" s="15" t="inlineStr">
        <is>
          <t>Operating_Expenses_$</t>
        </is>
      </c>
      <c r="C24" s="15" t="inlineStr">
        <is>
          <t>Decimal Number</t>
        </is>
      </c>
      <c r="D24" s="15" t="inlineStr">
        <is>
          <t>FactMonthlyPerformance</t>
        </is>
      </c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inlineStr">
        <is>
          <t>Monthly_Upload</t>
        </is>
      </c>
      <c r="B25" s="15" t="inlineStr">
        <is>
          <t>NOI_$</t>
        </is>
      </c>
      <c r="C25" s="15" t="inlineStr">
        <is>
          <t>Decimal Number</t>
        </is>
      </c>
      <c r="D25" s="15" t="inlineStr">
        <is>
          <t>FactMonthlyPerformance</t>
        </is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inlineStr">
        <is>
          <t>Monthly_Upload</t>
        </is>
      </c>
      <c r="B26" s="15" t="inlineStr">
        <is>
          <t>Traffic</t>
        </is>
      </c>
      <c r="C26" s="15" t="inlineStr">
        <is>
          <t>Decimal Number</t>
        </is>
      </c>
      <c r="D26" s="15" t="inlineStr">
        <is>
          <t>FactMonthlyPerformance</t>
        </is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inlineStr">
        <is>
          <t>Monthly_Upload</t>
        </is>
      </c>
      <c r="B27" s="15" t="inlineStr">
        <is>
          <t>Leads</t>
        </is>
      </c>
      <c r="C27" s="15" t="inlineStr">
        <is>
          <t>Decimal Number</t>
        </is>
      </c>
      <c r="D27" s="15" t="inlineStr">
        <is>
          <t>FactMonthlyPerformance</t>
        </is>
      </c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inlineStr">
        <is>
          <t>Monthly_Upload</t>
        </is>
      </c>
      <c r="B28" s="15" t="inlineStr">
        <is>
          <t>Tours</t>
        </is>
      </c>
      <c r="C28" s="15" t="inlineStr">
        <is>
          <t>Decimal Number</t>
        </is>
      </c>
      <c r="D28" s="15" t="inlineStr">
        <is>
          <t>FactMonthlyPerformance</t>
        </is>
      </c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inlineStr">
        <is>
          <t>Monthly_Upload</t>
        </is>
      </c>
      <c r="B29" s="15" t="inlineStr">
        <is>
          <t>Applications</t>
        </is>
      </c>
      <c r="C29" s="15" t="inlineStr">
        <is>
          <t>Decimal Number</t>
        </is>
      </c>
      <c r="D29" s="15" t="inlineStr">
        <is>
          <t>FactMonthlyPerformance</t>
        </is>
      </c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inlineStr">
        <is>
          <t>Monthly_Upload</t>
        </is>
      </c>
      <c r="B30" s="15" t="inlineStr">
        <is>
          <t>Approved_Applications</t>
        </is>
      </c>
      <c r="C30" s="15" t="inlineStr">
        <is>
          <t>Decimal Number</t>
        </is>
      </c>
      <c r="D30" s="15" t="inlineStr">
        <is>
          <t>FactMonthlyPerformance</t>
        </is>
      </c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inlineStr">
        <is>
          <t>Monthly_Upload</t>
        </is>
      </c>
      <c r="B31" s="15" t="inlineStr">
        <is>
          <t>Move_Ins</t>
        </is>
      </c>
      <c r="C31" s="15" t="inlineStr">
        <is>
          <t>Decimal Number</t>
        </is>
      </c>
      <c r="D31" s="15" t="inlineStr">
        <is>
          <t>FactMonthlyPerformance</t>
        </is>
      </c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inlineStr">
        <is>
          <t>Monthly_Upload</t>
        </is>
      </c>
      <c r="B32" s="15" t="inlineStr">
        <is>
          <t>Move_Outs</t>
        </is>
      </c>
      <c r="C32" s="15" t="inlineStr">
        <is>
          <t>Decimal Number</t>
        </is>
      </c>
      <c r="D32" s="15" t="inlineStr">
        <is>
          <t>FactMonthlyPerformance</t>
        </is>
      </c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inlineStr">
        <is>
          <t>Monthly_Upload</t>
        </is>
      </c>
      <c r="B33" s="15" t="inlineStr">
        <is>
          <t>Renewals_Sent</t>
        </is>
      </c>
      <c r="C33" s="15" t="inlineStr">
        <is>
          <t>Decimal Number</t>
        </is>
      </c>
      <c r="D33" s="15" t="inlineStr">
        <is>
          <t>FactMonthlyPerformance</t>
        </is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inlineStr">
        <is>
          <t>Monthly_Upload</t>
        </is>
      </c>
      <c r="B34" s="15" t="inlineStr">
        <is>
          <t>Renewals_Signed</t>
        </is>
      </c>
      <c r="C34" s="15" t="inlineStr">
        <is>
          <t>Decimal Number</t>
        </is>
      </c>
      <c r="D34" s="15" t="inlineStr">
        <is>
          <t>FactMonthlyPerformance</t>
        </is>
      </c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inlineStr">
        <is>
          <t>Monthly_Upload</t>
        </is>
      </c>
      <c r="B35" s="15" t="inlineStr">
        <is>
          <t>Reviews_Count</t>
        </is>
      </c>
      <c r="C35" s="15" t="inlineStr">
        <is>
          <t>Decimal Number</t>
        </is>
      </c>
      <c r="D35" s="15" t="inlineStr">
        <is>
          <t>FactMonthlyPerformance</t>
        </is>
      </c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inlineStr">
        <is>
          <t>Monthly_Upload</t>
        </is>
      </c>
      <c r="B36" s="15" t="inlineStr">
        <is>
          <t>Avg_Review_Rating</t>
        </is>
      </c>
      <c r="C36" s="15" t="inlineStr">
        <is>
          <t>Decimal Number</t>
        </is>
      </c>
      <c r="D36" s="15" t="inlineStr">
        <is>
          <t>FactMonthlyPerformance</t>
        </is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inlineStr">
        <is>
          <t>Monthly_Upload</t>
        </is>
      </c>
      <c r="B37" s="15" t="inlineStr">
        <is>
          <t>Open_Work_Orders</t>
        </is>
      </c>
      <c r="C37" s="15" t="inlineStr">
        <is>
          <t>Decimal Number</t>
        </is>
      </c>
      <c r="D37" s="15" t="inlineStr">
        <is>
          <t>FactMonthlyPerformance</t>
        </is>
      </c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inlineStr">
        <is>
          <t>Monthly_Upload</t>
        </is>
      </c>
      <c r="B38" s="15" t="inlineStr">
        <is>
          <t>Completed_Work_Orders</t>
        </is>
      </c>
      <c r="C38" s="15" t="inlineStr">
        <is>
          <t>Decimal Number</t>
        </is>
      </c>
      <c r="D38" s="15" t="inlineStr">
        <is>
          <t>FactMonthlyPerformance</t>
        </is>
      </c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inlineStr">
        <is>
          <t>Monthly_Upload</t>
        </is>
      </c>
      <c r="B39" s="15" t="inlineStr">
        <is>
          <t>Period_Status</t>
        </is>
      </c>
      <c r="C39" s="15" t="inlineStr">
        <is>
          <t>Text</t>
        </is>
      </c>
      <c r="D39" s="15" t="inlineStr">
        <is>
          <t>FactMonthlyPerformance</t>
        </is>
      </c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inlineStr">
        <is>
          <t>Monthly_Upload</t>
        </is>
      </c>
      <c r="B40" s="15" t="inlineStr">
        <is>
          <t>Source_System</t>
        </is>
      </c>
      <c r="C40" s="15" t="inlineStr">
        <is>
          <t>Text</t>
        </is>
      </c>
      <c r="D40" s="15" t="inlineStr">
        <is>
          <t>FactMonthlyPerformance</t>
        </is>
      </c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inlineStr">
        <is>
          <t>Monthly_Upload</t>
        </is>
      </c>
      <c r="B41" s="15" t="inlineStr">
        <is>
          <t>Source_File_Name</t>
        </is>
      </c>
      <c r="C41" s="15" t="inlineStr">
        <is>
          <t>Text</t>
        </is>
      </c>
      <c r="D41" s="15" t="inlineStr">
        <is>
          <t>FactMonthlyPerformance</t>
        </is>
      </c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inlineStr">
        <is>
          <t>Monthly_Upload</t>
        </is>
      </c>
      <c r="B42" s="15" t="inlineStr">
        <is>
          <t>Agent_Notes</t>
        </is>
      </c>
      <c r="C42" s="15" t="inlineStr">
        <is>
          <t>Text</t>
        </is>
      </c>
      <c r="D42" s="15" t="inlineStr">
        <is>
          <t>FactMonthlyPerformance</t>
        </is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inlineStr">
        <is>
          <t>Monthly_Upload</t>
        </is>
      </c>
      <c r="B43" s="15" t="inlineStr">
        <is>
          <t>Last_Updated</t>
        </is>
      </c>
      <c r="C43" s="15" t="inlineStr">
        <is>
          <t>Text</t>
        </is>
      </c>
      <c r="D43" s="15" t="inlineStr">
        <is>
          <t>FactMonthlyPerformance</t>
        </is>
      </c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inlineStr">
        <is>
          <t>Monthly_Upload</t>
        </is>
      </c>
      <c r="B44" s="15" t="inlineStr">
        <is>
          <t>Row_Status</t>
        </is>
      </c>
      <c r="C44" s="15" t="inlineStr">
        <is>
          <t>Text</t>
        </is>
      </c>
      <c r="D44" s="15" t="inlineStr">
        <is>
          <t>FactMonthlyPerformance</t>
        </is>
      </c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inlineStr">
        <is>
          <t>Monthly_Upload</t>
        </is>
      </c>
      <c r="B45" s="15" t="inlineStr">
        <is>
          <t>Error_Detail</t>
        </is>
      </c>
      <c r="C45" s="15" t="inlineStr">
        <is>
          <t>Text</t>
        </is>
      </c>
      <c r="D45" s="15" t="inlineStr">
        <is>
          <t>FactMonthlyPerformance</t>
        </is>
      </c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inlineStr">
        <is>
          <t>Community_Master</t>
        </is>
      </c>
      <c r="B46" s="15" t="inlineStr">
        <is>
          <t>Community_ID</t>
        </is>
      </c>
      <c r="C46" s="15" t="inlineStr">
        <is>
          <t>Text</t>
        </is>
      </c>
      <c r="D46" s="15" t="inlineStr">
        <is>
          <t>DimensionCommunity</t>
        </is>
      </c>
      <c r="E46" s="15" t="inlineStr">
        <is>
          <t>One side of Community_ID relationship</t>
        </is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inlineStr">
        <is>
          <t>Community_Master</t>
        </is>
      </c>
      <c r="B47" s="15" t="inlineStr">
        <is>
          <t>Community_Name</t>
        </is>
      </c>
      <c r="C47" s="15" t="inlineStr">
        <is>
          <t>Text</t>
        </is>
      </c>
      <c r="D47" s="15" t="inlineStr">
        <is>
          <t>DimensionCommunity</t>
        </is>
      </c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inlineStr">
        <is>
          <t>Community_Master</t>
        </is>
      </c>
      <c r="B48" s="15" t="inlineStr">
        <is>
          <t>Short_Name</t>
        </is>
      </c>
      <c r="C48" s="15" t="inlineStr">
        <is>
          <t>Text</t>
        </is>
      </c>
      <c r="D48" s="15" t="inlineStr">
        <is>
          <t>DimensionCommunity</t>
        </is>
      </c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inlineStr">
        <is>
          <t>Community_Master</t>
        </is>
      </c>
      <c r="B49" s="15" t="inlineStr">
        <is>
          <t>Region</t>
        </is>
      </c>
      <c r="C49" s="15" t="inlineStr">
        <is>
          <t>Text</t>
        </is>
      </c>
      <c r="D49" s="15" t="inlineStr">
        <is>
          <t>DimensionCommunity</t>
        </is>
      </c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inlineStr">
        <is>
          <t>Community_Master</t>
        </is>
      </c>
      <c r="B50" s="15" t="inlineStr">
        <is>
          <t>Market</t>
        </is>
      </c>
      <c r="C50" s="15" t="inlineStr">
        <is>
          <t>Text</t>
        </is>
      </c>
      <c r="D50" s="15" t="inlineStr">
        <is>
          <t>DimensionCommunity</t>
        </is>
      </c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inlineStr">
        <is>
          <t>Community_Master</t>
        </is>
      </c>
      <c r="B51" s="15" t="inlineStr">
        <is>
          <t>Asset_Type</t>
        </is>
      </c>
      <c r="C51" s="15" t="inlineStr">
        <is>
          <t>Text</t>
        </is>
      </c>
      <c r="D51" s="15" t="inlineStr">
        <is>
          <t>DimensionCommunity</t>
        </is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inlineStr">
        <is>
          <t>Community_Master</t>
        </is>
      </c>
      <c r="B52" s="15" t="inlineStr">
        <is>
          <t>Total_Units</t>
        </is>
      </c>
      <c r="C52" s="15" t="inlineStr">
        <is>
          <t>Whole Number</t>
        </is>
      </c>
      <c r="D52" s="15" t="inlineStr">
        <is>
          <t>DimensionCommunity</t>
        </is>
      </c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inlineStr">
        <is>
          <t>Community_Master</t>
        </is>
      </c>
      <c r="B53" s="15" t="inlineStr">
        <is>
          <t>PMS_Property_Code</t>
        </is>
      </c>
      <c r="C53" s="15" t="inlineStr">
        <is>
          <t>Text</t>
        </is>
      </c>
      <c r="D53" s="15" t="inlineStr">
        <is>
          <t>DimensionCommunity</t>
        </is>
      </c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inlineStr">
        <is>
          <t>Community_Master</t>
        </is>
      </c>
      <c r="B54" s="15" t="inlineStr">
        <is>
          <t>Dashboard_Group</t>
        </is>
      </c>
      <c r="C54" s="15" t="inlineStr">
        <is>
          <t>Text</t>
        </is>
      </c>
      <c r="D54" s="15" t="inlineStr">
        <is>
          <t>DimensionCommunity</t>
        </is>
      </c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inlineStr">
        <is>
          <t>Community_Master</t>
        </is>
      </c>
      <c r="B55" s="15" t="inlineStr">
        <is>
          <t>Active_Flag</t>
        </is>
      </c>
      <c r="C55" s="15" t="inlineStr">
        <is>
          <t>Text</t>
        </is>
      </c>
      <c r="D55" s="15" t="inlineStr">
        <is>
          <t>DimensionCommunity</t>
        </is>
      </c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inlineStr">
        <is>
          <t>Community_Master</t>
        </is>
      </c>
      <c r="B56" s="15" t="inlineStr">
        <is>
          <t>Notes</t>
        </is>
      </c>
      <c r="C56" s="15" t="inlineStr">
        <is>
          <t>Text</t>
        </is>
      </c>
      <c r="D56" s="15" t="inlineStr">
        <is>
          <t>DimensionCommunity</t>
        </is>
      </c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"/>
    </sheetView>
  </sheetViews>
  <sheetFormatPr baseColWidth="10" defaultColWidth="8.83203125" defaultRowHeight="14"/>
  <cols>
    <col width="120" customWidth="1" min="1" max="1"/>
  </cols>
  <sheetData>
    <row r="1" ht="15" customHeight="1">
      <c r="A1" s="13" t="inlineStr">
        <is>
          <t>Agent Ingestion Rules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inlineStr">
        <is>
          <t>1. Accept one Excel file only. The required upload tab is Monthly_Upload.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inlineStr">
        <is>
          <t>2. The grain must be one row per Report_Month + Community_ID. Do not create duplicate rows for the same month/community.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3. Community_ID is the mapping key. Match aliases to Community_Master before load. Examples: Glen Kernan Park = GKP, Sereno = SER.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4. Do not invent unit counts. Use Community_Master Total_Units when known. Flag missing Total_Units for review.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5. Standardize Report_Month to the first day of the month.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6. Convert occupancy percentages to decimal format, e.g., 95.6% = 0.956.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7. Preserve formulas in formula-driven columns. Paste source data only into editable input columns.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8. Run Upload_Checks. Return the file only when Overall Upload Status = READY TO LOAD.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9. If Row_Status = ERROR, preserve Error_Detail and do not load the row into production.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inlineStr">
        <is>
          <t>10. Save file as ATLAS_MonthlyUpload_YYYY-MM.xlsx.</t>
        </is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inlineStr">
        <is>
          <t>Editable columns for source data: A, B, I:K, O:S, U:W, Y:AP.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inlineStr">
        <is>
          <t>Formula columns: C:H, L:N, T, X, AQ:AR.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inlineStr">
        <is>
          <t>Tagline alignment with RISE: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inlineStr">
        <is>
          <t>LOVE. SERVE. CARE. Powered by better insight, stronger service, and care for every community.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2026-04-30T14:58:28Z</dcterms:created>
  <dcterms:modified xmlns:dcterms="http://purl.org/dc/terms/" xmlns:xsi="http://www.w3.org/2001/XMLSchema-instance" xsi:type="dcterms:W3CDTF">2026-05-11T19:05:25Z</dcterms:modified>
  <cp:lastModifiedBy>Jacquelyn Heflin</cp:lastModifiedBy>
</cp:coreProperties>
</file>